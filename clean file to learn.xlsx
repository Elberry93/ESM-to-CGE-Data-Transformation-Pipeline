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suni-my.sharepoint.com/personal/a_m_a_i_elberry_uva_nl/Documents/GEM-E3/Linking/"/>
    </mc:Choice>
  </mc:AlternateContent>
  <xr:revisionPtr revIDLastSave="186" documentId="8_{F7376BF8-F823-6848-B85F-DAC35FC415BC}" xr6:coauthVersionLast="47" xr6:coauthVersionMax="47" xr10:uidLastSave="{509BA73C-91E9-7748-89BE-55DA26F18221}"/>
  <bookViews>
    <workbookView xWindow="2820" yWindow="620" windowWidth="23840" windowHeight="15820" activeTab="1" xr2:uid="{00000000-000D-0000-FFFF-FFFF00000000}"/>
  </bookViews>
  <sheets>
    <sheet name="Energy input per carrier" sheetId="12" r:id="rId1"/>
    <sheet name="IND" sheetId="13" r:id="rId2"/>
    <sheet name="Tech, Carrier &amp; Sector by Year" sheetId="22" r:id="rId3"/>
    <sheet name="Electricity &amp; Heat" sheetId="23" r:id="rId4"/>
  </sheets>
  <definedNames>
    <definedName name="_xlnm._FilterDatabase" localSheetId="0" hidden="1">'Energy input per carrier'!$A$1:$H$293</definedName>
    <definedName name="_xlnm._FilterDatabase" localSheetId="2" hidden="1">'Tech, Carrier &amp; Sector by Year'!$A$1:$I$2090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8" i="13" l="1"/>
  <c r="J148" i="13"/>
  <c r="F148" i="13"/>
  <c r="G148" i="13"/>
  <c r="H148" i="13"/>
  <c r="E148" i="13"/>
  <c r="F9" i="13"/>
  <c r="G9" i="13"/>
  <c r="H9" i="13"/>
  <c r="I9" i="13"/>
  <c r="J9" i="13"/>
  <c r="E9" i="13"/>
  <c r="F214" i="13"/>
  <c r="G214" i="13"/>
  <c r="H214" i="13"/>
  <c r="I214" i="13"/>
  <c r="J214" i="13"/>
  <c r="E214" i="13"/>
  <c r="F201" i="13"/>
  <c r="G201" i="13"/>
  <c r="H201" i="13"/>
  <c r="I201" i="13"/>
  <c r="J201" i="13"/>
  <c r="E201" i="13"/>
  <c r="F192" i="13"/>
  <c r="G192" i="13"/>
  <c r="H192" i="13"/>
  <c r="I192" i="13"/>
  <c r="J192" i="13"/>
  <c r="E192" i="13"/>
  <c r="F179" i="13"/>
  <c r="G179" i="13"/>
  <c r="H179" i="13"/>
  <c r="I179" i="13"/>
  <c r="J179" i="13"/>
  <c r="F186" i="13"/>
  <c r="G186" i="13"/>
  <c r="H186" i="13"/>
  <c r="I186" i="13"/>
  <c r="J186" i="13"/>
  <c r="E179" i="13"/>
  <c r="E186" i="13"/>
  <c r="F120" i="13" l="1"/>
  <c r="G120" i="13"/>
  <c r="H120" i="13"/>
  <c r="I120" i="13"/>
  <c r="J120" i="13"/>
  <c r="E120" i="13"/>
  <c r="F109" i="13"/>
  <c r="G109" i="13"/>
  <c r="H109" i="13"/>
  <c r="I109" i="13"/>
  <c r="J109" i="13"/>
  <c r="E109" i="13"/>
  <c r="F172" i="13"/>
  <c r="G172" i="13"/>
  <c r="H172" i="13"/>
  <c r="I172" i="13"/>
  <c r="J172" i="13"/>
  <c r="E172" i="13"/>
  <c r="E171" i="13"/>
  <c r="F171" i="13"/>
  <c r="G171" i="13"/>
  <c r="H171" i="13"/>
  <c r="I171" i="13"/>
  <c r="J171" i="13"/>
  <c r="O10" i="22"/>
  <c r="F65" i="13"/>
  <c r="G65" i="13"/>
  <c r="H65" i="13"/>
  <c r="I65" i="13"/>
  <c r="J65" i="13"/>
  <c r="E65" i="13"/>
  <c r="F43" i="13"/>
  <c r="G43" i="13"/>
  <c r="H43" i="13"/>
  <c r="I43" i="13"/>
  <c r="J43" i="13"/>
  <c r="E43" i="13"/>
  <c r="F27" i="13"/>
  <c r="G27" i="13"/>
  <c r="H27" i="13"/>
  <c r="I27" i="13"/>
  <c r="J27" i="13"/>
  <c r="E27" i="13"/>
  <c r="F54" i="13"/>
  <c r="G54" i="13"/>
  <c r="H54" i="13"/>
  <c r="I54" i="13"/>
  <c r="J54" i="13"/>
  <c r="E54" i="13"/>
  <c r="F58" i="13"/>
  <c r="G58" i="13"/>
  <c r="H58" i="13"/>
  <c r="I58" i="13"/>
  <c r="J58" i="13"/>
  <c r="F50" i="13"/>
  <c r="G50" i="13"/>
  <c r="H50" i="13"/>
  <c r="I50" i="13"/>
  <c r="J50" i="13"/>
  <c r="F38" i="13"/>
  <c r="G38" i="13"/>
  <c r="H38" i="13"/>
  <c r="I38" i="13"/>
  <c r="J38" i="13"/>
  <c r="F37" i="13"/>
  <c r="G37" i="13"/>
  <c r="H37" i="13"/>
  <c r="I37" i="13"/>
  <c r="J37" i="13"/>
  <c r="I151" i="13"/>
  <c r="J151" i="13"/>
  <c r="I149" i="13"/>
  <c r="J149" i="13"/>
  <c r="I147" i="13"/>
  <c r="J147" i="13"/>
  <c r="T11" i="22"/>
  <c r="S11" i="22"/>
  <c r="R11" i="22"/>
  <c r="Q11" i="22"/>
  <c r="P11" i="22"/>
  <c r="O11" i="22"/>
  <c r="T10" i="22"/>
  <c r="S10" i="22"/>
  <c r="R10" i="22"/>
  <c r="Q10" i="22"/>
  <c r="P10" i="22"/>
  <c r="J169" i="13"/>
  <c r="I169" i="13"/>
  <c r="H169" i="13"/>
  <c r="G169" i="13"/>
  <c r="F169" i="13"/>
  <c r="E169" i="13"/>
  <c r="J168" i="13"/>
  <c r="I168" i="13"/>
  <c r="H168" i="13"/>
  <c r="G168" i="13"/>
  <c r="F168" i="13"/>
  <c r="E168" i="13"/>
  <c r="J166" i="13"/>
  <c r="I166" i="13"/>
  <c r="H166" i="13"/>
  <c r="G166" i="13"/>
  <c r="F166" i="13"/>
  <c r="E166" i="13"/>
  <c r="J162" i="13"/>
  <c r="I162" i="13"/>
  <c r="H162" i="13"/>
  <c r="G162" i="13"/>
  <c r="F162" i="13"/>
  <c r="E162" i="13"/>
  <c r="J160" i="13"/>
  <c r="I160" i="13"/>
  <c r="H160" i="13"/>
  <c r="G160" i="13"/>
  <c r="F160" i="13"/>
  <c r="E160" i="13"/>
  <c r="J156" i="13"/>
  <c r="I156" i="13"/>
  <c r="H156" i="13"/>
  <c r="G156" i="13"/>
  <c r="F156" i="13"/>
  <c r="E156" i="13"/>
  <c r="J155" i="13"/>
  <c r="I155" i="13"/>
  <c r="H155" i="13"/>
  <c r="G155" i="13"/>
  <c r="F155" i="13"/>
  <c r="E155" i="13"/>
  <c r="J152" i="13"/>
  <c r="I152" i="13"/>
  <c r="H152" i="13"/>
  <c r="G152" i="13"/>
  <c r="F152" i="13"/>
  <c r="E152" i="13"/>
  <c r="H151" i="13"/>
  <c r="G151" i="13"/>
  <c r="F151" i="13"/>
  <c r="E151" i="13"/>
  <c r="J150" i="13"/>
  <c r="I150" i="13"/>
  <c r="H150" i="13"/>
  <c r="G150" i="13"/>
  <c r="F150" i="13"/>
  <c r="E150" i="13"/>
  <c r="H149" i="13"/>
  <c r="G149" i="13"/>
  <c r="F149" i="13"/>
  <c r="E149" i="13"/>
  <c r="H147" i="13"/>
  <c r="G147" i="13"/>
  <c r="F147" i="13"/>
  <c r="E147" i="13"/>
  <c r="J130" i="13"/>
  <c r="I130" i="13"/>
  <c r="H130" i="13"/>
  <c r="G130" i="13"/>
  <c r="F130" i="13"/>
  <c r="E130" i="13"/>
  <c r="J128" i="13"/>
  <c r="I128" i="13"/>
  <c r="H128" i="13"/>
  <c r="G128" i="13"/>
  <c r="F128" i="13"/>
  <c r="E128" i="13"/>
  <c r="J127" i="13"/>
  <c r="I127" i="13"/>
  <c r="H127" i="13"/>
  <c r="G127" i="13"/>
  <c r="F127" i="13"/>
  <c r="E127" i="13"/>
  <c r="J126" i="13"/>
  <c r="I126" i="13"/>
  <c r="H126" i="13"/>
  <c r="G126" i="13"/>
  <c r="F126" i="13"/>
  <c r="E126" i="13"/>
  <c r="J124" i="13"/>
  <c r="I124" i="13"/>
  <c r="H124" i="13"/>
  <c r="G124" i="13"/>
  <c r="F124" i="13"/>
  <c r="E124" i="13"/>
  <c r="J116" i="13"/>
  <c r="I116" i="13"/>
  <c r="H116" i="13"/>
  <c r="G116" i="13"/>
  <c r="F116" i="13"/>
  <c r="E116" i="13"/>
  <c r="J106" i="13"/>
  <c r="I106" i="13"/>
  <c r="H106" i="13"/>
  <c r="G106" i="13"/>
  <c r="F106" i="13"/>
  <c r="E106" i="13"/>
  <c r="J105" i="13"/>
  <c r="I105" i="13"/>
  <c r="H105" i="13"/>
  <c r="G105" i="13"/>
  <c r="F105" i="13"/>
  <c r="E105" i="13"/>
  <c r="J94" i="13"/>
  <c r="I94" i="13"/>
  <c r="H94" i="13"/>
  <c r="G94" i="13"/>
  <c r="F94" i="13"/>
  <c r="E94" i="13"/>
  <c r="J84" i="13"/>
  <c r="I84" i="13"/>
  <c r="H84" i="13"/>
  <c r="G84" i="13"/>
  <c r="F84" i="13"/>
  <c r="E84" i="13"/>
  <c r="J83" i="13"/>
  <c r="I83" i="13"/>
  <c r="H83" i="13"/>
  <c r="G83" i="13"/>
  <c r="F83" i="13"/>
  <c r="E83" i="13"/>
  <c r="J82" i="13"/>
  <c r="I82" i="13"/>
  <c r="H82" i="13"/>
  <c r="G82" i="13"/>
  <c r="F82" i="13"/>
  <c r="E82" i="13"/>
  <c r="J81" i="13"/>
  <c r="I81" i="13"/>
  <c r="H81" i="13"/>
  <c r="G81" i="13"/>
  <c r="F81" i="13"/>
  <c r="E81" i="13"/>
  <c r="J79" i="13"/>
  <c r="I79" i="13"/>
  <c r="H79" i="13"/>
  <c r="G79" i="13"/>
  <c r="F79" i="13"/>
  <c r="E79" i="13"/>
  <c r="J72" i="13"/>
  <c r="I72" i="13"/>
  <c r="H72" i="13"/>
  <c r="G72" i="13"/>
  <c r="F72" i="13"/>
  <c r="E72" i="13"/>
  <c r="J71" i="13"/>
  <c r="I71" i="13"/>
  <c r="H71" i="13"/>
  <c r="G71" i="13"/>
  <c r="F71" i="13"/>
  <c r="E71" i="13"/>
  <c r="J64" i="13"/>
  <c r="I64" i="13"/>
  <c r="H64" i="13"/>
  <c r="G64" i="13"/>
  <c r="F64" i="13"/>
  <c r="E64" i="13"/>
  <c r="J63" i="13"/>
  <c r="I63" i="13"/>
  <c r="H63" i="13"/>
  <c r="G63" i="13"/>
  <c r="F63" i="13"/>
  <c r="E63" i="13"/>
  <c r="J62" i="13"/>
  <c r="I62" i="13"/>
  <c r="H62" i="13"/>
  <c r="G62" i="13"/>
  <c r="F62" i="13"/>
  <c r="E62" i="13"/>
  <c r="J61" i="13"/>
  <c r="I61" i="13"/>
  <c r="H61" i="13"/>
  <c r="G61" i="13"/>
  <c r="F61" i="13"/>
  <c r="E61" i="13"/>
  <c r="J60" i="13"/>
  <c r="I60" i="13"/>
  <c r="H60" i="13"/>
  <c r="G60" i="13"/>
  <c r="F60" i="13"/>
  <c r="E60" i="13"/>
  <c r="J59" i="13"/>
  <c r="I59" i="13"/>
  <c r="H59" i="13"/>
  <c r="G59" i="13"/>
  <c r="F59" i="13"/>
  <c r="E59" i="13"/>
  <c r="E58" i="13"/>
  <c r="J57" i="13"/>
  <c r="I57" i="13"/>
  <c r="H57" i="13"/>
  <c r="G57" i="13"/>
  <c r="F57" i="13"/>
  <c r="E57" i="13"/>
  <c r="E50" i="13"/>
  <c r="J49" i="13"/>
  <c r="I49" i="13"/>
  <c r="H49" i="13"/>
  <c r="G49" i="13"/>
  <c r="F49" i="13"/>
  <c r="E49" i="13"/>
  <c r="J40" i="13"/>
  <c r="I40" i="13"/>
  <c r="H40" i="13"/>
  <c r="G40" i="13"/>
  <c r="F40" i="13"/>
  <c r="E40" i="13"/>
  <c r="J39" i="13"/>
  <c r="I39" i="13"/>
  <c r="H39" i="13"/>
  <c r="G39" i="13"/>
  <c r="F39" i="13"/>
  <c r="E39" i="13"/>
  <c r="E38" i="13"/>
  <c r="E37" i="13"/>
  <c r="J35" i="13"/>
  <c r="I35" i="13"/>
  <c r="H35" i="13"/>
  <c r="G35" i="13"/>
  <c r="F35" i="13"/>
  <c r="E35" i="13"/>
  <c r="J25" i="13"/>
  <c r="I25" i="13"/>
  <c r="H25" i="13"/>
  <c r="G25" i="13"/>
  <c r="F25" i="13"/>
  <c r="E25" i="13"/>
  <c r="J24" i="13"/>
  <c r="I24" i="13"/>
  <c r="H24" i="13"/>
  <c r="G24" i="13"/>
  <c r="F24" i="13"/>
  <c r="E24" i="13"/>
  <c r="J23" i="13"/>
  <c r="I23" i="13"/>
  <c r="H23" i="13"/>
  <c r="G23" i="13"/>
  <c r="F23" i="13"/>
  <c r="E23" i="13"/>
  <c r="J22" i="13"/>
  <c r="I22" i="13"/>
  <c r="H22" i="13"/>
  <c r="G22" i="13"/>
  <c r="F22" i="13"/>
  <c r="E22" i="13"/>
  <c r="J20" i="13"/>
  <c r="I20" i="13"/>
  <c r="H20" i="13"/>
  <c r="G20" i="13"/>
  <c r="F20" i="13"/>
  <c r="E20" i="13"/>
  <c r="J8" i="13"/>
  <c r="I8" i="13"/>
  <c r="H8" i="13"/>
  <c r="G8" i="13"/>
  <c r="F8" i="13"/>
  <c r="E8" i="13"/>
  <c r="J7" i="13"/>
  <c r="I7" i="13"/>
  <c r="H7" i="13"/>
  <c r="G7" i="13"/>
  <c r="F7" i="13"/>
  <c r="E7" i="13"/>
  <c r="J6" i="13"/>
  <c r="I6" i="13"/>
  <c r="H6" i="13"/>
  <c r="G6" i="13"/>
  <c r="F6" i="13"/>
  <c r="E6" i="13"/>
  <c r="J173" i="13" l="1"/>
  <c r="E173" i="13"/>
  <c r="I173" i="13"/>
  <c r="H173" i="13"/>
  <c r="G173" i="13"/>
  <c r="F173" i="13"/>
  <c r="S12" i="22"/>
  <c r="P48" i="22" s="1"/>
  <c r="P12" i="22"/>
  <c r="M48" i="22" s="1"/>
  <c r="O12" i="22"/>
  <c r="L48" i="22" s="1"/>
  <c r="T12" i="22"/>
  <c r="Q48" i="22" s="1"/>
  <c r="Q12" i="22"/>
  <c r="N49" i="22" s="1"/>
  <c r="R12" i="22"/>
  <c r="O48" i="22" s="1"/>
  <c r="P49" i="22" l="1"/>
  <c r="M49" i="22"/>
  <c r="L49" i="22"/>
  <c r="Q49" i="22"/>
  <c r="N48" i="22"/>
  <c r="O49" i="22"/>
</calcChain>
</file>

<file path=xl/sharedStrings.xml><?xml version="1.0" encoding="utf-8"?>
<sst xmlns="http://schemas.openxmlformats.org/spreadsheetml/2006/main" count="7832" uniqueCount="1006">
  <si>
    <t>Technology</t>
  </si>
  <si>
    <t>Sector</t>
  </si>
  <si>
    <t>Industrie</t>
  </si>
  <si>
    <t>Chemie</t>
  </si>
  <si>
    <t>913 Mono manure AD Green gas</t>
  </si>
  <si>
    <t>Landbouw</t>
  </si>
  <si>
    <t>985 Lignocellulosic ethanol production</t>
  </si>
  <si>
    <t>Biofuel</t>
  </si>
  <si>
    <t>986 Ethanol uit biomassa (starch) 2011</t>
  </si>
  <si>
    <t>987 Ethanol uit biomassa (suiker) 2011</t>
  </si>
  <si>
    <t>993 H2 uit olievergassing met CCS 2011</t>
  </si>
  <si>
    <t>H2 voorziening</t>
  </si>
  <si>
    <t>996 H2 uit biomassavergassing CCS 2011</t>
  </si>
  <si>
    <t>998 H2 uit biomassavergassing 2011</t>
  </si>
  <si>
    <t>999 H2 uit SMR met CCS 2011</t>
  </si>
  <si>
    <t>1003 Micro-WKK Brandstofcel 2011 (WB nieuwbouw)</t>
  </si>
  <si>
    <t>Huishoudens</t>
  </si>
  <si>
    <t>1010 Micro-WKK Brandstofcel 2011 (WB bestaande bouw)</t>
  </si>
  <si>
    <t>1012 Solar-PV Residential</t>
  </si>
  <si>
    <t>1013 Biomassavergassing met CCS 7000u 2011</t>
  </si>
  <si>
    <t>Elektriciteitsopwekking</t>
  </si>
  <si>
    <t>1016 ATR with CC</t>
  </si>
  <si>
    <t>1017 Kolenvergassing CCS 7000u eDesign 2011</t>
  </si>
  <si>
    <t>1020 Solar thermal - Services</t>
  </si>
  <si>
    <t>HDO</t>
  </si>
  <si>
    <t>1021 Micro WKK brandstofcel Utiliteitsbouw eDesign 2011</t>
  </si>
  <si>
    <t>1022 Soil heat pump - Services</t>
  </si>
  <si>
    <t>1023 Ground water heat pump - Services</t>
  </si>
  <si>
    <t>1024 Hybride WP ketel Utiliteitsbouw eDesign 2011</t>
  </si>
  <si>
    <t>1027 REF HR-107 - Services</t>
  </si>
  <si>
    <t>1029 Solar thermal - Newly built - Residential</t>
  </si>
  <si>
    <t>1035 REF HR-107 - Existing - Residential</t>
  </si>
  <si>
    <t>1037 REF HR-107 - Newly built - Residential</t>
  </si>
  <si>
    <t>1039 Solar thermal - Existing - Residential</t>
  </si>
  <si>
    <t>1042 Wind op Zee band 1</t>
  </si>
  <si>
    <t>1043 REF H2 uit SMR 2011</t>
  </si>
  <si>
    <t>1044 Ketels SHT kolen eDesign 2011</t>
  </si>
  <si>
    <t>1045 Hydrogen Medium Temp Boilers - Industry</t>
  </si>
  <si>
    <t>1046 Hot water electric boiler - Industry</t>
  </si>
  <si>
    <t>1047 Electric Industrial Heat Pump - Industry</t>
  </si>
  <si>
    <t>1048 Natural Gas Industrial Heat Pump - Industry</t>
  </si>
  <si>
    <t>1049 WKK biomassa (vloeibaar) eDesign 2011</t>
  </si>
  <si>
    <t>1050 WKK biomassa (vloeibaar) CCS eDesign 2011</t>
  </si>
  <si>
    <t>1051 WKK biomassa (vast) CCS eDesign 2011</t>
  </si>
  <si>
    <t>1052 WKK gas CCS eDesign 2011</t>
  </si>
  <si>
    <t>1053 WKK biomassa (vast) Industrie</t>
  </si>
  <si>
    <t>1054 WKK gas eDesign 2011</t>
  </si>
  <si>
    <t>1055 Ketels LT biomassa CCS eDesign 2011</t>
  </si>
  <si>
    <t>1056 Coal boiler 100-200C - Industry</t>
  </si>
  <si>
    <t>1057 Ketels LT aardgas CCS eDesign 2011</t>
  </si>
  <si>
    <t>1059 Ketels LT kolen eDesign 2011</t>
  </si>
  <si>
    <t>1060 Natural Gas Low Temp Boilers - Industry</t>
  </si>
  <si>
    <t>1061 Boilers HT biomass CCS eDesign 2011</t>
  </si>
  <si>
    <t>1062 Ketels HT kolen CCS eDesign 2011</t>
  </si>
  <si>
    <t>1063 NG DF 200-400C - Industry</t>
  </si>
  <si>
    <t>1064 Biomass Medium Temp Boilers - Industry</t>
  </si>
  <si>
    <t>1065 Natural Gas Medium Temp Boilers - Industry</t>
  </si>
  <si>
    <t>1066 Ketels HT kolen eDesign 2011</t>
  </si>
  <si>
    <t>1067 Ketels SHT biomassa CCS eDesign 2011</t>
  </si>
  <si>
    <t>1068 Ketels SHT kolen CCS eDesign 2011</t>
  </si>
  <si>
    <t>1069 NG DF 200-400C  - Industrie</t>
  </si>
  <si>
    <t>1070 Natural Gas DF &gt; 400 C - Industry</t>
  </si>
  <si>
    <t>1071 Biomass High Temp Boilers - Industry</t>
  </si>
  <si>
    <t>1072 REF Ketels aardgas industrie eDesign 2011</t>
  </si>
  <si>
    <t>1073 REF WKK gas eDesign 2011</t>
  </si>
  <si>
    <t>1083 REF Steam Cracking (conventional)</t>
  </si>
  <si>
    <t>1090 Wind op Land band 1</t>
  </si>
  <si>
    <t>1094 Poederkool verbranding 7000u eDesign 2011</t>
  </si>
  <si>
    <t>1096 Gasverbranding STEG CCS 7000u eDesign 2011</t>
  </si>
  <si>
    <t>1098 Biomassavergassing 7000u eDesign 2011</t>
  </si>
  <si>
    <t>1099 REF Poederkool verbranding 7000u eDesign 2011</t>
  </si>
  <si>
    <t>1101 REF natural gas CCGT</t>
  </si>
  <si>
    <t>1102 REF Biomassameestook 7000u eDesign 2011</t>
  </si>
  <si>
    <t>1107 Biomassameestook 7000u eDesign 2011</t>
  </si>
  <si>
    <t>1108 Natural gas CCGT</t>
  </si>
  <si>
    <t>1110 Biomassameestook CCS 7000u eDesign 2011</t>
  </si>
  <si>
    <t>1111 Landbouw Geothermie eDesign 2011</t>
  </si>
  <si>
    <t>1113 Landbouw Biomassaketel eDesign 2011</t>
  </si>
  <si>
    <t>1114 Landbouw WKO met warmtepomp eDesign 2011</t>
  </si>
  <si>
    <t>1117 Kleinschalige biomassaverbranding 7000u eDesign 2011</t>
  </si>
  <si>
    <t>1118 Gasturbine 250u eDesign 2011</t>
  </si>
  <si>
    <t>1133 Groen aardgas Huishoudens</t>
  </si>
  <si>
    <t>1134 Groen aardgas industrie</t>
  </si>
  <si>
    <t>1135 Groen aardgas HDO</t>
  </si>
  <si>
    <t>1136 Groen aardgas landbouw</t>
  </si>
  <si>
    <t>1137 Groen aardgas elektriciteitsopwekking</t>
  </si>
  <si>
    <t>1138 Groen aardgas verkeer</t>
  </si>
  <si>
    <t>Verkeer</t>
  </si>
  <si>
    <t>1156 REF Final Electricity Demand  - Industry</t>
  </si>
  <si>
    <t>1157 REF Final  Heat Demand - Industry</t>
  </si>
  <si>
    <t>1159 REF Ketels rest industrie ebalans</t>
  </si>
  <si>
    <t>1161 REF NonEn industrie ebalans</t>
  </si>
  <si>
    <t>1212 REF Elektricteit HT transmissielijn</t>
  </si>
  <si>
    <t>1213 REF Elektriciteit MT transmissielijn</t>
  </si>
  <si>
    <t>1214 REF Elektricteit HT to MT transformator</t>
  </si>
  <si>
    <t>1215 REF Elektricteit MT to HT transformator</t>
  </si>
  <si>
    <t>1216 REF finale electriciteitsvraag huishoudens</t>
  </si>
  <si>
    <t>1217 REF finale warmtevraag huishoudens</t>
  </si>
  <si>
    <t>1219 REF Ketels rest huishoudens ebalans</t>
  </si>
  <si>
    <t>1220 REF Ketels aardgas huishoudens ebalans</t>
  </si>
  <si>
    <t>1222 REF finale electriciteitsvraag HDO</t>
  </si>
  <si>
    <t>1223 REF finale warmtevraag HDO</t>
  </si>
  <si>
    <t>1225 REF Ketels rest HDO ebalans</t>
  </si>
  <si>
    <t>1226 REF Ketels aardgas HDO ebalans</t>
  </si>
  <si>
    <t>1228 REF finale electriciteitsvraag Landbouw</t>
  </si>
  <si>
    <t>1229 REF finale warmtevraag Landbouw</t>
  </si>
  <si>
    <t>1231 REF Ketels rest Landbouw ebalans</t>
  </si>
  <si>
    <t>1232 REF Ketels aardgas Landbouw ebalans</t>
  </si>
  <si>
    <t>1244 REF Elektricteit LT distributienet</t>
  </si>
  <si>
    <t>1245 REF Elektricteit MT to LT transformator</t>
  </si>
  <si>
    <t>1246 REF Elektricteit LT to MT transformator</t>
  </si>
  <si>
    <t>1248 REF WKK gas Landbouw ebalans</t>
  </si>
  <si>
    <t>1261 REF Aardgas MD to HD connector</t>
  </si>
  <si>
    <t>Gasvoorziening</t>
  </si>
  <si>
    <t>1262 REF Aardgas HD to MD connector</t>
  </si>
  <si>
    <t>1263 REF Aardgas MD pijplijn</t>
  </si>
  <si>
    <t>1264 REF Aardgas HD pijplijn</t>
  </si>
  <si>
    <t>1265 REF Aardgas LD to MD connector</t>
  </si>
  <si>
    <t>1266 REF Aardgas MD to LD connector</t>
  </si>
  <si>
    <t>1267 REF Aardgas LD distributienet</t>
  </si>
  <si>
    <t>1268 CAES Opslag</t>
  </si>
  <si>
    <t>1269 CAES lader</t>
  </si>
  <si>
    <t>1270 CAES ontlader</t>
  </si>
  <si>
    <t>1271 REF Finale vraag verkeer th</t>
  </si>
  <si>
    <t>1272 REF Finale vraag verkeer el</t>
  </si>
  <si>
    <t>1273 REF diesel</t>
  </si>
  <si>
    <t>1274 REF benzine</t>
  </si>
  <si>
    <t>1284 REF OvOmz raffinaderijen ebalans</t>
  </si>
  <si>
    <t>Raffinaderijen</t>
  </si>
  <si>
    <t>1285 REF WKK gas raffinaderijen ebalans</t>
  </si>
  <si>
    <t>1286 REF Ketels aardgas raffinaderijen ebalans</t>
  </si>
  <si>
    <t>1289 REF Ketels rest raffinaderijen ebalans</t>
  </si>
  <si>
    <t>1290 REF WKK rest raffinaderijen ebalans</t>
  </si>
  <si>
    <t>1291 Bijmenging waterstof  in aardgasnet</t>
  </si>
  <si>
    <t>1293 REF Centrale Ketel E-opwekking</t>
  </si>
  <si>
    <t>1294 H2 vessels on pipeline charge</t>
  </si>
  <si>
    <t>1295 H2 vessels on pipeline discharge</t>
  </si>
  <si>
    <t>1296 H2 vessels on pipeline</t>
  </si>
  <si>
    <t>1297 H2 vessels on distribution net charge</t>
  </si>
  <si>
    <t>1298 H2 vessels on distribution net discharge</t>
  </si>
  <si>
    <t>1299 H2 vessels on distribution net</t>
  </si>
  <si>
    <t>1300 A-CAES ontlader</t>
  </si>
  <si>
    <t>1301 A-CAES lader</t>
  </si>
  <si>
    <t>1302 A-CAES Opslag</t>
  </si>
  <si>
    <t>1303 Pb batterij ontlader</t>
  </si>
  <si>
    <t>1304 Pb batterij lader</t>
  </si>
  <si>
    <t>1305 Pb batterij Opslag</t>
  </si>
  <si>
    <t>1306 NiCd batterij ontlader</t>
  </si>
  <si>
    <t>1307 NiCd batterij lader</t>
  </si>
  <si>
    <t>1308 NiCd batterij Opslag</t>
  </si>
  <si>
    <t>1309 NaS batterij ontlader</t>
  </si>
  <si>
    <t>1310 NaS batterij lader</t>
  </si>
  <si>
    <t>1311 NaS batterij Opslag</t>
  </si>
  <si>
    <t>1312 Li ion batterij ontlader</t>
  </si>
  <si>
    <t>1313 Li ion batterij lader</t>
  </si>
  <si>
    <t>1314 Li ion batterij Opslag</t>
  </si>
  <si>
    <t>1315 VRB batterij ontlader</t>
  </si>
  <si>
    <t>1316 VRB batterij lader</t>
  </si>
  <si>
    <t>1317 VRB batterij Opslag</t>
  </si>
  <si>
    <t>1318 ZnBr batterij ontlader</t>
  </si>
  <si>
    <t>1319 ZnBr batterij lader</t>
  </si>
  <si>
    <t>1320 ZnBr batterij Opslag</t>
  </si>
  <si>
    <t>1321 H2 ondergronds laden</t>
  </si>
  <si>
    <t>1322 H2 ondergronds ontladen</t>
  </si>
  <si>
    <t>1323 H2 ondergronds opslag</t>
  </si>
  <si>
    <t>1327 H2 Methanation process</t>
  </si>
  <si>
    <t>1328 H2 distributienetwerk</t>
  </si>
  <si>
    <t>1329 H2 filling station</t>
  </si>
  <si>
    <t>1330 H2 pipeline</t>
  </si>
  <si>
    <t>1335 H2 solar reformer</t>
  </si>
  <si>
    <t>1339 H2 connector pipeline naar distributienetwerk</t>
  </si>
  <si>
    <t>1340 H2 connector distributienetwerk naar filling station</t>
  </si>
  <si>
    <t>1351 REF ICE personenauto</t>
  </si>
  <si>
    <t>1352 REF PI hybride auto</t>
  </si>
  <si>
    <t>1353 REF elektrische auto</t>
  </si>
  <si>
    <t>1354 CNG auto</t>
  </si>
  <si>
    <t>1355 Elektrische auto</t>
  </si>
  <si>
    <t>1356 REF H2 auto</t>
  </si>
  <si>
    <t>1357 Diesel hybrid car with high fuel reduction</t>
  </si>
  <si>
    <t>1358 PI auto</t>
  </si>
  <si>
    <t>1359 Flex ketel restgassen</t>
  </si>
  <si>
    <t>1360 Flex WKK restgassen</t>
  </si>
  <si>
    <t>1361 Flex fakkel restgassen</t>
  </si>
  <si>
    <t>1363 E85 flex-fuel car</t>
  </si>
  <si>
    <t>1364 REF HDV vracht</t>
  </si>
  <si>
    <t>1365 LNG truck</t>
  </si>
  <si>
    <t>1366 H2 HDV vracht</t>
  </si>
  <si>
    <t>1370 Heat transmission grid</t>
  </si>
  <si>
    <t>Warmteopwekking (centraal)</t>
  </si>
  <si>
    <t>1371 Natural Gas Medium Temp Boilers - Chemical</t>
  </si>
  <si>
    <t>1372 Natural Gas Medium Temp Boilers - Refineries</t>
  </si>
  <si>
    <t>1373 Natural Gas CHP - Chemical</t>
  </si>
  <si>
    <t>1374 Natural Gas CHP - Refineries</t>
  </si>
  <si>
    <t>1375 REF ammoniak productie</t>
  </si>
  <si>
    <t>Kunstmestindustrie</t>
  </si>
  <si>
    <t>1376 SSAS ammoniak productie</t>
  </si>
  <si>
    <t>1377 REF Aardgas naar feedstock NH3</t>
  </si>
  <si>
    <t>1378 REF Final Heat Demand Not Covered By Processes - Chemical</t>
  </si>
  <si>
    <t>1379 REF Final Heat Demand Not Covered By Processes - Basic Metals ferro</t>
  </si>
  <si>
    <t>Basismetaal ferro</t>
  </si>
  <si>
    <t>1382 REF Final Electricity Demand Not Covered By Processes - Chemical</t>
  </si>
  <si>
    <t>1383 REF Final Electricity Demand Not Covered By Processes - Basic Metals ferro</t>
  </si>
  <si>
    <t>1387 REF Natural Gas CHP - Basic metals</t>
  </si>
  <si>
    <t>1388 Natural Gas Medium Temp Boilers - Basic Metals</t>
  </si>
  <si>
    <t>1391 REF WKK rest chemie ebalans</t>
  </si>
  <si>
    <t>1392 REF Ketels rest chemie ebalans</t>
  </si>
  <si>
    <t>1395 REF WKK rest Basismetaal ebalans</t>
  </si>
  <si>
    <t>1421 Flex fakkel restgassen raffinaderijen</t>
  </si>
  <si>
    <t>1422 Flex WKK restgassen raffinaderijen</t>
  </si>
  <si>
    <t>1423 Flex ketel restgassen raffinaderijen</t>
  </si>
  <si>
    <t>1424 Flex fakkel restgassen chemie</t>
  </si>
  <si>
    <t>1425 Flex WKK restgassen chemie</t>
  </si>
  <si>
    <t>1426 Flex ketel restgassen chemie</t>
  </si>
  <si>
    <t>1427 Flex fakkel restgassen basismetaal</t>
  </si>
  <si>
    <t>1428 Flex WKK restgassen basismetaal</t>
  </si>
  <si>
    <t>1429 Flex ketel restgassen basismetaal</t>
  </si>
  <si>
    <t>1430 Hydrogen Medium Temp Boilers - Basic Metals</t>
  </si>
  <si>
    <t>1431 WKK biomassa (vast) CCS basismetaal</t>
  </si>
  <si>
    <t>1432 WKK gas CCS basismetaal</t>
  </si>
  <si>
    <t>1434 Biomass Medium Temp Boilers with CCS - Basic Metals</t>
  </si>
  <si>
    <t>1435 Ketels HT biomassa basismetaal</t>
  </si>
  <si>
    <t>1436 Hydrogen Medium Temp Boilers - Chemical</t>
  </si>
  <si>
    <t>1437 WKK biomassa (vast) CCS chemie</t>
  </si>
  <si>
    <t>1438 WKK gas CCS chemie</t>
  </si>
  <si>
    <t>1439 WKK biomassa (vast) chemie</t>
  </si>
  <si>
    <t>1440 Biomass DF 200-400C - Chemical</t>
  </si>
  <si>
    <t>1441 Biomass Medium Temp Boilers - Chemical</t>
  </si>
  <si>
    <t>1442 Hydrogen Medium Temp Boilers - Refineries</t>
  </si>
  <si>
    <t>1443 WKK biomassa (vast) CCS Raffinaderijen</t>
  </si>
  <si>
    <t>1444 WKK gas CCS Raffinaderijen</t>
  </si>
  <si>
    <t>1446 Biomass DF 200-400C - Raffinaderijen</t>
  </si>
  <si>
    <t>1447 Biomass Medium Temp Boilers - Refineries</t>
  </si>
  <si>
    <t>1448 WKK biomassa (vast) basismetaal</t>
  </si>
  <si>
    <t>1449 WKK biomassa (vast) raffinaderijen</t>
  </si>
  <si>
    <t>1456 Offshore HVDC grid</t>
  </si>
  <si>
    <t>1459 Kolenvergassing IGCC centrale</t>
  </si>
  <si>
    <t>1460 Poederkool verbranding met CCS</t>
  </si>
  <si>
    <t>1461 Onshore substation and trafo offshore to onshore grid</t>
  </si>
  <si>
    <t>1462 Solar-PV Vertical (incl. bif noise barriers)</t>
  </si>
  <si>
    <t>1463 Solar-PV Bifacial vertical</t>
  </si>
  <si>
    <t>1464 Solar-PV Services</t>
  </si>
  <si>
    <t>1465 Solar-PV large scale utilities</t>
  </si>
  <si>
    <t>1466 CCS add on to Haber-Bosch NH3 production</t>
  </si>
  <si>
    <t>1467 NG DF 200-400C raffinaderijen</t>
  </si>
  <si>
    <t>1468 NG DF 200-400C - Basic Metals Ferro</t>
  </si>
  <si>
    <t>1469 NG DF 200-400C - Chemical</t>
  </si>
  <si>
    <t>1470 H2 tank PI FCEV auto laden</t>
  </si>
  <si>
    <t>1471 H2 tank PI FCEV auto opslag</t>
  </si>
  <si>
    <t>1472 H2 tank PI FCEV ontladen</t>
  </si>
  <si>
    <t>1473 H2 opslag Filling Station laden</t>
  </si>
  <si>
    <t>1474 H2 opslag filling station</t>
  </si>
  <si>
    <t>1478 E batt PI FCEV ontladen</t>
  </si>
  <si>
    <t>1479 E batt PI FCEV opslag</t>
  </si>
  <si>
    <t>1480 E batt PI FCEV laden home</t>
  </si>
  <si>
    <t>1481 E batt PI FCEV laden office</t>
  </si>
  <si>
    <t>1482 E batt PI FCEV laden car park</t>
  </si>
  <si>
    <t>1483 E batt PI FCEV laden FS</t>
  </si>
  <si>
    <t>1497 STEG H2</t>
  </si>
  <si>
    <t>1509 E85 flex-fuel car with high efficiency</t>
  </si>
  <si>
    <t>1511 CO2 from air capture</t>
  </si>
  <si>
    <t>1512 CO2 opslag after capture</t>
  </si>
  <si>
    <t>1556 Green natural gas base metal</t>
  </si>
  <si>
    <t>1557 Green natural gas chemistry</t>
  </si>
  <si>
    <t>1558 Green natural gas refineries</t>
  </si>
  <si>
    <t>1561 H2 uit olievergassing met CCS plus</t>
  </si>
  <si>
    <t>1581 WKK biomassa (vloeibaar) industrie CCS plus</t>
  </si>
  <si>
    <t>1582 Biomass CHP with CCS - Industry</t>
  </si>
  <si>
    <t>1583 Natural Gas CHP with CCS - Industry</t>
  </si>
  <si>
    <t>1584 Biomass Low Temp Boilers with CCS - Industry</t>
  </si>
  <si>
    <t>1585 Ketels LT kolen industrie CCS plus</t>
  </si>
  <si>
    <t>1586 Natural Gas Low Temp Boilers with CCS - Industry</t>
  </si>
  <si>
    <t>1587 Biomass Medium Temp Boilers with CCS - Industry</t>
  </si>
  <si>
    <t>1588 Boilers HT coal industry CCS plus</t>
  </si>
  <si>
    <t>1589 Natural Gas Medium Temp Boilers with CCS - Industry</t>
  </si>
  <si>
    <t>1590 Biomass High Temp Boilers with CCS - Industry</t>
  </si>
  <si>
    <t>1591 Ketels SHT kolen industrie CCS plus</t>
  </si>
  <si>
    <t>1592 NG DF 200-400C- Industry</t>
  </si>
  <si>
    <t>1594 H2 uit SMR met CCS plus</t>
  </si>
  <si>
    <t>1595 Biomassavergassing BVSTEG met CCS plus</t>
  </si>
  <si>
    <t>1596 Kolenvergassing KVSTEG met CCS plus</t>
  </si>
  <si>
    <t>1597 Steam Cracking w/CCS</t>
  </si>
  <si>
    <t>1599 Natural gas CCGT wCCS</t>
  </si>
  <si>
    <t>1600 Biomassameestook CCS plus</t>
  </si>
  <si>
    <t>1607 H2 uit biomassavergassing CCS plus</t>
  </si>
  <si>
    <t>1611 Biomass CHP with CCS - Basic metals</t>
  </si>
  <si>
    <t>1612 Natural Gas CHP with CCS - Basic metals</t>
  </si>
  <si>
    <t>1613 Biomass boiler 200-400C - Basic Metals Ferro</t>
  </si>
  <si>
    <t>1614 Biomass CHP with CCS - Chemical</t>
  </si>
  <si>
    <t>1615 Natural Gas CHP with CCS - Chemical</t>
  </si>
  <si>
    <t>1616 Biomass Medium Temp Boilers with CCS - Chemical</t>
  </si>
  <si>
    <t>1619 Natural Gas CHP with CCS - Refineries</t>
  </si>
  <si>
    <t>1620 Biomass Medium Temp Boilers with CCS - Refineries</t>
  </si>
  <si>
    <t>1621 Poederkool verbranding met CCS plus</t>
  </si>
  <si>
    <t>1622 Natural Gas Medium Temp Boilers with CCS - Refineries</t>
  </si>
  <si>
    <t>1623 Natural Gas Medium Temp Boilers with CCS - Basic Metals</t>
  </si>
  <si>
    <t>1624 Natural Gas Medium Temp Boilers with CCS - Chemical</t>
  </si>
  <si>
    <t>1626 Biomass CHP with CCS - Refineries</t>
  </si>
  <si>
    <t>1627 Hydropower</t>
  </si>
  <si>
    <t>1628 Heat savings - Refinery</t>
  </si>
  <si>
    <t>1629 Heat savings level 1 - Chemical</t>
  </si>
  <si>
    <t>1630 Heat savings - Basic metals ferro</t>
  </si>
  <si>
    <t>1631 Heat savings level 1 - Other industry</t>
  </si>
  <si>
    <t>1632 Heat savings - Fertilizer</t>
  </si>
  <si>
    <t>1633 Electricity savings level 1 - Basic metals ferro</t>
  </si>
  <si>
    <t>1634 Electricity savings level 1 - Refinery</t>
  </si>
  <si>
    <t>1635 Electricity savings level 1 - Chemical</t>
  </si>
  <si>
    <t>1636 Electricity savings level 1 - Other industry</t>
  </si>
  <si>
    <t>1637 Electricity savings level 1 - Fertilizer</t>
  </si>
  <si>
    <t>1648 Diesel truck with 5% fuel consumption reduction</t>
  </si>
  <si>
    <t>1650 Hybrid bus</t>
  </si>
  <si>
    <t>1651 REF Fuel cell bus</t>
  </si>
  <si>
    <t>1652 CNG bus</t>
  </si>
  <si>
    <t>1653 REF BEV bus</t>
  </si>
  <si>
    <t>1654 ICE hybrid diesel van</t>
  </si>
  <si>
    <t>1656 Gasoline hybrid car with high fuel reduction</t>
  </si>
  <si>
    <t>1694 REF Non-Energetic use Food and Beverage Industry</t>
  </si>
  <si>
    <t>Food and Beverage Industry</t>
  </si>
  <si>
    <t>1698 REF Final Heat demand Waste</t>
  </si>
  <si>
    <t>Waste</t>
  </si>
  <si>
    <t>1699 REF Final Electricity demand Waste</t>
  </si>
  <si>
    <t>1705 Biomass DF &gt; 400 C Boilers - Industry</t>
  </si>
  <si>
    <t>1721 REF AVI</t>
  </si>
  <si>
    <t>1722 Natural Gas Industrial Heat Pump - Chemical</t>
  </si>
  <si>
    <t>1723 Natural Gas Industrial Heat Pump - Basic Metals</t>
  </si>
  <si>
    <t>1724 Geothermal Industrial Heat Pump - Industry</t>
  </si>
  <si>
    <t>1725 REF WP HDO</t>
  </si>
  <si>
    <t>1726 REF WP Huishoudens</t>
  </si>
  <si>
    <t>1741 REF Ketels aardgas gasvoorziening</t>
  </si>
  <si>
    <t>1742 REF WKK gas gasvoorziening</t>
  </si>
  <si>
    <t>1743 Mono manure CHP</t>
  </si>
  <si>
    <t>1744 REF AD of waste and sewage water - CHP</t>
  </si>
  <si>
    <t>1745 Groen gas uit allesvergister (GFT)</t>
  </si>
  <si>
    <t>1747 Biomass CHP - Refineries</t>
  </si>
  <si>
    <t>1748 Biomass CHP - Basic metals</t>
  </si>
  <si>
    <t>1749 Biomass CHP - Chemical</t>
  </si>
  <si>
    <t>1750 Biomass CHP - Industry</t>
  </si>
  <si>
    <t>1751 Biogas naar aardgas niet ETS</t>
  </si>
  <si>
    <t>1754 WKK biomassa (vast) HDO</t>
  </si>
  <si>
    <t>1756 Solar -PV industry</t>
  </si>
  <si>
    <t>1757 Geothermal HP - LT Heat for FB Industry   &lt; 100C</t>
  </si>
  <si>
    <t>1758 REF AD of waste and sewage water - Green gas</t>
  </si>
  <si>
    <t>1759 REF Gaswinning en -import</t>
  </si>
  <si>
    <t>1760  H2 auto</t>
  </si>
  <si>
    <t>1761 REF E import Flexnet</t>
  </si>
  <si>
    <t>1762 REF E export Flexnet</t>
  </si>
  <si>
    <t>1763 REF BOF steel making 2017</t>
  </si>
  <si>
    <t>1764 Steel making TGR-BF wCCS</t>
  </si>
  <si>
    <t>1765 Steelmaking DR with natural gas</t>
  </si>
  <si>
    <t>1766 Steelmaking DR with ext. H2</t>
  </si>
  <si>
    <t>1767 Hisarna 2017</t>
  </si>
  <si>
    <t>1768 Hisarna wCCS</t>
  </si>
  <si>
    <t>1769 REF MWT landbouw 2017</t>
  </si>
  <si>
    <t>MWT</t>
  </si>
  <si>
    <t>1770 REF MWT HDO 2017</t>
  </si>
  <si>
    <t>1771 REF MWT Industrie 2017</t>
  </si>
  <si>
    <t>1772 Hybride MWT landbouw</t>
  </si>
  <si>
    <t>1773 Hybride MWT HDO</t>
  </si>
  <si>
    <t>1774 Electric MWT HDO</t>
  </si>
  <si>
    <t>1775 REF houtkachel HH</t>
  </si>
  <si>
    <t>1778 REF  Heat Demand Not Covered By Processes - Fertilizers</t>
  </si>
  <si>
    <t>1779 Final Electricity Demand Not Covered By Processes - Fertilizers</t>
  </si>
  <si>
    <t>1780 REF non energetisch en ovg omz chemie</t>
  </si>
  <si>
    <t>1781 Hybride MWT industrie</t>
  </si>
  <si>
    <t>1782 Electric MWT industrie</t>
  </si>
  <si>
    <t>1783 ULCOWIN</t>
  </si>
  <si>
    <t>1784 ULCOLYSIS</t>
  </si>
  <si>
    <t>1795 Electric Medium Temp Boilers</t>
  </si>
  <si>
    <t>1798 AVI CCS</t>
  </si>
  <si>
    <t>1799 Post-Combustion CCS in Refineries</t>
  </si>
  <si>
    <t>1800 CO2-afvang chemie add-on</t>
  </si>
  <si>
    <t>1801 CO2-afvang basismetaal add-on</t>
  </si>
  <si>
    <t>1818 Hybride WP ketel (keteldeel, WB bestaande bouw)</t>
  </si>
  <si>
    <t>1819 Hybride WP ketel (WP-deel, WB bestaande bouw)</t>
  </si>
  <si>
    <t>1834 CNG van</t>
  </si>
  <si>
    <t>1835 H2 van</t>
  </si>
  <si>
    <t>1836 BEV van</t>
  </si>
  <si>
    <t>1837 PI van</t>
  </si>
  <si>
    <t>1838 LNG inland navigation freight</t>
  </si>
  <si>
    <t>1841 REF ICE van</t>
  </si>
  <si>
    <t>1845 Bio-restgassen naar restgassen</t>
  </si>
  <si>
    <t>1847 Overige bio-olieproducten naar overige olieproducten</t>
  </si>
  <si>
    <t>1849 Stalluchtzuivering</t>
  </si>
  <si>
    <t>1850 Hout binnenland naar hout</t>
  </si>
  <si>
    <t>dummy</t>
  </si>
  <si>
    <t>1851 Hout buitenland naar hout</t>
  </si>
  <si>
    <t>1852 REF Nuclear power plant</t>
  </si>
  <si>
    <t>1853 Nuclear energy Gen IV - Electricity production</t>
  </si>
  <si>
    <t>1855 SNG from lignocellulosics</t>
  </si>
  <si>
    <t>1859 SNG from lignocellulosics with CC</t>
  </si>
  <si>
    <t>1860 Bio-DME production</t>
  </si>
  <si>
    <t>1862 Biomass gasification + FT towards diesel</t>
  </si>
  <si>
    <t>1864 Biobenzine uit biomassa</t>
  </si>
  <si>
    <t>1865 Biobenzine uit biomassa met warmte</t>
  </si>
  <si>
    <t>1879 Biobenzine uit biomassa LP</t>
  </si>
  <si>
    <t>1880 Biobenzine uit biomassa HP</t>
  </si>
  <si>
    <t>1881 H2 uit SMR CC  from shifted syngas low</t>
  </si>
  <si>
    <t>1882 H2 uit SMR CC  from shifted syngas high</t>
  </si>
  <si>
    <t>1883 H2 uit SMR CC  from PSA tail gas low</t>
  </si>
  <si>
    <t>1884 H2 uit SMR CC  from PSA tail gas high</t>
  </si>
  <si>
    <t>1885 H2 uit SMR CC  from flue gas</t>
  </si>
  <si>
    <t>1888 H2 uit biomassavergassing  Fast Internally Circulating Fluidized Bed’ (FICFB) gasifier centraal</t>
  </si>
  <si>
    <t>1891 H2 uit thermochemical water splitting centraal</t>
  </si>
  <si>
    <t>1892 H2 uit photocatalysis PEC centraal</t>
  </si>
  <si>
    <t>1893 H2 uit supercritical waterelktrolysis of biomass lokaal</t>
  </si>
  <si>
    <t>1914 Synthetische FT naar brandstof omzetten</t>
  </si>
  <si>
    <t>Clean gas</t>
  </si>
  <si>
    <t>1939 P2L FT pathway, external H2, incl direct air capture</t>
  </si>
  <si>
    <t>1940 P2L FT pathway, external H2, external CO2</t>
  </si>
  <si>
    <t>1956 P2L FT pathway, low temp electrolysis, direct air capture</t>
  </si>
  <si>
    <t>1957 P2L FT pathway, low temp electrolysis, external CO2</t>
  </si>
  <si>
    <t>1960 P2L FT pathway, high temp electrolysis, direct air capture</t>
  </si>
  <si>
    <t>1961 P2L FT pathway, high temp electrolysis, external CO2</t>
  </si>
  <si>
    <t>1962 Connector Point - Landbouw Elektriciteit</t>
  </si>
  <si>
    <t>1964 Connector Point - Landbouw gas</t>
  </si>
  <si>
    <t>1965 Connector Point - Huishoudens elektriciteit</t>
  </si>
  <si>
    <t>1966 Connector Point - Basismetaal elektriciteit</t>
  </si>
  <si>
    <t>1967 Connector Point - HDO elektriciteit</t>
  </si>
  <si>
    <t>1968 Connector Point - Chemie elektriciteit</t>
  </si>
  <si>
    <t>1969 Connector Point - Waste, elektriciteit</t>
  </si>
  <si>
    <t>1970 Connector Point - Waste, warmte</t>
  </si>
  <si>
    <t>1971 Connector Point - Landbouw, warmte</t>
  </si>
  <si>
    <t>1972 Connector Point - Chemie warmte</t>
  </si>
  <si>
    <t>1973 Connector Point - Industrie elektriciteit</t>
  </si>
  <si>
    <t>1974 Connector Point - Raffinaderijen elektriciteit</t>
  </si>
  <si>
    <t>1975 Connector Point - kunstmest elektriciteit</t>
  </si>
  <si>
    <t>1976 Connector Point - Huishoudens warmte</t>
  </si>
  <si>
    <t>1977 Connector Point - HDO warmte</t>
  </si>
  <si>
    <t>1978 Connector Point - Raffinaderijen warmte</t>
  </si>
  <si>
    <t>1979 Connector Point - kunstmest warmte</t>
  </si>
  <si>
    <t>1980 Connector Point - Basismetaal warmte</t>
  </si>
  <si>
    <t>1981 Connector Point - Industrie warmte</t>
  </si>
  <si>
    <t>1983 Connector Point - Chemie gas</t>
  </si>
  <si>
    <t>1984 Connector Point - Basismetaal gas</t>
  </si>
  <si>
    <t>1985 Connector Point - Raffinaderijen gas</t>
  </si>
  <si>
    <t>1986 Connector Point - kunstmest gas</t>
  </si>
  <si>
    <t>1987 Connector Point - industrie gas</t>
  </si>
  <si>
    <t>1988 Connector Point - Waste gas</t>
  </si>
  <si>
    <t>1989 Connector Point - HDO gas</t>
  </si>
  <si>
    <t>1990 Connector Point - Huishoudens gas</t>
  </si>
  <si>
    <t>1991 Groen aardgas generiek (gasvoorziening)</t>
  </si>
  <si>
    <t>1995 Luchtvaart kerosine consumptie</t>
  </si>
  <si>
    <t>Bunkers</t>
  </si>
  <si>
    <t>1996 Marine fuel vessel</t>
  </si>
  <si>
    <t>2004 Biomass gasification + FT towards kerosene</t>
  </si>
  <si>
    <t>2005 Pyrolysis fuel production</t>
  </si>
  <si>
    <t>2006 Alcohol-to-jet</t>
  </si>
  <si>
    <t>2007 HEFA</t>
  </si>
  <si>
    <t>2010 Natural Gas Direct Firing HT400 - Ferro</t>
  </si>
  <si>
    <t>2011 Electric Direct Firing HT400 - Ferro</t>
  </si>
  <si>
    <t>2012 Hydrogen DF &gt; 400 C  - Basic Metals Ferro</t>
  </si>
  <si>
    <t>2013 Biomass DF 200-400C - Basic Metals Ferro</t>
  </si>
  <si>
    <t>2014 Biomass DF &gt; 400C - Basic Metals</t>
  </si>
  <si>
    <t>2015 Electric High Temp Boilers - Basic Metals</t>
  </si>
  <si>
    <t>2016 Electric Medium Temp Boilers - Basic Metals</t>
  </si>
  <si>
    <t>2020 Electrification of Steam Crackers</t>
  </si>
  <si>
    <t>2023 Waste Gas CHP - Chemical</t>
  </si>
  <si>
    <t>2024 Waste Gas CHP with CCS - Chemical</t>
  </si>
  <si>
    <t>2025 Natural Gas DF &gt; 400 C - Chemical</t>
  </si>
  <si>
    <t>2026 NG DF 100-200C- Chemie</t>
  </si>
  <si>
    <t>2027 Hydrogen High Temp Boilers - Chemical</t>
  </si>
  <si>
    <t>2028 Biomass DF &gt; 400 C - Chemical</t>
  </si>
  <si>
    <t>2029 Biomass DF &gt; 400C - Chemical</t>
  </si>
  <si>
    <t>2030 Waste Gas High Temp Boilers - Chemical</t>
  </si>
  <si>
    <t>2031 Waste Gas Medium Temp Boilers - Chemical</t>
  </si>
  <si>
    <t>2032 Waste Gas High Temp Boilers with CCS - Chemical</t>
  </si>
  <si>
    <t>2033 Waste Gas Medium Temp Boilers with CCS - Chemical</t>
  </si>
  <si>
    <t>2034 Electric High Temp Boilers - Chemical</t>
  </si>
  <si>
    <t>2035 Electric Medium Temp Boilers - Chemical</t>
  </si>
  <si>
    <t>2036 Electric Industrial Heat Pump - Chemical</t>
  </si>
  <si>
    <t>2037 Mechanical Vapour Recompression - Chemical</t>
  </si>
  <si>
    <t>2040 Natural Gas CHP - Fertilizers</t>
  </si>
  <si>
    <t>2041 Natural Gas CHP with CCS - Fertilizers</t>
  </si>
  <si>
    <t>2042 Biomass CHP - Fertilizers</t>
  </si>
  <si>
    <t>2043 Biomass CHP with CCS - Fertilizers</t>
  </si>
  <si>
    <t>2044 REF NG Steam 200-400 boiler - Fertilizer</t>
  </si>
  <si>
    <t>2045 REF NG Steam 100-200 boiler - Fertilizer</t>
  </si>
  <si>
    <t>2046 Natural Gas High Temp Boilers with CCS - Fertilizers</t>
  </si>
  <si>
    <t>2047 Natural Gas Medium Temp Boilers with CCS - Fertilizers</t>
  </si>
  <si>
    <t>2048 Hydrogen High Temp Boilers - Fertilizers</t>
  </si>
  <si>
    <t>2049 Hydrogen Medium Temp Boilers - Fertilizers</t>
  </si>
  <si>
    <t>2050 Biomass High Temp Boilers - Fertilizers</t>
  </si>
  <si>
    <t>2051 Biomass Medium Temp Boilers - Fertilizers</t>
  </si>
  <si>
    <t>2052 Biomass High Temp Boilers with CCS - Fertilizers</t>
  </si>
  <si>
    <t>2053 Biomass Medium Temp Boilers with CCS - Fertilizers</t>
  </si>
  <si>
    <t>2054 Electric High Temp Boilers - Fertilizers</t>
  </si>
  <si>
    <t>2055 Electric Medium Temp Boilers - Fertilizers</t>
  </si>
  <si>
    <t>2056 Natural Gas Industrial Heat Pump - Fertilizers</t>
  </si>
  <si>
    <t>2057 Electric Industrial Heat Pump - Fertilizers</t>
  </si>
  <si>
    <t>2058 Mechanical Vapour Recompression - Fertilizers</t>
  </si>
  <si>
    <t>2059 Hydrogen DF &gt; 400 C  - Industry</t>
  </si>
  <si>
    <t>2060 Hydrogen Low Temp Boilers - Industry</t>
  </si>
  <si>
    <t>2061 Electric High Temp Boilers - Industry</t>
  </si>
  <si>
    <t>2062 Mechanical Vapour Recompression - Industry</t>
  </si>
  <si>
    <t>2067 NG DF 200-400C - Industrie</t>
  </si>
  <si>
    <t>2072 Biomass DF &gt; 400C  - Industry</t>
  </si>
  <si>
    <t>2081 Naphtha from pyrolysis biooil gasification and FT process</t>
  </si>
  <si>
    <t>2086 10% Co-processing in Conventional Refinery</t>
  </si>
  <si>
    <t>2089 Fast Pirolysis with upgrading</t>
  </si>
  <si>
    <t>2090 Electrification of Refineries</t>
  </si>
  <si>
    <t>2091 Natural Gas DF &gt; 400 C- Refineries</t>
  </si>
  <si>
    <t>2092 NG DF 200-400C - Refineries</t>
  </si>
  <si>
    <t>2093 Hydrogen DF &gt; 400 C - Refineries</t>
  </si>
  <si>
    <t>2094 Biomass DF &gt; 400 C - Refineries</t>
  </si>
  <si>
    <t>2095 Biomass DF &gt; 400C - Refineries</t>
  </si>
  <si>
    <t>2097 Electric Medium Temp Boilers - Refinery</t>
  </si>
  <si>
    <t>2100 Mechanical Vapour Recompression - Refinery</t>
  </si>
  <si>
    <t>2104 Electric High Temp Boilers - Refinery</t>
  </si>
  <si>
    <t>2114 Aquathermal</t>
  </si>
  <si>
    <t>2115 Solar thermal for district heating without storage (all sectors)</t>
  </si>
  <si>
    <t>2117 Solar PV floating &gt; 1 MWp</t>
  </si>
  <si>
    <t>2118 SOEC small-scale</t>
  </si>
  <si>
    <t>2119 H2 Alkaline small-scale</t>
  </si>
  <si>
    <t>2120 H2 Large-scale electrolyser</t>
  </si>
  <si>
    <t>2121 REF AD of waste and sewage water - Heat</t>
  </si>
  <si>
    <t>2122 Geothermal heat production, ultradeep, baseload</t>
  </si>
  <si>
    <t>2124 Solar thermal for process hot water without storage</t>
  </si>
  <si>
    <t>2125 Biomass boiler for built environment &gt; 5MWth</t>
  </si>
  <si>
    <t>2126 Air source heat pumps - households</t>
  </si>
  <si>
    <t>2127 Rooftop PV agriculture</t>
  </si>
  <si>
    <t>2128 H2 PEM small-scale</t>
  </si>
  <si>
    <t>2130 Heat savings level 1 - FBI</t>
  </si>
  <si>
    <t>2131 Heat savings level 2 - Chemical</t>
  </si>
  <si>
    <t>2132 Heat savings level 2 - Other industry</t>
  </si>
  <si>
    <t>2133 Electricity savings level 2 - Other industry</t>
  </si>
  <si>
    <t>2143 Pyrolysis Oil Production from biomass</t>
  </si>
  <si>
    <t>2145 Electric truck with 600 km range</t>
  </si>
  <si>
    <t>2146 SMR with cryogenic membrane PSA CC</t>
  </si>
  <si>
    <t>2148 Mono manure AD for heat</t>
  </si>
  <si>
    <t>2149 H2 Boilers - Households</t>
  </si>
  <si>
    <t>2150 H2 Low Temp Boilers - HDO</t>
  </si>
  <si>
    <t>2151 E batt truck ontladen</t>
  </si>
  <si>
    <t>2152 E batt truck opslag</t>
  </si>
  <si>
    <t>2153 E batt truck laden car park</t>
  </si>
  <si>
    <t>2154 E batt truck laden FS</t>
  </si>
  <si>
    <t>2155 Import H2 to H2 domestic</t>
  </si>
  <si>
    <t>2156 H2 domestic to export</t>
  </si>
  <si>
    <t>2162 Geothermie diep stadsverwarming</t>
  </si>
  <si>
    <t>2163 Geothermie shallow stadsverwarming</t>
  </si>
  <si>
    <t>2165 H-B NH3 with external H2</t>
  </si>
  <si>
    <t>2169 HVO from UCO</t>
  </si>
  <si>
    <t>2170 Terraced houses - startlabel B or DC retrofitted to B</t>
  </si>
  <si>
    <t>2171 Terraced houses - startlabel A+</t>
  </si>
  <si>
    <t>2172 Apartments - startlabel B or DC retrofitted to B</t>
  </si>
  <si>
    <t>2173 Other dwelllings - startlabel B or DC retrofitted to B</t>
  </si>
  <si>
    <t>2174 Terraced houses - startlabel GFE</t>
  </si>
  <si>
    <t>2175 Terraced houses - startlabel DC</t>
  </si>
  <si>
    <t>2176 Terraced houses - startlabel A</t>
  </si>
  <si>
    <t>2177 Apartments - startlabel GFE</t>
  </si>
  <si>
    <t>2178 Apartments - startlabel DC</t>
  </si>
  <si>
    <t>2179 Apartments - startlabel DC/B retrofitted to A</t>
  </si>
  <si>
    <t>2180 Apartments - startlabel A/A+</t>
  </si>
  <si>
    <t>2181 Other dwelllings - startlabel GFE</t>
  </si>
  <si>
    <t>2182 Other dwelllings - startlabel DC</t>
  </si>
  <si>
    <t>2183 Other dwelllings - startlabel A</t>
  </si>
  <si>
    <t>2184 Other dwelllings - startlabel A+</t>
  </si>
  <si>
    <t>2185 Offices - B label</t>
  </si>
  <si>
    <t>2186 Offices - GFE label</t>
  </si>
  <si>
    <t>2187 Offices - DC label</t>
  </si>
  <si>
    <t>2188 Offices - A label</t>
  </si>
  <si>
    <t>2189 Offices - A+ label</t>
  </si>
  <si>
    <t>2190 Energy in education - GFE label</t>
  </si>
  <si>
    <t>2191 Energy in education - DC label</t>
  </si>
  <si>
    <t>2192 Energy in education - B label</t>
  </si>
  <si>
    <t>2193 Energy in education - A label</t>
  </si>
  <si>
    <t>2194 Energy in education - A+ label</t>
  </si>
  <si>
    <t>2195 Energy in industrial halls - GFE label</t>
  </si>
  <si>
    <t>2196 Energy in industrial halls - DC label</t>
  </si>
  <si>
    <t>2197 Energy in industrial halls - B label</t>
  </si>
  <si>
    <t>2198 Energy in industrial halls - A label</t>
  </si>
  <si>
    <t>2199 Energy in industrial halls - A+ label</t>
  </si>
  <si>
    <t>2200 Energy in hospitals - GFE label</t>
  </si>
  <si>
    <t>2201 Energy in hospitals - DC label</t>
  </si>
  <si>
    <t>2202 Energy in hospitals - B label</t>
  </si>
  <si>
    <t>2203 Energy in hospitals - A label</t>
  </si>
  <si>
    <t>2204 Energy in hospitals - A+ label</t>
  </si>
  <si>
    <t>2205 Energy in rest services - GFE label</t>
  </si>
  <si>
    <t>2206 Energy in rest services - DC label</t>
  </si>
  <si>
    <t>2207 Energy in rest services - B label</t>
  </si>
  <si>
    <t>2208 Energy in rest services - A label</t>
  </si>
  <si>
    <t>2209 Energy in rest services - A+ label</t>
  </si>
  <si>
    <t>2210 REF Hall-Héroult process</t>
  </si>
  <si>
    <t>Basic metal non-ferro</t>
  </si>
  <si>
    <t>2212 Implementing BATs</t>
  </si>
  <si>
    <t>2213 Incremental EE improvements</t>
  </si>
  <si>
    <t>2214 Dynamic AC magnetic field</t>
  </si>
  <si>
    <t>2215 Wetted cathodes</t>
  </si>
  <si>
    <t>2216 Inert anodes</t>
  </si>
  <si>
    <t>2218 CCS add on to Hall-Héroult process</t>
  </si>
  <si>
    <t>2219 REF Natural gas boilers - Low Temp - FBI</t>
  </si>
  <si>
    <t>2220 REF Natural gas CHP - Low Temp - FBI</t>
  </si>
  <si>
    <t>2221 REF rest boilers - Low Temp - FBI</t>
  </si>
  <si>
    <t>2222 REF Anaerobic Digestion to Green Gas - FBI</t>
  </si>
  <si>
    <t>2223 Dummy Green Gas to NG</t>
  </si>
  <si>
    <t>2224 Deep geothermal heat - FBI</t>
  </si>
  <si>
    <t>2227 REF Final Electricity Demand  - FBI</t>
  </si>
  <si>
    <t>2228 REF Final  Heat Demand - FBI</t>
  </si>
  <si>
    <t>2229 Connector Point - FBI electricity</t>
  </si>
  <si>
    <t>2230 Connector Point - FBI heat</t>
  </si>
  <si>
    <t>2231 Electric boiler - Low Temp - FBI</t>
  </si>
  <si>
    <t>2232 Electric Heat Pump - Low Temp - FBI</t>
  </si>
  <si>
    <t>2233 Biomass boilers - Low Temp - FBI</t>
  </si>
  <si>
    <t>2234 Natural Gas boilers - Low Temp - FBI</t>
  </si>
  <si>
    <t>2235 Hydrogen boilers - Low Temp - FBI</t>
  </si>
  <si>
    <t>2236 Anaerobic Digestion boilers - Low Temp - FBI</t>
  </si>
  <si>
    <t>2237 REF process_salt</t>
  </si>
  <si>
    <t>2238 MVR brine vaporization_salt</t>
  </si>
  <si>
    <t>2239 REF Natural Gas Medium Temp Boilers - Salt</t>
  </si>
  <si>
    <t>2240 Hydrogen Medium Temp Boilers - Salt</t>
  </si>
  <si>
    <t>2241 Electric Medium Temp Boilers - Salt</t>
  </si>
  <si>
    <t>2242 Connector Point - Salt Heat100to200</t>
  </si>
  <si>
    <t>2243 REF Membrane Electrolysis_chlorine</t>
  </si>
  <si>
    <t>2244 Zero gap membrane electrolyser_chlorine</t>
  </si>
  <si>
    <t>2245 REF Natural Gas Medium Temp Boilers - Chlorine</t>
  </si>
  <si>
    <t>2246 Electric Medium Temp Boilers - Chlorine</t>
  </si>
  <si>
    <t>2247 Biomass Medium Temp Boilers - Chlorine</t>
  </si>
  <si>
    <t>2248 Deep geothermal heat - Chlorine</t>
  </si>
  <si>
    <t>2250 Connector Point - Basismetaal HeatDir200to400</t>
  </si>
  <si>
    <t>2251 Connector Point - Basismetaal Heat100to200</t>
  </si>
  <si>
    <t>2252 Connector Point - Basismetaal Heat200to400</t>
  </si>
  <si>
    <t>2253 Connector Point - Basismetaal HeatHT400</t>
  </si>
  <si>
    <t>2254 Connector Point - Chemie HeatDir200to400</t>
  </si>
  <si>
    <t>2255 Connector Point - Chemie Heat100to200</t>
  </si>
  <si>
    <t>2256 Connector Point - Chemie Heat200to400</t>
  </si>
  <si>
    <t>2257 Connector Point - Chemie  HeatHT400</t>
  </si>
  <si>
    <t>2260 Connector Point - Chlorine Heat100to200</t>
  </si>
  <si>
    <t>2261 Connector Point - Industrie HeatDir200to400</t>
  </si>
  <si>
    <t>2262 Connector Point - Industrie Heat100to200</t>
  </si>
  <si>
    <t>2270 Connector Point - Industrie Heat200to400</t>
  </si>
  <si>
    <t>2271 Connector Point - Industrie HeatHT400</t>
  </si>
  <si>
    <t>2273 Connector Point -  Waste Heat100to200</t>
  </si>
  <si>
    <t>2277 Connector Point - F&amp;B Industry Heat100to200</t>
  </si>
  <si>
    <t>2278 Connector Point - F&amp;B Industry Heat200to400</t>
  </si>
  <si>
    <t>2280 Connector Point - Refineries HeatDir200to400</t>
  </si>
  <si>
    <t>2281 Connector Point - Refineries HeatLT100to200</t>
  </si>
  <si>
    <t>2282 Connector Point - Refineries Heat200to400</t>
  </si>
  <si>
    <t>2283 Connector Point - Refineries HeatHT400</t>
  </si>
  <si>
    <t>2284 Connector Point - Fertilizers HeatDir200to400</t>
  </si>
  <si>
    <t>2285 Connector Point - Fertilizers  HeatLT100to200</t>
  </si>
  <si>
    <t>2286 Connector Point - Fertilizers  Heat200to400</t>
  </si>
  <si>
    <t>2288 Electric boiler - 200-400C - FBI</t>
  </si>
  <si>
    <t>2289 Biomass boiler - 200-400C - FBI</t>
  </si>
  <si>
    <t>2290 Natural Gas boiler - 200-400C - FBI</t>
  </si>
  <si>
    <t>2291 Hydrogen boiler - 200-400C - FBI</t>
  </si>
  <si>
    <t>2293 Waste Heat Industrial Heat Pump - Industry</t>
  </si>
  <si>
    <t>2294 Waste Heat Industrial Heat Pump - Chemie</t>
  </si>
  <si>
    <t>2295 Waste Heat Industrial Heat Pump - Kunstmestindustrie</t>
  </si>
  <si>
    <t>2296 Waste Heat Industrial Heat Pump - FBI</t>
  </si>
  <si>
    <t>2297 Hot water electric boiler - Industrie</t>
  </si>
  <si>
    <t>2298 Hot water electric boiler - FBI</t>
  </si>
  <si>
    <t>2299 Hot water NG boiler - Industrie</t>
  </si>
  <si>
    <t>2300 Hot water Biomass boiler - Industrie</t>
  </si>
  <si>
    <t>2301 Hot water H2 boiler - Industrie</t>
  </si>
  <si>
    <t>2302 Hot water restgassen boiler - Chemical</t>
  </si>
  <si>
    <t>2307 Electric boiler HT100to200 - Waste</t>
  </si>
  <si>
    <t>2308 NG boiler HT100to200- Waste</t>
  </si>
  <si>
    <t>2309 Biomass boiler HT100to200 - Waste</t>
  </si>
  <si>
    <t>2310 H2 boiler HT100to200 - Waste</t>
  </si>
  <si>
    <t>2312 REF remaining Final heat demand - Basic Metals non-ferro</t>
  </si>
  <si>
    <t>2313 Connector Point - Basic metals non-ferro HeatHT400</t>
  </si>
  <si>
    <t>2314 NG Direct Firing - Basic metal non-ferro</t>
  </si>
  <si>
    <t>2315 Electric Direct Firing - Basic metal non-ferro</t>
  </si>
  <si>
    <t>2316 Hydrogen DF &gt; 400 C - Basic metal non-ferro</t>
  </si>
  <si>
    <t>2319 Biomass Hotwater Boiler - HDO</t>
  </si>
  <si>
    <t>2320 H2 boiler - District heating</t>
  </si>
  <si>
    <t>2321 NG boiler - District heating</t>
  </si>
  <si>
    <t>2322 e - boiler - District heating</t>
  </si>
  <si>
    <t>2323 NG CHP - District heating</t>
  </si>
  <si>
    <t>2324 Ground source heat pumps - households</t>
  </si>
  <si>
    <t>2325 Hybrid heat pumps (boiler part) households</t>
  </si>
  <si>
    <t>2328 Hybrid heat pumps (HP part) households</t>
  </si>
  <si>
    <t>2329 REF NG Direct Firing - High Temp - Fertilizer</t>
  </si>
  <si>
    <t>2330 Direct Firing NG 200-400 C - Chemicals</t>
  </si>
  <si>
    <t>2331 Direct Firing Elec 200-400 C - Chemicals</t>
  </si>
  <si>
    <t>2332 Direct Firing NG 200-400 C - Ferro</t>
  </si>
  <si>
    <t>2333 Direct Firing Elec 200-400 C - Ferro</t>
  </si>
  <si>
    <t>2334 Connector Point - Basic metals non-ferro warmte</t>
  </si>
  <si>
    <t>2335 Connector Point - Basic metals non-ferro Heat100to200</t>
  </si>
  <si>
    <t>2336 Connector Point - Basic metals non-ferro Heat200to400</t>
  </si>
  <si>
    <t>2337 Connector Point - Basic metals non-ferro HeatDir200to400</t>
  </si>
  <si>
    <t>2338 Direct Firing NG 200-400 C - non ferro</t>
  </si>
  <si>
    <t>2339 Direct Firing Elec 200-400 C - non ferro</t>
  </si>
  <si>
    <t>2340 Natural Gas Boilers 200-400 C - non ferro</t>
  </si>
  <si>
    <t>2341 Electric Boilers  200-400 C- non ferro</t>
  </si>
  <si>
    <t>2342 Hydrogen Boilers 200-400 C- non ferro</t>
  </si>
  <si>
    <t>2343 Electric Boilers 100-200C - non ferro</t>
  </si>
  <si>
    <t>2344 Electric HP &lt; 100 C non ferro</t>
  </si>
  <si>
    <t>2346 Post-Combustion CCS Add on - Fertilizer</t>
  </si>
  <si>
    <t>2349 Direct Firing NG 200-400 C - Industry</t>
  </si>
  <si>
    <t>2350 Direct Firing Elec 200-400 C -Industry</t>
  </si>
  <si>
    <t>2351 Direct Firing NG 200-400 C - Refinery</t>
  </si>
  <si>
    <t>2352 Direct Firing Elec 200-400 C - Refinery</t>
  </si>
  <si>
    <t>2353 Direct Firing WG 200-400 C - Chemicals</t>
  </si>
  <si>
    <t>2354 Direct Firing WG &gt; 400 C - Chemicals</t>
  </si>
  <si>
    <t>2355 REF Naphta from oilproducts</t>
  </si>
  <si>
    <t>2356 REF methanol from NG</t>
  </si>
  <si>
    <t>2357 Methanol from lignocellulosics</t>
  </si>
  <si>
    <t>2358 REF methanol conventional applications</t>
  </si>
  <si>
    <t>2359 Methanol to olefins</t>
  </si>
  <si>
    <t>2360 Methanol from ext. H2 and ext. CO2</t>
  </si>
  <si>
    <t>2361 Methanol from ext. H2 and direct air capture</t>
  </si>
  <si>
    <t>2362 Methanol to Gasoline</t>
  </si>
  <si>
    <t>2363 Natural Gas boilers - Low Temp - Chemie</t>
  </si>
  <si>
    <t>2364 REF Glass production conventional furnaces</t>
  </si>
  <si>
    <t>2365 Glass production with electric cold-top furnaces</t>
  </si>
  <si>
    <t>2366 Glass production with efficient furnaces</t>
  </si>
  <si>
    <t>2367 REF Ceramics production in conventional kilns</t>
  </si>
  <si>
    <t>2368 Ceramics production in electric kilns</t>
  </si>
  <si>
    <t>2371 LNG truck with 13% energy consumption reduction</t>
  </si>
  <si>
    <t>2372 H2 truck with energy consumption reduction</t>
  </si>
  <si>
    <t>2374 Pyrolysis of plastic waste with hydrotreating</t>
  </si>
  <si>
    <t>2375 Waste Gas 200-400C Boilers - Refineries</t>
  </si>
  <si>
    <t>2376 Waste Gas 200-400C Boilers CCS- Refineries</t>
  </si>
  <si>
    <t>2377 Waste Gas 100-200C Boilers - Refineries</t>
  </si>
  <si>
    <t>2378 Waste Gas 100-200C Boilers CCS - Refineries</t>
  </si>
  <si>
    <t>2380 DME truck</t>
  </si>
  <si>
    <t>2381 DME truck with 18% energy consumption reduction</t>
  </si>
  <si>
    <t>2382 Methanol for shipping from NG</t>
  </si>
  <si>
    <t>2383 Methanol vessel</t>
  </si>
  <si>
    <t>2384 NG to LNG for shipping</t>
  </si>
  <si>
    <t>2385 LNG vessel</t>
  </si>
  <si>
    <t>2386 Biogas to Bio-LNG for shipping</t>
  </si>
  <si>
    <t>2387 Synthetic LNG production from ext. H2 and CO2</t>
  </si>
  <si>
    <t>2388 Methanol from lignocellulosics with CC</t>
  </si>
  <si>
    <t>2389 Methanol from biogas</t>
  </si>
  <si>
    <t>2392 Lignocellulosic ethanol production with CC</t>
  </si>
  <si>
    <t>2393 Bio-DME production with CC</t>
  </si>
  <si>
    <t>2394 Biomass gasification + FT towards kerosene with CC</t>
  </si>
  <si>
    <t>2395 Conversion of expensive part woody biomass import to woody biomass</t>
  </si>
  <si>
    <t>2396 Other dwelllings - startlabel A retrofitted to A+</t>
  </si>
  <si>
    <t>2397 Terraced houses - startlabel A retrofitted to A+</t>
  </si>
  <si>
    <t>2398 Other dwelllings - startlabel DC/B retrofitted to A</t>
  </si>
  <si>
    <t>2399 Terraced houses - startlabel DC/B retrofitted to A</t>
  </si>
  <si>
    <t>2400 Apartments - startlabel GFE retrofitted to DC</t>
  </si>
  <si>
    <t>2401 Apartments - startlabel GFE retrofitted to B</t>
  </si>
  <si>
    <t>2402 Other dwelllings - startlabel GFE retrofitted to DC</t>
  </si>
  <si>
    <t>2403 Other dwelllings - startlabel GFE retrofitted to B</t>
  </si>
  <si>
    <t>2404 Terraced houses - startlabel GFE retrofitted to DC</t>
  </si>
  <si>
    <t>2405 Terraced houses - startlabel GFE retrofitted to B</t>
  </si>
  <si>
    <t>2406 Conversion synthetic FT to kerosene</t>
  </si>
  <si>
    <t>2407 Bioethylene via bioethanol</t>
  </si>
  <si>
    <t>2408 Biomass gasification + FT towards diesel with CC</t>
  </si>
  <si>
    <t>2409 H2 from waste gas steam reforming with  CC  from flue gas</t>
  </si>
  <si>
    <t>2410 Steam Cracking (adapted) for co-processing III (more pyoil)</t>
  </si>
  <si>
    <t>2412 Nuclear energy EPR (Gen III+)  - Electricity production</t>
  </si>
  <si>
    <t>2415 Heat distribution grid</t>
  </si>
  <si>
    <t>2416 Heat transformer station transmission type 1 - District heating</t>
  </si>
  <si>
    <t>2418 Compression HP, air source, large 10MWth - District heating</t>
  </si>
  <si>
    <t>2419 Biomass (wood chips) CHP, small ~19 MWth - District heating</t>
  </si>
  <si>
    <t>2422 Compression HP, air source, IWH, medium 3 MW - Distict heating</t>
  </si>
  <si>
    <t>2423 Biomass (straw) CHP small ~16 MWth - District heating</t>
  </si>
  <si>
    <t>2424 Biomass (wood chips) Boiler, small ~7 MWth - District heating</t>
  </si>
  <si>
    <t>2425 Biomass (straw) Boiler, small ~6 MWth - District heating</t>
  </si>
  <si>
    <t>2427 Keep IWH unused - Basic metal non-ferro</t>
  </si>
  <si>
    <t>2428 REF BEV van</t>
  </si>
  <si>
    <t>2429 REF electric truck</t>
  </si>
  <si>
    <t>2430 REF ICE bus</t>
  </si>
  <si>
    <t>2431 REF ICE inland navigation freight</t>
  </si>
  <si>
    <t>2432 ICE inland navigation freight - 15% fuel reduction</t>
  </si>
  <si>
    <t>2433 Battery electric inland navigation freight</t>
  </si>
  <si>
    <t>2434 Fuel cell inland navigation freight</t>
  </si>
  <si>
    <t>2435 Electricity savings level 1 - FBI</t>
  </si>
  <si>
    <t>2438 Heat savings level 2 - FBI</t>
  </si>
  <si>
    <t>2439 Electricity savings level 2 - Chemical</t>
  </si>
  <si>
    <t>2440 Electricity savings level 3 - Chemical</t>
  </si>
  <si>
    <t>2442 Electricity savings level 2 - Fertilizer</t>
  </si>
  <si>
    <t>2443 Electricity savings level 2 - Refinery</t>
  </si>
  <si>
    <t>2444 Electricity savings level 2 - Basic metals ferro</t>
  </si>
  <si>
    <t>2445 Electricity savings level 3 - Fertilizer</t>
  </si>
  <si>
    <t>2446 Electricity savings level 3 - Refinery</t>
  </si>
  <si>
    <t>2447 Electricity savings level 3 - Basic metals ferro</t>
  </si>
  <si>
    <t>2448 Heat savings - Het Nieuwe Telen - Agriculture</t>
  </si>
  <si>
    <t>2449 Heat savings - Insulation package - Agriculture</t>
  </si>
  <si>
    <t>2450 Heat savings - 2e scherm - Agriculture</t>
  </si>
  <si>
    <t>2451 Heat savings - 3e scherm - Agriculture</t>
  </si>
  <si>
    <t>2452 Heat savings - selective ventilation - Agriculture</t>
  </si>
  <si>
    <t>2453 Heat savings - nieuwbouwkassen - Agriculture</t>
  </si>
  <si>
    <t>2454 Heat saving - Low temperature heating - Agriculture</t>
  </si>
  <si>
    <t>2455 Electricity savings - meet en regeltechniek - Agriculture</t>
  </si>
  <si>
    <t>2456 Electricity savings - distribution &amp; feeding - Agriculture</t>
  </si>
  <si>
    <t>2457 Electricity savings - bevochtiging - Agriculture</t>
  </si>
  <si>
    <t>2458 Electricity savings - selective cooling - Agriculture</t>
  </si>
  <si>
    <t>2459 Electricity savings - LED lightning - Agriculture</t>
  </si>
  <si>
    <t>2461 External NH3 for fertilizer industry</t>
  </si>
  <si>
    <t>2462 Import ammonia to domestic</t>
  </si>
  <si>
    <t>2463 Export ammonia</t>
  </si>
  <si>
    <t>2464 Ammonia vessel</t>
  </si>
  <si>
    <t>2465 Ammoniak productie (energy carrier)</t>
  </si>
  <si>
    <t>2467 H-B NH3 with external H2 (energy carrier)</t>
  </si>
  <si>
    <t>2468 Electrolyse H-B NH3 (energy carrier)</t>
  </si>
  <si>
    <t>2472 Flexdiesel to naphta and ethylene</t>
  </si>
  <si>
    <t>2473 Flexkerosine to naphta and ethylene</t>
  </si>
  <si>
    <t>2477 CO2 venting</t>
  </si>
  <si>
    <t>2478 Keep IWH unused - Refinery</t>
  </si>
  <si>
    <t>2480 REF data center</t>
  </si>
  <si>
    <t>2482 H2 from NH3 cracking</t>
  </si>
  <si>
    <t>2485 Waste heat  - Heat Pump - Refinery</t>
  </si>
  <si>
    <t>2486 Heat&lt;100C  - Heat Pump - Refinery</t>
  </si>
  <si>
    <t>2501 Steam network (100-200 degC)</t>
  </si>
  <si>
    <t>2502 Steam network (200-400 degC)</t>
  </si>
  <si>
    <t>2505 Convert CO2flow to CO2flow for storage</t>
  </si>
  <si>
    <t>2506 CO2 network for CO2 storage</t>
  </si>
  <si>
    <t>2507 REF overall aromatics demand</t>
  </si>
  <si>
    <t>2508 Aromatics production via biomass</t>
  </si>
  <si>
    <t>2509 Methanol to aromatics</t>
  </si>
  <si>
    <t>2510 REF lubricant use mobility</t>
  </si>
  <si>
    <t>2511 Small Modular Reactor - electricity only modus</t>
  </si>
  <si>
    <t>2512 Connector Point - Electricity Genration Heat200to400</t>
  </si>
  <si>
    <t>2513 Keep IWH unused - Electricity production</t>
  </si>
  <si>
    <t>2514 Small Modular Reactor - max heat modus</t>
  </si>
  <si>
    <t>2515 Gasification of mixed plastic waste to methanol</t>
  </si>
  <si>
    <t>2516 Mechanical recycling of plastic waste</t>
  </si>
  <si>
    <t>2517 Offshore platform including converter</t>
  </si>
  <si>
    <t>2518 Mechanical recycling of plastic waste with high yield</t>
  </si>
  <si>
    <t>2519 Gasification of mixed plastic waste to methanol with high yield</t>
  </si>
  <si>
    <t>2520 Pyrolysis of plastic waste with hydrotreating with high yield</t>
  </si>
  <si>
    <t>2521 Biomethanol via direct gasification with ext H2</t>
  </si>
  <si>
    <t>Energy Carrier</t>
  </si>
  <si>
    <t>Biogas</t>
  </si>
  <si>
    <t>E-inhoud mest</t>
  </si>
  <si>
    <t>Bio-ethanol</t>
  </si>
  <si>
    <t>Biomassa (hout)</t>
  </si>
  <si>
    <t>Elektriciteit</t>
  </si>
  <si>
    <t>Biomassa (zetmeel)</t>
  </si>
  <si>
    <t>Biomassa (suikers)</t>
  </si>
  <si>
    <t>Waterstof</t>
  </si>
  <si>
    <t>Warmte</t>
  </si>
  <si>
    <t>Zon</t>
  </si>
  <si>
    <t>CO2Flow</t>
  </si>
  <si>
    <t>Aardgas</t>
  </si>
  <si>
    <t>Zon thermisch</t>
  </si>
  <si>
    <t>Omgevingswarmte</t>
  </si>
  <si>
    <t>Wind</t>
  </si>
  <si>
    <t>Heat200to400</t>
  </si>
  <si>
    <t>Heat100to200</t>
  </si>
  <si>
    <t>HeatHT400</t>
  </si>
  <si>
    <t>Aromatics</t>
  </si>
  <si>
    <t>Bio-aromatics</t>
  </si>
  <si>
    <t>Bionaphta</t>
  </si>
  <si>
    <t>Naphta</t>
  </si>
  <si>
    <t>Other synthetic oil products</t>
  </si>
  <si>
    <t>Overige bio-olieproducten</t>
  </si>
  <si>
    <t>Overige olieproducten</t>
  </si>
  <si>
    <t>Synthetic aromatics</t>
  </si>
  <si>
    <t>Synthetic naphtha</t>
  </si>
  <si>
    <t>Kolen</t>
  </si>
  <si>
    <t>Aardwarmte</t>
  </si>
  <si>
    <t>HeatDir200to400</t>
  </si>
  <si>
    <t>Cokes</t>
  </si>
  <si>
    <t>Diesel</t>
  </si>
  <si>
    <t>Olie</t>
  </si>
  <si>
    <t>LPG</t>
  </si>
  <si>
    <t>Biodiesel</t>
  </si>
  <si>
    <t>Synthetic diesel</t>
  </si>
  <si>
    <t>Benzine</t>
  </si>
  <si>
    <t>Biobenzine</t>
  </si>
  <si>
    <t>Synthetic benzine</t>
  </si>
  <si>
    <t>HFO</t>
  </si>
  <si>
    <t>Kerosine</t>
  </si>
  <si>
    <t>Restgassen</t>
  </si>
  <si>
    <t>Cokesovengas</t>
  </si>
  <si>
    <t>Hoogovengas</t>
  </si>
  <si>
    <t>1312 Li ion battery for temporal electricity storage - discharge component</t>
  </si>
  <si>
    <t>1313 Li ion battery for temporal electricity storage - charge component</t>
  </si>
  <si>
    <t>SNG</t>
  </si>
  <si>
    <t>1329 H2 filling station - discharge component</t>
  </si>
  <si>
    <t>Bio-LPG</t>
  </si>
  <si>
    <t>Synthetic LPG</t>
  </si>
  <si>
    <t>Bio-restgassen</t>
  </si>
  <si>
    <t>Synthetic waste gasses</t>
  </si>
  <si>
    <t>Aardgas feedstock</t>
  </si>
  <si>
    <t>Industrial Waste Heat</t>
  </si>
  <si>
    <t>1478 Electricity from battery for EV driving</t>
  </si>
  <si>
    <t>1479 Battery in EV car/LDV</t>
  </si>
  <si>
    <t>1481 EV charging - office</t>
  </si>
  <si>
    <t>1482 EV charging - car park</t>
  </si>
  <si>
    <t>1483 EV charging - Fast charging</t>
  </si>
  <si>
    <t>1497 H2 CCGT</t>
  </si>
  <si>
    <t>CO2flow for storage</t>
  </si>
  <si>
    <t>Waterkracht</t>
  </si>
  <si>
    <t>Afval (niet-biogeen)</t>
  </si>
  <si>
    <t>Biomassa (afval biogeen)</t>
  </si>
  <si>
    <t>Biomassa (AWZ, RWZ en STRT)</t>
  </si>
  <si>
    <t>Biomassa (GFT &amp; VGI)</t>
  </si>
  <si>
    <t>Gas transport</t>
  </si>
  <si>
    <t>Gas winning</t>
  </si>
  <si>
    <t>Import elektriciteit</t>
  </si>
  <si>
    <t>Export elektriciteit</t>
  </si>
  <si>
    <t>Biomassa (hout binnenland)</t>
  </si>
  <si>
    <t>Biomassa (hout buitenland)</t>
  </si>
  <si>
    <t>Uranium</t>
  </si>
  <si>
    <t>Synthetic kerosine</t>
  </si>
  <si>
    <t>Synthetische brandstoffen uit FT</t>
  </si>
  <si>
    <t>Biokerosine</t>
  </si>
  <si>
    <t>BioHFO</t>
  </si>
  <si>
    <t>Biomassa (UCO buitenland)</t>
  </si>
  <si>
    <t>Biomass Pyrolysis Oil</t>
  </si>
  <si>
    <t>Hydrogen import</t>
  </si>
  <si>
    <t>Methanol</t>
  </si>
  <si>
    <t>Biomethanol</t>
  </si>
  <si>
    <t>Bio-Methanol for shipping</t>
  </si>
  <si>
    <t>Synthetic methanol</t>
  </si>
  <si>
    <t>Plastic pyrolysis oil</t>
  </si>
  <si>
    <t>Rejected plastic waste</t>
  </si>
  <si>
    <t>Bio-DME</t>
  </si>
  <si>
    <t>Methanol for shipping</t>
  </si>
  <si>
    <t>LNG for shipping</t>
  </si>
  <si>
    <t>Bio-LNG for shipping</t>
  </si>
  <si>
    <t>Synthetic LNG for shipping</t>
  </si>
  <si>
    <t>Biomassa (hout buitenland), expensive part</t>
  </si>
  <si>
    <t>Ammonia</t>
  </si>
  <si>
    <t>Plastic waste</t>
  </si>
  <si>
    <t>2527 International aviation - not ETS-1</t>
  </si>
  <si>
    <t>2528 Marine fuel vessel - Not under ETS-1</t>
  </si>
  <si>
    <t>Synthetic methanol for shipping</t>
  </si>
  <si>
    <t>2530 LNG vessel - Not under ETS-1</t>
  </si>
  <si>
    <t>Biomass Local Wood chips</t>
  </si>
  <si>
    <t>Biomass Straw</t>
  </si>
  <si>
    <t>Ammonia import</t>
  </si>
  <si>
    <t>Ammonia export</t>
  </si>
  <si>
    <t>Ethylene</t>
  </si>
  <si>
    <t>Biomassa (natte stromen)</t>
  </si>
  <si>
    <t>Oliegrondstoffen</t>
  </si>
  <si>
    <t>Hydrogen export</t>
  </si>
  <si>
    <t>2166 Electrolyse H-B NH3</t>
  </si>
  <si>
    <t>CO2, emission</t>
  </si>
  <si>
    <t>CO2, product</t>
  </si>
  <si>
    <t>2025</t>
  </si>
  <si>
    <t>2030</t>
  </si>
  <si>
    <t>2035</t>
  </si>
  <si>
    <t>2040</t>
  </si>
  <si>
    <t>2045</t>
  </si>
  <si>
    <t>2050</t>
  </si>
  <si>
    <t>Variable</t>
  </si>
  <si>
    <t>Unit</t>
  </si>
  <si>
    <t>Investments</t>
  </si>
  <si>
    <t>IND01</t>
  </si>
  <si>
    <t>th_euro</t>
  </si>
  <si>
    <t>ENE01</t>
  </si>
  <si>
    <t>AGR01</t>
  </si>
  <si>
    <t>ENE02</t>
  </si>
  <si>
    <t>PGT09</t>
  </si>
  <si>
    <t>ENE03</t>
  </si>
  <si>
    <t>Energy Use</t>
  </si>
  <si>
    <t>TJ</t>
  </si>
  <si>
    <t>ENE04</t>
  </si>
  <si>
    <t>ENE05</t>
  </si>
  <si>
    <t>ENE06</t>
  </si>
  <si>
    <t>ENE07</t>
  </si>
  <si>
    <t>ENE08</t>
  </si>
  <si>
    <t>ENE09</t>
  </si>
  <si>
    <t>ENE10</t>
  </si>
  <si>
    <t>ENE11</t>
  </si>
  <si>
    <t>IND02</t>
  </si>
  <si>
    <t>Residential</t>
  </si>
  <si>
    <t>Equipments</t>
  </si>
  <si>
    <t>PV</t>
  </si>
  <si>
    <t>Geothermal</t>
  </si>
  <si>
    <t>IND04</t>
  </si>
  <si>
    <t>IND08</t>
  </si>
  <si>
    <t>IND12</t>
  </si>
  <si>
    <t>IND22</t>
  </si>
  <si>
    <t>Energy_Use</t>
  </si>
  <si>
    <t>Output</t>
  </si>
  <si>
    <t>Mton</t>
  </si>
  <si>
    <t>Ferrous metals</t>
  </si>
  <si>
    <t>Steel</t>
  </si>
  <si>
    <t>Chlorine, Aromatics, Methanol, Ammonia, Salt, and Olefins</t>
  </si>
  <si>
    <t>Maritme and Aviation fuels</t>
  </si>
  <si>
    <t>Ceramics and Glass</t>
  </si>
  <si>
    <t>Electricity</t>
  </si>
  <si>
    <t>Coal fired</t>
  </si>
  <si>
    <t>PGT01</t>
  </si>
  <si>
    <t>Oil fired</t>
  </si>
  <si>
    <t>PGT02</t>
  </si>
  <si>
    <t>Gas fired</t>
  </si>
  <si>
    <t>PGT03</t>
  </si>
  <si>
    <t>Nuclear</t>
  </si>
  <si>
    <t>PGT04</t>
  </si>
  <si>
    <t>Biomass</t>
  </si>
  <si>
    <t>PGT05</t>
  </si>
  <si>
    <t>Hydro electric</t>
  </si>
  <si>
    <t>PGT06</t>
  </si>
  <si>
    <t>PGT07</t>
  </si>
  <si>
    <t>PGT08</t>
  </si>
  <si>
    <t>CCS coal</t>
  </si>
  <si>
    <t>PGT10</t>
  </si>
  <si>
    <t>CCS Gas</t>
  </si>
  <si>
    <t>PGT11</t>
  </si>
  <si>
    <t>CCS Bio</t>
  </si>
  <si>
    <t>PGT12</t>
  </si>
  <si>
    <t>Heat</t>
  </si>
  <si>
    <t>Wind onshore</t>
  </si>
  <si>
    <t>Solar PV - Services</t>
  </si>
  <si>
    <t>Solar PV - Agriculture</t>
  </si>
  <si>
    <t>Blue</t>
  </si>
  <si>
    <t>Green</t>
  </si>
  <si>
    <t>Solar PV - Electricity sector</t>
  </si>
  <si>
    <t>Total</t>
  </si>
  <si>
    <t>Gas fired with CCS</t>
  </si>
  <si>
    <t>Solar PV - Industry</t>
  </si>
  <si>
    <t>code</t>
  </si>
  <si>
    <t>GH</t>
  </si>
  <si>
    <t>BH</t>
  </si>
  <si>
    <t>T</t>
  </si>
  <si>
    <t>Hyd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</si>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</sst>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1F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E1F4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4" fillId="0" borderId="0"/>
    <xf numFmtId="0" fontId="5" fillId="0" borderId="0"/>
    <xf numFmtId="0" fontId="7" fillId="0" borderId="0"/>
  </cellStyleXfs>
  <cellXfs count="104">
    <xf numFmtId="0" fontId="0" fillId="0" borderId="0" xfId="0"/>
    <xf numFmtId="0" fontId="3" fillId="0" borderId="1" xfId="0" applyFont="1" applyBorder="1" applyAlignment="1">
      <alignment horizontal="center" vertical="top"/>
    </xf>
    <xf numFmtId="0" fontId="6" fillId="2" borderId="2" xfId="2" applyFont="1" applyFill="1" applyBorder="1"/>
    <xf numFmtId="0" fontId="6" fillId="2" borderId="2" xfId="2" applyFont="1" applyFill="1" applyBorder="1" applyAlignment="1">
      <alignment horizontal="center"/>
    </xf>
    <xf numFmtId="0" fontId="5" fillId="0" borderId="0" xfId="2"/>
    <xf numFmtId="0" fontId="5" fillId="2" borderId="4" xfId="2" applyFill="1" applyBorder="1" applyAlignment="1">
      <alignment horizontal="left"/>
    </xf>
    <xf numFmtId="0" fontId="5" fillId="2" borderId="4" xfId="2" applyFill="1" applyBorder="1"/>
    <xf numFmtId="0" fontId="7" fillId="0" borderId="0" xfId="3"/>
    <xf numFmtId="0" fontId="5" fillId="2" borderId="0" xfId="2" applyFill="1" applyAlignment="1">
      <alignment horizontal="left"/>
    </xf>
    <xf numFmtId="0" fontId="5" fillId="2" borderId="0" xfId="2" applyFill="1"/>
    <xf numFmtId="1" fontId="5" fillId="2" borderId="2" xfId="2" applyNumberFormat="1" applyFill="1" applyBorder="1"/>
    <xf numFmtId="0" fontId="5" fillId="2" borderId="2" xfId="2" applyFill="1" applyBorder="1" applyAlignment="1">
      <alignment horizontal="left"/>
    </xf>
    <xf numFmtId="0" fontId="5" fillId="2" borderId="2" xfId="2" applyFill="1" applyBorder="1"/>
    <xf numFmtId="1" fontId="0" fillId="2" borderId="0" xfId="0" applyNumberFormat="1" applyFill="1"/>
    <xf numFmtId="1" fontId="5" fillId="2" borderId="9" xfId="2" applyNumberFormat="1" applyFill="1" applyBorder="1"/>
    <xf numFmtId="1" fontId="5" fillId="2" borderId="10" xfId="2" applyNumberFormat="1" applyFill="1" applyBorder="1"/>
    <xf numFmtId="0" fontId="0" fillId="2" borderId="6" xfId="0" applyFill="1" applyBorder="1"/>
    <xf numFmtId="0" fontId="0" fillId="2" borderId="0" xfId="0" applyFill="1" applyAlignment="1">
      <alignment horizontal="left"/>
    </xf>
    <xf numFmtId="0" fontId="0" fillId="2" borderId="0" xfId="0" applyFill="1"/>
    <xf numFmtId="1" fontId="0" fillId="2" borderId="2" xfId="0" applyNumberFormat="1" applyFill="1" applyBorder="1"/>
    <xf numFmtId="0" fontId="0" fillId="2" borderId="2" xfId="0" applyFill="1" applyBorder="1" applyAlignment="1">
      <alignment horizontal="left"/>
    </xf>
    <xf numFmtId="0" fontId="0" fillId="2" borderId="2" xfId="0" applyFill="1" applyBorder="1"/>
    <xf numFmtId="1" fontId="0" fillId="2" borderId="7" xfId="0" applyNumberFormat="1" applyFill="1" applyBorder="1"/>
    <xf numFmtId="1" fontId="0" fillId="2" borderId="8" xfId="0" applyNumberFormat="1" applyFill="1" applyBorder="1"/>
    <xf numFmtId="0" fontId="2" fillId="4" borderId="0" xfId="0" applyFont="1" applyFill="1" applyAlignment="1">
      <alignment horizontal="left"/>
    </xf>
    <xf numFmtId="0" fontId="2" fillId="4" borderId="0" xfId="0" applyFont="1" applyFill="1"/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/>
    <xf numFmtId="0" fontId="5" fillId="2" borderId="12" xfId="2" applyFill="1" applyBorder="1"/>
    <xf numFmtId="0" fontId="5" fillId="2" borderId="9" xfId="2" applyFill="1" applyBorder="1" applyAlignment="1">
      <alignment horizontal="left"/>
    </xf>
    <xf numFmtId="0" fontId="5" fillId="2" borderId="9" xfId="2" applyFill="1" applyBorder="1"/>
    <xf numFmtId="164" fontId="5" fillId="2" borderId="9" xfId="2" applyNumberFormat="1" applyFill="1" applyBorder="1"/>
    <xf numFmtId="164" fontId="5" fillId="2" borderId="10" xfId="2" applyNumberFormat="1" applyFill="1" applyBorder="1"/>
    <xf numFmtId="1" fontId="5" fillId="2" borderId="12" xfId="2" applyNumberFormat="1" applyFill="1" applyBorder="1"/>
    <xf numFmtId="1" fontId="5" fillId="2" borderId="6" xfId="2" applyNumberFormat="1" applyFill="1" applyBorder="1" applyAlignment="1">
      <alignment vertical="center"/>
    </xf>
    <xf numFmtId="1" fontId="5" fillId="2" borderId="0" xfId="2" applyNumberFormat="1" applyFill="1" applyAlignment="1">
      <alignment vertical="center"/>
    </xf>
    <xf numFmtId="0" fontId="5" fillId="2" borderId="0" xfId="2" applyFill="1" applyAlignment="1">
      <alignment horizontal="left" vertical="center"/>
    </xf>
    <xf numFmtId="0" fontId="5" fillId="2" borderId="0" xfId="2" applyFill="1" applyAlignment="1">
      <alignment horizontal="left" vertical="center" wrapText="1"/>
    </xf>
    <xf numFmtId="1" fontId="5" fillId="2" borderId="0" xfId="2" applyNumberFormat="1" applyFill="1" applyAlignment="1">
      <alignment horizontal="right" vertical="center"/>
    </xf>
    <xf numFmtId="164" fontId="5" fillId="2" borderId="0" xfId="2" applyNumberFormat="1" applyFill="1" applyAlignment="1">
      <alignment horizontal="center" vertical="center"/>
    </xf>
    <xf numFmtId="164" fontId="5" fillId="2" borderId="7" xfId="2" applyNumberFormat="1" applyFill="1" applyBorder="1" applyAlignment="1">
      <alignment horizontal="center" vertical="center"/>
    </xf>
    <xf numFmtId="1" fontId="5" fillId="2" borderId="11" xfId="2" applyNumberFormat="1" applyFill="1" applyBorder="1"/>
    <xf numFmtId="2" fontId="5" fillId="2" borderId="2" xfId="2" applyNumberFormat="1" applyFill="1" applyBorder="1" applyAlignment="1">
      <alignment horizontal="center"/>
    </xf>
    <xf numFmtId="2" fontId="5" fillId="2" borderId="8" xfId="2" applyNumberFormat="1" applyFill="1" applyBorder="1" applyAlignment="1">
      <alignment horizontal="center"/>
    </xf>
    <xf numFmtId="1" fontId="5" fillId="2" borderId="9" xfId="2" applyNumberFormat="1" applyFill="1" applyBorder="1" applyAlignment="1">
      <alignment horizontal="right" vertical="center"/>
    </xf>
    <xf numFmtId="164" fontId="5" fillId="2" borderId="9" xfId="2" applyNumberFormat="1" applyFill="1" applyBorder="1" applyAlignment="1">
      <alignment horizontal="center"/>
    </xf>
    <xf numFmtId="164" fontId="5" fillId="2" borderId="10" xfId="2" applyNumberFormat="1" applyFill="1" applyBorder="1" applyAlignment="1">
      <alignment horizontal="center"/>
    </xf>
    <xf numFmtId="0" fontId="5" fillId="3" borderId="0" xfId="2" applyFill="1"/>
    <xf numFmtId="9" fontId="0" fillId="0" borderId="0" xfId="1" applyFont="1"/>
    <xf numFmtId="0" fontId="1" fillId="0" borderId="0" xfId="0" applyFont="1" applyAlignment="1">
      <alignment horizontal="center"/>
    </xf>
    <xf numFmtId="1" fontId="5" fillId="5" borderId="0" xfId="2" applyNumberFormat="1" applyFill="1"/>
    <xf numFmtId="1" fontId="5" fillId="5" borderId="2" xfId="2" applyNumberFormat="1" applyFill="1" applyBorder="1"/>
    <xf numFmtId="0" fontId="5" fillId="6" borderId="3" xfId="2" applyFill="1" applyBorder="1"/>
    <xf numFmtId="0" fontId="5" fillId="6" borderId="6" xfId="2" applyFill="1" applyBorder="1"/>
    <xf numFmtId="0" fontId="5" fillId="6" borderId="11" xfId="2" applyFill="1" applyBorder="1"/>
    <xf numFmtId="0" fontId="0" fillId="6" borderId="6" xfId="0" applyFill="1" applyBorder="1"/>
    <xf numFmtId="0" fontId="0" fillId="6" borderId="11" xfId="0" applyFill="1" applyBorder="1"/>
    <xf numFmtId="0" fontId="2" fillId="7" borderId="6" xfId="0" applyFont="1" applyFill="1" applyBorder="1"/>
    <xf numFmtId="0" fontId="2" fillId="7" borderId="11" xfId="0" applyFont="1" applyFill="1" applyBorder="1"/>
    <xf numFmtId="0" fontId="7" fillId="0" borderId="2" xfId="3" applyBorder="1"/>
    <xf numFmtId="0" fontId="0" fillId="5" borderId="0" xfId="0" applyFill="1"/>
    <xf numFmtId="0" fontId="5" fillId="5" borderId="0" xfId="2" applyFill="1"/>
    <xf numFmtId="0" fontId="5" fillId="5" borderId="2" xfId="2" applyFill="1" applyBorder="1"/>
    <xf numFmtId="0" fontId="0" fillId="5" borderId="2" xfId="0" applyFill="1" applyBorder="1"/>
    <xf numFmtId="1" fontId="2" fillId="8" borderId="0" xfId="0" applyNumberFormat="1" applyFont="1" applyFill="1"/>
    <xf numFmtId="1" fontId="2" fillId="8" borderId="2" xfId="0" applyNumberFormat="1" applyFont="1" applyFill="1" applyBorder="1"/>
    <xf numFmtId="1" fontId="0" fillId="2" borderId="5" xfId="0" applyNumberFormat="1" applyFill="1" applyBorder="1"/>
    <xf numFmtId="0" fontId="0" fillId="5" borderId="0" xfId="0" applyFill="1" applyAlignment="1">
      <alignment horizontal="left"/>
    </xf>
    <xf numFmtId="0" fontId="0" fillId="5" borderId="2" xfId="0" applyFill="1" applyBorder="1" applyAlignment="1">
      <alignment horizontal="left"/>
    </xf>
    <xf numFmtId="0" fontId="0" fillId="6" borderId="3" xfId="0" applyFill="1" applyBorder="1"/>
    <xf numFmtId="0" fontId="6" fillId="0" borderId="2" xfId="2" applyFont="1" applyBorder="1"/>
    <xf numFmtId="0" fontId="6" fillId="0" borderId="3" xfId="3" applyFont="1" applyBorder="1"/>
    <xf numFmtId="0" fontId="6" fillId="0" borderId="4" xfId="3" applyFont="1" applyBorder="1"/>
    <xf numFmtId="0" fontId="6" fillId="0" borderId="5" xfId="3" applyFont="1" applyBorder="1"/>
    <xf numFmtId="0" fontId="7" fillId="0" borderId="6" xfId="3" applyBorder="1"/>
    <xf numFmtId="0" fontId="7" fillId="0" borderId="7" xfId="3" applyBorder="1"/>
    <xf numFmtId="0" fontId="7" fillId="0" borderId="11" xfId="3" applyBorder="1"/>
    <xf numFmtId="0" fontId="7" fillId="0" borderId="8" xfId="3" applyBorder="1"/>
    <xf numFmtId="0" fontId="7" fillId="6" borderId="6" xfId="3" applyFill="1" applyBorder="1"/>
    <xf numFmtId="0" fontId="7" fillId="6" borderId="11" xfId="3" applyFill="1" applyBorder="1"/>
    <xf numFmtId="0" fontId="7" fillId="5" borderId="0" xfId="3" applyFill="1"/>
    <xf numFmtId="0" fontId="7" fillId="5" borderId="2" xfId="3" applyFill="1" applyBorder="1"/>
    <xf numFmtId="0" fontId="7" fillId="6" borderId="3" xfId="3" applyFill="1" applyBorder="1"/>
    <xf numFmtId="0" fontId="7" fillId="5" borderId="4" xfId="3" applyFill="1" applyBorder="1"/>
    <xf numFmtId="0" fontId="7" fillId="0" borderId="4" xfId="3" applyBorder="1"/>
    <xf numFmtId="0" fontId="7" fillId="0" borderId="5" xfId="3" applyBorder="1"/>
    <xf numFmtId="1" fontId="0" fillId="9" borderId="0" xfId="0" applyNumberFormat="1" applyFill="1"/>
    <xf numFmtId="1" fontId="0" fillId="9" borderId="7" xfId="0" applyNumberFormat="1" applyFill="1" applyBorder="1"/>
    <xf numFmtId="1" fontId="0" fillId="9" borderId="2" xfId="0" applyNumberFormat="1" applyFill="1" applyBorder="1"/>
    <xf numFmtId="1" fontId="0" fillId="9" borderId="8" xfId="0" applyNumberFormat="1" applyFill="1" applyBorder="1"/>
    <xf numFmtId="0" fontId="7" fillId="9" borderId="0" xfId="3" applyFill="1"/>
    <xf numFmtId="0" fontId="7" fillId="9" borderId="7" xfId="3" applyFill="1" applyBorder="1"/>
    <xf numFmtId="0" fontId="5" fillId="0" borderId="2" xfId="2" applyBorder="1"/>
    <xf numFmtId="0" fontId="5" fillId="0" borderId="9" xfId="2" applyBorder="1"/>
    <xf numFmtId="0" fontId="0" fillId="0" borderId="7" xfId="0" applyBorder="1"/>
    <xf numFmtId="0" fontId="0" fillId="10" borderId="7" xfId="0" applyFill="1" applyBorder="1"/>
    <xf numFmtId="0" fontId="0" fillId="11" borderId="7" xfId="0" applyFill="1" applyBorder="1"/>
    <xf numFmtId="0" fontId="0" fillId="0" borderId="9" xfId="0" applyBorder="1"/>
    <xf numFmtId="0" fontId="1" fillId="0" borderId="2" xfId="2" applyFont="1" applyBorder="1"/>
    <xf numFmtId="0" fontId="0" fillId="0" borderId="2" xfId="0" applyBorder="1"/>
    <xf numFmtId="0" fontId="1" fillId="0" borderId="9" xfId="2" applyFont="1" applyBorder="1"/>
    <xf numFmtId="0" fontId="1" fillId="0" borderId="13" xfId="3" applyFont="1" applyBorder="1" applyAlignment="1">
      <alignment horizontal="center"/>
    </xf>
    <xf numFmtId="0" fontId="0" fillId="0" borderId="9" xfId="0" applyBorder="1"/>
    <xf numFmtId="0" fontId="0" fillId="0" borderId="10" xfId="0" applyBorder="1"/>
  </cellXfs>
  <cellStyles count="4">
    <cellStyle name="Normal" xfId="0" builtinId="0"/>
    <cellStyle name="Normal 2" xfId="2" xr:uid="{00000000-0005-0000-0000-000002000000}"/>
    <cellStyle name="Normal 2 2" xfId="3" xr:uid="{00000000-0005-0000-0000-000003000000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H293"/>
  <sheetViews>
    <sheetView topLeftCell="A99" workbookViewId="0">
      <selection activeCell="D108" sqref="D108"/>
    </sheetView>
  </sheetViews>
  <sheetFormatPr baseColWidth="10" defaultColWidth="8.83203125" defaultRowHeight="16" x14ac:dyDescent="0.2"/>
  <cols>
    <col min="1" max="1" width="23.1640625" customWidth="1"/>
    <col min="2" max="2" width="40.5" customWidth="1"/>
  </cols>
  <sheetData>
    <row r="1" spans="1:8" x14ac:dyDescent="0.2">
      <c r="A1" s="1" t="s">
        <v>816</v>
      </c>
      <c r="B1" s="1" t="s">
        <v>1</v>
      </c>
      <c r="C1" s="1" t="s">
        <v>926</v>
      </c>
      <c r="D1" s="1" t="s">
        <v>927</v>
      </c>
      <c r="E1" s="1" t="s">
        <v>928</v>
      </c>
      <c r="F1" s="1" t="s">
        <v>929</v>
      </c>
      <c r="G1" s="1" t="s">
        <v>930</v>
      </c>
      <c r="H1" s="1" t="s">
        <v>931</v>
      </c>
    </row>
    <row r="2" spans="1:8" hidden="1" x14ac:dyDescent="0.2">
      <c r="A2" t="s">
        <v>828</v>
      </c>
      <c r="B2" t="s">
        <v>581</v>
      </c>
      <c r="C2">
        <v>0.57206719177749998</v>
      </c>
      <c r="D2">
        <v>0.70591184699999998</v>
      </c>
      <c r="E2">
        <v>0.62987195539999996</v>
      </c>
      <c r="F2">
        <v>0.7026974681</v>
      </c>
      <c r="G2">
        <v>0.31582183427999999</v>
      </c>
      <c r="H2">
        <v>0.33739368485999999</v>
      </c>
    </row>
    <row r="3" spans="1:8" hidden="1" x14ac:dyDescent="0.2">
      <c r="A3" t="s">
        <v>828</v>
      </c>
      <c r="B3" t="s">
        <v>199</v>
      </c>
      <c r="C3">
        <v>3.5888612701729999E-4</v>
      </c>
      <c r="D3">
        <v>21.091734133367201</v>
      </c>
      <c r="E3">
        <v>32.33377529613076</v>
      </c>
      <c r="F3">
        <v>32.095019726095032</v>
      </c>
      <c r="G3">
        <v>25.791172824392991</v>
      </c>
      <c r="H3">
        <v>23.144777793594368</v>
      </c>
    </row>
    <row r="4" spans="1:8" hidden="1" x14ac:dyDescent="0.2">
      <c r="A4" t="s">
        <v>828</v>
      </c>
      <c r="B4" t="s">
        <v>3</v>
      </c>
      <c r="C4">
        <v>45.035614839468707</v>
      </c>
      <c r="D4">
        <v>33.964526965490791</v>
      </c>
      <c r="E4">
        <v>26.775830471732121</v>
      </c>
      <c r="F4">
        <v>19.115965187012041</v>
      </c>
      <c r="G4">
        <v>10.645055476539319</v>
      </c>
      <c r="H4">
        <v>9.1783343421308654</v>
      </c>
    </row>
    <row r="5" spans="1:8" hidden="1" x14ac:dyDescent="0.2">
      <c r="A5" t="s">
        <v>828</v>
      </c>
      <c r="B5" t="s">
        <v>20</v>
      </c>
      <c r="C5">
        <v>330.00000086933301</v>
      </c>
      <c r="D5">
        <v>164.54303453797829</v>
      </c>
      <c r="E5">
        <v>96.549436922284855</v>
      </c>
      <c r="F5">
        <v>66.209740750000776</v>
      </c>
      <c r="G5">
        <v>67.6864151171646</v>
      </c>
      <c r="H5">
        <v>70.29868470841771</v>
      </c>
    </row>
    <row r="6" spans="1:8" hidden="1" x14ac:dyDescent="0.2">
      <c r="A6" t="s">
        <v>828</v>
      </c>
      <c r="B6" t="s">
        <v>316</v>
      </c>
      <c r="C6">
        <v>62.511430854133998</v>
      </c>
      <c r="D6">
        <v>19.648804734300001</v>
      </c>
      <c r="E6">
        <v>7.1722836690999996</v>
      </c>
      <c r="F6">
        <v>5.4032304169644014</v>
      </c>
      <c r="G6">
        <v>3.6507080525993998</v>
      </c>
      <c r="H6">
        <v>20.225697818010001</v>
      </c>
    </row>
    <row r="7" spans="1:8" hidden="1" x14ac:dyDescent="0.2">
      <c r="A7" t="s">
        <v>828</v>
      </c>
      <c r="B7" t="s">
        <v>113</v>
      </c>
      <c r="C7">
        <v>9.1950553331124151E-5</v>
      </c>
      <c r="D7">
        <v>4.3894166817999997E-4</v>
      </c>
      <c r="E7">
        <v>1.57768730429E-4</v>
      </c>
      <c r="F7">
        <v>2.5047041067856E-6</v>
      </c>
      <c r="G7">
        <v>5.2192039286617997E-5</v>
      </c>
      <c r="H7">
        <v>2.06815829334E-4</v>
      </c>
    </row>
    <row r="8" spans="1:8" hidden="1" x14ac:dyDescent="0.2">
      <c r="A8" t="s">
        <v>828</v>
      </c>
      <c r="B8" t="s">
        <v>11</v>
      </c>
      <c r="C8">
        <v>73.120232105878358</v>
      </c>
      <c r="D8">
        <v>81.626755121952428</v>
      </c>
      <c r="E8">
        <v>78.453321158846691</v>
      </c>
      <c r="F8">
        <v>77.877015131616517</v>
      </c>
      <c r="G8">
        <v>36.56692949850251</v>
      </c>
      <c r="H8">
        <v>21.794157980203199</v>
      </c>
    </row>
    <row r="9" spans="1:8" hidden="1" x14ac:dyDescent="0.2">
      <c r="A9" t="s">
        <v>828</v>
      </c>
      <c r="B9" t="s">
        <v>24</v>
      </c>
      <c r="C9">
        <v>65.391535500199993</v>
      </c>
      <c r="D9">
        <v>68.36011735857484</v>
      </c>
      <c r="E9">
        <v>65.719681693500007</v>
      </c>
      <c r="F9">
        <v>52.988325717599999</v>
      </c>
      <c r="G9">
        <v>64.035420021986667</v>
      </c>
      <c r="H9">
        <v>55.676490961590773</v>
      </c>
    </row>
    <row r="10" spans="1:8" hidden="1" x14ac:dyDescent="0.2">
      <c r="A10" t="s">
        <v>828</v>
      </c>
      <c r="B10" t="s">
        <v>16</v>
      </c>
      <c r="C10">
        <v>252.41008214381139</v>
      </c>
      <c r="D10">
        <v>233.9428731403107</v>
      </c>
      <c r="E10">
        <v>224.8005748938613</v>
      </c>
      <c r="F10">
        <v>198.902226858982</v>
      </c>
      <c r="G10">
        <v>177.5971052628781</v>
      </c>
      <c r="H10">
        <v>156.1913375879609</v>
      </c>
    </row>
    <row r="11" spans="1:8" hidden="1" x14ac:dyDescent="0.2">
      <c r="A11" t="s">
        <v>828</v>
      </c>
      <c r="B11" t="s">
        <v>2</v>
      </c>
      <c r="C11">
        <v>39.711169784814487</v>
      </c>
      <c r="D11">
        <v>45.782639396701917</v>
      </c>
      <c r="E11">
        <v>35.642607275845393</v>
      </c>
      <c r="F11">
        <v>28.43824201004109</v>
      </c>
      <c r="G11">
        <v>24.055304116607559</v>
      </c>
      <c r="H11">
        <v>23.78791480620287</v>
      </c>
    </row>
    <row r="12" spans="1:8" hidden="1" x14ac:dyDescent="0.2">
      <c r="A12" t="s">
        <v>828</v>
      </c>
      <c r="B12" t="s">
        <v>194</v>
      </c>
      <c r="C12">
        <v>79.046046519227815</v>
      </c>
      <c r="D12">
        <v>66.650255567916588</v>
      </c>
      <c r="E12">
        <v>59.8297719171659</v>
      </c>
      <c r="F12">
        <v>53.400889365681188</v>
      </c>
      <c r="G12">
        <v>45.793112425674863</v>
      </c>
      <c r="H12">
        <v>38.155236453864617</v>
      </c>
    </row>
    <row r="13" spans="1:8" hidden="1" x14ac:dyDescent="0.2">
      <c r="A13" t="s">
        <v>828</v>
      </c>
      <c r="B13" t="s">
        <v>5</v>
      </c>
      <c r="C13">
        <v>82.31762072927495</v>
      </c>
      <c r="D13">
        <v>58.642398373487119</v>
      </c>
      <c r="E13">
        <v>20.002626574151769</v>
      </c>
      <c r="F13">
        <v>18.55003561996018</v>
      </c>
      <c r="G13">
        <v>12.264383506590869</v>
      </c>
      <c r="H13">
        <v>1.9401220322453301</v>
      </c>
    </row>
    <row r="14" spans="1:8" x14ac:dyDescent="0.2">
      <c r="A14" t="s">
        <v>828</v>
      </c>
      <c r="B14" t="s">
        <v>128</v>
      </c>
      <c r="C14">
        <v>22.820851670582609</v>
      </c>
      <c r="D14">
        <v>23.746306380974261</v>
      </c>
      <c r="E14">
        <v>11.052244173640149</v>
      </c>
      <c r="F14">
        <v>11.82193134150619</v>
      </c>
      <c r="G14">
        <v>0.15367015629700001</v>
      </c>
      <c r="H14">
        <v>3.9934568256312502</v>
      </c>
    </row>
    <row r="15" spans="1:8" hidden="1" x14ac:dyDescent="0.2">
      <c r="A15" t="s">
        <v>828</v>
      </c>
      <c r="B15" t="s">
        <v>87</v>
      </c>
      <c r="C15">
        <v>6.9940108181667178</v>
      </c>
      <c r="D15">
        <v>2.566669105967561</v>
      </c>
      <c r="E15">
        <v>2.4315968064393898</v>
      </c>
      <c r="F15">
        <v>4.0999998843083212</v>
      </c>
      <c r="G15">
        <v>3.583185065543709</v>
      </c>
      <c r="H15">
        <v>1.930236639128537</v>
      </c>
    </row>
    <row r="16" spans="1:8" hidden="1" x14ac:dyDescent="0.2">
      <c r="A16" t="s">
        <v>828</v>
      </c>
      <c r="B16" t="s">
        <v>188</v>
      </c>
      <c r="C16">
        <v>0.30882148647187901</v>
      </c>
      <c r="D16">
        <v>6.46804275647</v>
      </c>
      <c r="E16">
        <v>19.264158028415</v>
      </c>
      <c r="F16">
        <v>26.754463353077</v>
      </c>
      <c r="G16">
        <v>23.089845795243139</v>
      </c>
      <c r="H16">
        <v>21.490541339884501</v>
      </c>
    </row>
    <row r="17" spans="1:8" hidden="1" x14ac:dyDescent="0.2">
      <c r="A17" t="s">
        <v>828</v>
      </c>
      <c r="B17" t="s">
        <v>318</v>
      </c>
      <c r="C17">
        <v>6.6881234129999996</v>
      </c>
      <c r="D17">
        <v>7.1061897460000001</v>
      </c>
      <c r="E17">
        <v>3.6721374289999998E-3</v>
      </c>
      <c r="F17">
        <v>7.8775218090000002E-6</v>
      </c>
      <c r="G17">
        <v>3.2434525730000002E-5</v>
      </c>
      <c r="H17">
        <v>4.266159998</v>
      </c>
    </row>
    <row r="18" spans="1:8" hidden="1" x14ac:dyDescent="0.2">
      <c r="A18" t="s">
        <v>869</v>
      </c>
      <c r="B18" t="s">
        <v>194</v>
      </c>
      <c r="C18">
        <v>60.426173390000002</v>
      </c>
      <c r="D18">
        <v>53.01796341</v>
      </c>
      <c r="E18">
        <v>47.603285300000003</v>
      </c>
      <c r="F18">
        <v>42.449129110000001</v>
      </c>
      <c r="G18">
        <v>36.403429430000003</v>
      </c>
      <c r="H18">
        <v>29.979372130000002</v>
      </c>
    </row>
    <row r="19" spans="1:8" hidden="1" x14ac:dyDescent="0.2">
      <c r="A19" t="s">
        <v>845</v>
      </c>
      <c r="B19" t="s">
        <v>3</v>
      </c>
      <c r="C19">
        <v>2.8261282399999999E-7</v>
      </c>
      <c r="D19">
        <v>2.182376411E-4</v>
      </c>
      <c r="E19">
        <v>3.6348303419999999E-4</v>
      </c>
      <c r="F19">
        <v>3.348167453E-6</v>
      </c>
      <c r="G19">
        <v>7.8975293949999997E-5</v>
      </c>
      <c r="H19">
        <v>7.4507139159999994E-5</v>
      </c>
    </row>
    <row r="20" spans="1:8" hidden="1" x14ac:dyDescent="0.2">
      <c r="A20" t="s">
        <v>845</v>
      </c>
      <c r="B20" t="s">
        <v>316</v>
      </c>
      <c r="C20">
        <v>9.9998770806466297E-2</v>
      </c>
      <c r="D20">
        <v>0.39977700320260001</v>
      </c>
      <c r="E20">
        <v>0.93036996687679996</v>
      </c>
      <c r="F20">
        <v>0.93238590800272703</v>
      </c>
      <c r="G20">
        <v>0.93330578643112005</v>
      </c>
      <c r="H20">
        <v>0.93069820634059997</v>
      </c>
    </row>
    <row r="21" spans="1:8" hidden="1" x14ac:dyDescent="0.2">
      <c r="A21" t="s">
        <v>845</v>
      </c>
      <c r="B21" t="s">
        <v>2</v>
      </c>
      <c r="C21">
        <v>1.107063429E-6</v>
      </c>
      <c r="D21">
        <v>0.1000048519943</v>
      </c>
      <c r="E21">
        <v>7.9940328599630003E-2</v>
      </c>
      <c r="F21">
        <v>7.9799534571309005E-2</v>
      </c>
      <c r="G21">
        <v>1.1425693121E-4</v>
      </c>
      <c r="H21">
        <v>2.0566656010000001E-4</v>
      </c>
    </row>
    <row r="22" spans="1:8" hidden="1" x14ac:dyDescent="0.2">
      <c r="A22" t="s">
        <v>845</v>
      </c>
      <c r="B22" t="s">
        <v>5</v>
      </c>
      <c r="C22">
        <v>16.474608929999999</v>
      </c>
      <c r="D22">
        <v>16.500001090000001</v>
      </c>
      <c r="E22">
        <v>24.189351129999999</v>
      </c>
      <c r="F22">
        <v>26.347852150000001</v>
      </c>
      <c r="G22">
        <v>24.554518810000001</v>
      </c>
      <c r="H22">
        <v>28.659413010000002</v>
      </c>
    </row>
    <row r="23" spans="1:8" hidden="1" x14ac:dyDescent="0.2">
      <c r="A23" t="s">
        <v>845</v>
      </c>
      <c r="B23" t="s">
        <v>188</v>
      </c>
      <c r="C23">
        <v>0.31138259987387101</v>
      </c>
      <c r="D23">
        <v>1.00000008820136</v>
      </c>
      <c r="E23">
        <v>0.79997676249430993</v>
      </c>
      <c r="F23">
        <v>0.63995905352879545</v>
      </c>
      <c r="G23">
        <v>0.51198209340285006</v>
      </c>
      <c r="H23">
        <v>0.40960975359556001</v>
      </c>
    </row>
    <row r="24" spans="1:8" hidden="1" x14ac:dyDescent="0.2">
      <c r="A24" t="s">
        <v>879</v>
      </c>
      <c r="B24" t="s">
        <v>318</v>
      </c>
      <c r="C24">
        <v>29.369101032370931</v>
      </c>
      <c r="D24">
        <v>29.369180037967801</v>
      </c>
      <c r="E24">
        <v>25.697975854999999</v>
      </c>
      <c r="F24">
        <v>22.026825002500001</v>
      </c>
      <c r="G24">
        <v>18.355687549999999</v>
      </c>
      <c r="H24">
        <v>14.684574555999999</v>
      </c>
    </row>
    <row r="25" spans="1:8" hidden="1" x14ac:dyDescent="0.2">
      <c r="A25" t="s">
        <v>909</v>
      </c>
      <c r="B25" t="s">
        <v>441</v>
      </c>
      <c r="C25">
        <v>0</v>
      </c>
      <c r="D25">
        <v>0</v>
      </c>
      <c r="E25">
        <v>0</v>
      </c>
      <c r="F25">
        <v>2.5454998160000002E-7</v>
      </c>
      <c r="G25">
        <v>4.4576289919999996E-6</v>
      </c>
      <c r="H25">
        <v>2.2553523280000002E-5</v>
      </c>
    </row>
    <row r="26" spans="1:8" hidden="1" x14ac:dyDescent="0.2">
      <c r="A26" t="s">
        <v>909</v>
      </c>
      <c r="B26" t="s">
        <v>11</v>
      </c>
      <c r="C26">
        <v>5.1770696189999998E-5</v>
      </c>
      <c r="D26">
        <v>2.040719554E-5</v>
      </c>
      <c r="E26">
        <v>7.6450636649999997E-6</v>
      </c>
      <c r="F26">
        <v>1.9357422749999999E-7</v>
      </c>
      <c r="G26">
        <v>4.3952135859999998E-6</v>
      </c>
      <c r="H26">
        <v>2.073707461E-5</v>
      </c>
    </row>
    <row r="27" spans="1:8" hidden="1" x14ac:dyDescent="0.2">
      <c r="A27" t="s">
        <v>909</v>
      </c>
      <c r="B27" t="s">
        <v>194</v>
      </c>
      <c r="C27">
        <v>1.1523776271999999</v>
      </c>
      <c r="D27">
        <v>2.0414391210000001E-2</v>
      </c>
      <c r="E27">
        <v>0.10004262680000001</v>
      </c>
      <c r="F27">
        <v>1.6362342049999999E-2</v>
      </c>
      <c r="G27">
        <v>0.11448259080000001</v>
      </c>
      <c r="H27">
        <v>0.1081286105</v>
      </c>
    </row>
    <row r="28" spans="1:8" hidden="1" x14ac:dyDescent="0.2">
      <c r="A28" t="s">
        <v>835</v>
      </c>
      <c r="B28" t="s">
        <v>3</v>
      </c>
      <c r="C28">
        <v>307.64664870000001</v>
      </c>
      <c r="D28">
        <v>166.738247774</v>
      </c>
      <c r="E28">
        <v>152.9562492</v>
      </c>
      <c r="F28">
        <v>145.69074470000001</v>
      </c>
      <c r="G28">
        <v>137.1349376</v>
      </c>
      <c r="H28">
        <v>126.6509744</v>
      </c>
    </row>
    <row r="29" spans="1:8" hidden="1" x14ac:dyDescent="0.2">
      <c r="A29" t="s">
        <v>853</v>
      </c>
      <c r="B29" t="s">
        <v>352</v>
      </c>
      <c r="C29">
        <v>0.23913450144139889</v>
      </c>
      <c r="D29">
        <v>1.379834335221207</v>
      </c>
      <c r="E29">
        <v>1.285427190405535</v>
      </c>
      <c r="F29">
        <v>0.68753270570000002</v>
      </c>
      <c r="G29">
        <v>1.0582616145068211</v>
      </c>
      <c r="H29">
        <v>0.84057477847159201</v>
      </c>
    </row>
    <row r="30" spans="1:8" hidden="1" x14ac:dyDescent="0.2">
      <c r="A30" t="s">
        <v>853</v>
      </c>
      <c r="B30" t="s">
        <v>87</v>
      </c>
      <c r="C30">
        <v>136.98978488678509</v>
      </c>
      <c r="D30">
        <v>136.7905888441864</v>
      </c>
      <c r="E30">
        <v>118.7189839446644</v>
      </c>
      <c r="F30">
        <v>42.521319699999999</v>
      </c>
      <c r="G30">
        <v>55.769227696100003</v>
      </c>
      <c r="H30">
        <v>28.473930011780009</v>
      </c>
    </row>
    <row r="31" spans="1:8" hidden="1" x14ac:dyDescent="0.2">
      <c r="A31" t="s">
        <v>903</v>
      </c>
      <c r="B31" t="s">
        <v>87</v>
      </c>
      <c r="C31">
        <v>2.9288997919399999E-5</v>
      </c>
      <c r="D31">
        <v>0.1000247029758</v>
      </c>
      <c r="E31">
        <v>0.10002824651606999</v>
      </c>
      <c r="F31">
        <v>0.100000381793071</v>
      </c>
      <c r="G31">
        <v>0.10000804722779</v>
      </c>
      <c r="H31">
        <v>0.10000874450777</v>
      </c>
    </row>
    <row r="32" spans="1:8" hidden="1" x14ac:dyDescent="0.2">
      <c r="A32" t="s">
        <v>906</v>
      </c>
      <c r="B32">
        <v>0</v>
      </c>
      <c r="C32">
        <v>4.9371466869999998E-2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hidden="1" x14ac:dyDescent="0.2">
      <c r="A33" t="s">
        <v>906</v>
      </c>
      <c r="B33" t="s">
        <v>441</v>
      </c>
      <c r="C33">
        <v>0.15062777554000001</v>
      </c>
      <c r="D33">
        <v>5.7538831501200002E-3</v>
      </c>
      <c r="E33">
        <v>4.2694056930000002E-5</v>
      </c>
      <c r="F33">
        <v>5.6628216560000002</v>
      </c>
      <c r="G33">
        <v>10.52776298</v>
      </c>
      <c r="H33">
        <v>10.126467870000001</v>
      </c>
    </row>
    <row r="34" spans="1:8" hidden="1" x14ac:dyDescent="0.2">
      <c r="A34" t="s">
        <v>865</v>
      </c>
      <c r="B34" t="s">
        <v>352</v>
      </c>
      <c r="C34">
        <v>3.3794713294125103E-2</v>
      </c>
      <c r="D34">
        <v>2.7403260769985002E-2</v>
      </c>
      <c r="E34">
        <v>2.5939218251332E-2</v>
      </c>
      <c r="F34">
        <v>4.2093145909999997E-2</v>
      </c>
      <c r="G34">
        <v>2.9375805968287001E-2</v>
      </c>
      <c r="H34">
        <v>3.1381226089771001E-2</v>
      </c>
    </row>
    <row r="35" spans="1:8" hidden="1" x14ac:dyDescent="0.2">
      <c r="A35" t="s">
        <v>865</v>
      </c>
      <c r="B35" t="s">
        <v>87</v>
      </c>
      <c r="C35">
        <v>6.6206197049999999E-2</v>
      </c>
      <c r="D35">
        <v>7.2673022300000001E-2</v>
      </c>
      <c r="E35">
        <v>7.4103237439999997E-2</v>
      </c>
      <c r="F35">
        <v>5.7907274219999999E-2</v>
      </c>
      <c r="G35">
        <v>8.4352297689999994E-2</v>
      </c>
      <c r="H35">
        <v>7.8522954978999998E-2</v>
      </c>
    </row>
    <row r="36" spans="1:8" hidden="1" x14ac:dyDescent="0.2">
      <c r="A36" t="s">
        <v>899</v>
      </c>
      <c r="B36" t="s">
        <v>441</v>
      </c>
      <c r="C36">
        <v>0</v>
      </c>
      <c r="D36">
        <v>1.295091704E-4</v>
      </c>
      <c r="E36">
        <v>5.9659157869999997E-5</v>
      </c>
      <c r="F36">
        <v>0.10000118049999999</v>
      </c>
      <c r="G36">
        <v>0.1000414805</v>
      </c>
      <c r="H36">
        <v>0.1001556044</v>
      </c>
    </row>
    <row r="37" spans="1:8" hidden="1" x14ac:dyDescent="0.2">
      <c r="A37" t="s">
        <v>836</v>
      </c>
      <c r="B37" t="s">
        <v>3</v>
      </c>
      <c r="C37">
        <v>1.1572510041999999</v>
      </c>
      <c r="D37">
        <v>0.61674103988999995</v>
      </c>
      <c r="E37">
        <v>0.48763560439999998</v>
      </c>
      <c r="F37">
        <v>1.1261385100000001</v>
      </c>
      <c r="G37">
        <v>1.582950882</v>
      </c>
      <c r="H37">
        <v>2.4003631030000001</v>
      </c>
    </row>
    <row r="38" spans="1:8" x14ac:dyDescent="0.2">
      <c r="A38" t="s">
        <v>819</v>
      </c>
      <c r="B38" t="s">
        <v>7</v>
      </c>
      <c r="C38">
        <v>0</v>
      </c>
      <c r="D38">
        <v>1.1036650829999999E-5</v>
      </c>
      <c r="E38">
        <v>2.9101906920000001E-5</v>
      </c>
      <c r="F38">
        <v>6.9234882090000002E-7</v>
      </c>
      <c r="G38">
        <v>4.7911747390000003E-5</v>
      </c>
      <c r="H38">
        <v>5.8714355180000002E-5</v>
      </c>
    </row>
    <row r="39" spans="1:8" hidden="1" x14ac:dyDescent="0.2">
      <c r="A39" t="s">
        <v>819</v>
      </c>
      <c r="B39" t="s">
        <v>3</v>
      </c>
      <c r="C39">
        <v>3.6196603870000002E-7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hidden="1" x14ac:dyDescent="0.2">
      <c r="A40" t="s">
        <v>819</v>
      </c>
      <c r="B40" t="s">
        <v>352</v>
      </c>
      <c r="C40">
        <v>0</v>
      </c>
      <c r="D40">
        <v>0.12631768979999999</v>
      </c>
      <c r="E40">
        <v>7.565120669E-2</v>
      </c>
      <c r="F40">
        <v>2.2252872109999999E-2</v>
      </c>
      <c r="G40">
        <v>3.2026485979999998E-2</v>
      </c>
      <c r="H40">
        <v>2.712732067E-2</v>
      </c>
    </row>
    <row r="41" spans="1:8" hidden="1" x14ac:dyDescent="0.2">
      <c r="A41" t="s">
        <v>819</v>
      </c>
      <c r="B41" t="s">
        <v>87</v>
      </c>
      <c r="C41">
        <v>12.00000080554581</v>
      </c>
      <c r="D41">
        <v>10.859192686496099</v>
      </c>
      <c r="E41">
        <v>8.4495020435439034</v>
      </c>
      <c r="F41">
        <v>0.65110960039999999</v>
      </c>
      <c r="G41">
        <v>0.61992595969999997</v>
      </c>
      <c r="H41">
        <v>0.1033211107</v>
      </c>
    </row>
    <row r="42" spans="1:8" hidden="1" x14ac:dyDescent="0.2">
      <c r="A42" t="s">
        <v>867</v>
      </c>
      <c r="B42" t="s">
        <v>199</v>
      </c>
      <c r="C42">
        <v>0.31663156263251002</v>
      </c>
      <c r="D42">
        <v>1.6480622889000001E-4</v>
      </c>
      <c r="E42">
        <v>1.474209457878E-3</v>
      </c>
      <c r="F42">
        <v>2.0445676520000002E-3</v>
      </c>
      <c r="G42">
        <v>2.2479769900000001E-5</v>
      </c>
      <c r="H42">
        <v>6.7829222076860006E-3</v>
      </c>
    </row>
    <row r="43" spans="1:8" hidden="1" x14ac:dyDescent="0.2">
      <c r="A43" t="s">
        <v>867</v>
      </c>
      <c r="B43" t="s">
        <v>3</v>
      </c>
      <c r="C43">
        <v>1.6190946821454171</v>
      </c>
      <c r="D43">
        <v>0.51124662511446073</v>
      </c>
      <c r="E43">
        <v>0.40544081888006001</v>
      </c>
      <c r="F43">
        <v>0.3367164639593313</v>
      </c>
      <c r="G43">
        <v>0.27573416412221002</v>
      </c>
      <c r="H43">
        <v>3.0838393630027401</v>
      </c>
    </row>
    <row r="44" spans="1:8" hidden="1" x14ac:dyDescent="0.2">
      <c r="A44" t="s">
        <v>867</v>
      </c>
      <c r="B44" t="s">
        <v>11</v>
      </c>
      <c r="C44">
        <v>2.0200451680000001E-6</v>
      </c>
      <c r="D44">
        <v>2.5213476781799999E-5</v>
      </c>
      <c r="E44">
        <v>3.877329877E-6</v>
      </c>
      <c r="F44">
        <v>0</v>
      </c>
      <c r="G44">
        <v>0</v>
      </c>
      <c r="H44">
        <v>6.513676996E-6</v>
      </c>
    </row>
    <row r="45" spans="1:8" hidden="1" x14ac:dyDescent="0.2">
      <c r="A45" t="s">
        <v>867</v>
      </c>
      <c r="B45" t="s">
        <v>2</v>
      </c>
      <c r="C45">
        <v>5.5771250490000001E-6</v>
      </c>
      <c r="D45">
        <v>1.6521785926000001E-4</v>
      </c>
      <c r="E45">
        <v>5.1697624128199996E-4</v>
      </c>
      <c r="F45">
        <v>5.0704289720000003E-4</v>
      </c>
      <c r="G45">
        <v>2.250389147E-5</v>
      </c>
      <c r="H45">
        <v>7.2960408779669996E-3</v>
      </c>
    </row>
    <row r="46" spans="1:8" x14ac:dyDescent="0.2">
      <c r="A46" t="s">
        <v>867</v>
      </c>
      <c r="B46" t="s">
        <v>128</v>
      </c>
      <c r="C46">
        <v>0.85560327180672402</v>
      </c>
      <c r="D46">
        <v>0.26344104591570999</v>
      </c>
      <c r="E46">
        <v>0.21078929982845901</v>
      </c>
      <c r="F46">
        <v>0.157087278114</v>
      </c>
      <c r="G46">
        <v>0.11696013610361</v>
      </c>
      <c r="H46">
        <v>0.87385495957929205</v>
      </c>
    </row>
    <row r="47" spans="1:8" hidden="1" x14ac:dyDescent="0.2">
      <c r="A47" t="s">
        <v>893</v>
      </c>
      <c r="B47">
        <v>0</v>
      </c>
      <c r="C47">
        <v>4.1635660730000003E-6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hidden="1" x14ac:dyDescent="0.2">
      <c r="A48" t="s">
        <v>893</v>
      </c>
      <c r="B48" t="s">
        <v>441</v>
      </c>
      <c r="C48">
        <v>4.2014401210000003E-6</v>
      </c>
      <c r="D48">
        <v>0.10002119769999999</v>
      </c>
      <c r="E48">
        <v>0.10000294799999999</v>
      </c>
      <c r="F48">
        <v>9.9999991469999994E-2</v>
      </c>
      <c r="G48">
        <v>9.99998042E-2</v>
      </c>
      <c r="H48">
        <v>0.1000062206</v>
      </c>
    </row>
    <row r="49" spans="1:8" hidden="1" x14ac:dyDescent="0.2">
      <c r="A49" t="s">
        <v>854</v>
      </c>
      <c r="B49" t="s">
        <v>352</v>
      </c>
      <c r="C49">
        <v>0.13780665222352981</v>
      </c>
      <c r="D49">
        <v>1.6900774879770999E-2</v>
      </c>
      <c r="E49">
        <v>1.4081332674492001E-2</v>
      </c>
      <c r="F49">
        <v>2.365200915E-2</v>
      </c>
      <c r="G49">
        <v>1.16985076288E-5</v>
      </c>
      <c r="H49">
        <v>3.5543919842492999E-2</v>
      </c>
    </row>
    <row r="50" spans="1:8" hidden="1" x14ac:dyDescent="0.2">
      <c r="A50" t="s">
        <v>854</v>
      </c>
      <c r="B50" t="s">
        <v>87</v>
      </c>
      <c r="C50">
        <v>1.566241252876581</v>
      </c>
      <c r="D50">
        <v>8.3321441289561496E-2</v>
      </c>
      <c r="E50">
        <v>8.6118216687099999E-2</v>
      </c>
      <c r="F50">
        <v>7.6350824270000006E-2</v>
      </c>
      <c r="G50">
        <v>0.21686259678693001</v>
      </c>
      <c r="H50">
        <v>0.148681222740397</v>
      </c>
    </row>
    <row r="51" spans="1:8" hidden="1" x14ac:dyDescent="0.2">
      <c r="A51" t="s">
        <v>851</v>
      </c>
      <c r="B51" t="s">
        <v>441</v>
      </c>
      <c r="C51">
        <v>0</v>
      </c>
      <c r="D51">
        <v>20.57359881</v>
      </c>
      <c r="E51">
        <v>16.436813390000001</v>
      </c>
      <c r="F51">
        <v>2.505757078E-5</v>
      </c>
      <c r="G51">
        <v>20.402400799999999</v>
      </c>
      <c r="H51">
        <v>1.594154201E-3</v>
      </c>
    </row>
    <row r="52" spans="1:8" hidden="1" x14ac:dyDescent="0.2">
      <c r="A52" t="s">
        <v>851</v>
      </c>
      <c r="B52" t="s">
        <v>352</v>
      </c>
      <c r="C52">
        <v>10.38936391688933</v>
      </c>
      <c r="D52">
        <v>3.372158644039E-4</v>
      </c>
      <c r="E52">
        <v>7.2199087229699998E-4</v>
      </c>
      <c r="F52">
        <v>6.440951473094918</v>
      </c>
      <c r="G52">
        <v>4.7110510865100002E-4</v>
      </c>
      <c r="H52">
        <v>6.5904768142850516</v>
      </c>
    </row>
    <row r="53" spans="1:8" hidden="1" x14ac:dyDescent="0.2">
      <c r="A53" t="s">
        <v>851</v>
      </c>
      <c r="B53" t="s">
        <v>87</v>
      </c>
      <c r="C53">
        <v>33.610693975183963</v>
      </c>
      <c r="D53">
        <v>0.1082483960498978</v>
      </c>
      <c r="E53">
        <v>1.6493459942709999E-3</v>
      </c>
      <c r="F53">
        <v>11.72008498563374</v>
      </c>
      <c r="G53">
        <v>1.061388682974E-3</v>
      </c>
      <c r="H53">
        <v>12.94836205773708</v>
      </c>
    </row>
    <row r="54" spans="1:8" hidden="1" x14ac:dyDescent="0.2">
      <c r="A54" t="s">
        <v>851</v>
      </c>
      <c r="B54" t="s">
        <v>318</v>
      </c>
      <c r="C54">
        <v>0</v>
      </c>
      <c r="D54">
        <v>1.0626130023999999E-4</v>
      </c>
      <c r="E54">
        <v>1.9615389216E-4</v>
      </c>
      <c r="F54">
        <v>5.8067879944329999E-2</v>
      </c>
      <c r="G54">
        <v>2.1860681126E-4</v>
      </c>
      <c r="H54">
        <v>3.1865891482000003E-2</v>
      </c>
    </row>
    <row r="55" spans="1:8" x14ac:dyDescent="0.2">
      <c r="A55" t="s">
        <v>817</v>
      </c>
      <c r="B55" t="s">
        <v>7</v>
      </c>
      <c r="C55">
        <v>5.4446785249999996E-6</v>
      </c>
      <c r="D55">
        <v>2.7203830076740003E-4</v>
      </c>
      <c r="E55">
        <v>1.7430491160000001E-4</v>
      </c>
      <c r="F55">
        <v>2.258912298E-6</v>
      </c>
      <c r="G55">
        <v>1.6598663039999999E-4</v>
      </c>
      <c r="H55">
        <v>1.7651560700000001E-3</v>
      </c>
    </row>
    <row r="56" spans="1:8" hidden="1" x14ac:dyDescent="0.2">
      <c r="A56" t="s">
        <v>817</v>
      </c>
      <c r="B56" t="s">
        <v>113</v>
      </c>
      <c r="C56">
        <v>4.4115487803655098</v>
      </c>
      <c r="D56">
        <v>8.0600067784999995E-4</v>
      </c>
      <c r="E56">
        <v>2.0025516621000001E-4</v>
      </c>
      <c r="F56">
        <v>5.5628367733977004</v>
      </c>
      <c r="G56">
        <v>10.42779993083739</v>
      </c>
      <c r="H56">
        <v>10.0266713277954</v>
      </c>
    </row>
    <row r="57" spans="1:8" hidden="1" x14ac:dyDescent="0.2">
      <c r="A57" t="s">
        <v>817</v>
      </c>
      <c r="B57" t="s">
        <v>24</v>
      </c>
      <c r="C57">
        <v>0</v>
      </c>
      <c r="D57">
        <v>8.4485092979999998E-4</v>
      </c>
      <c r="E57">
        <v>2.7043929340000002E-4</v>
      </c>
      <c r="F57">
        <v>4.5690170439999998E-4</v>
      </c>
      <c r="G57">
        <v>3.0959438970000002</v>
      </c>
      <c r="H57">
        <v>2.058742981</v>
      </c>
    </row>
    <row r="58" spans="1:8" hidden="1" x14ac:dyDescent="0.2">
      <c r="A58" t="s">
        <v>817</v>
      </c>
      <c r="B58" t="s">
        <v>16</v>
      </c>
      <c r="C58">
        <v>0</v>
      </c>
      <c r="D58">
        <v>1.9531542340000001E-4</v>
      </c>
      <c r="E58">
        <v>7.0579573000000004E-5</v>
      </c>
      <c r="F58">
        <v>3.6566068910000001E-4</v>
      </c>
      <c r="G58">
        <v>2.411602464</v>
      </c>
      <c r="H58">
        <v>1.776896029</v>
      </c>
    </row>
    <row r="59" spans="1:8" x14ac:dyDescent="0.2">
      <c r="A59" t="s">
        <v>892</v>
      </c>
      <c r="B59" t="s">
        <v>7</v>
      </c>
      <c r="C59">
        <v>1.3579391019999999E-6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hidden="1" x14ac:dyDescent="0.2">
      <c r="A60" t="s">
        <v>892</v>
      </c>
      <c r="B60" t="s">
        <v>441</v>
      </c>
      <c r="C60">
        <v>0</v>
      </c>
      <c r="D60">
        <v>6.8000044470000001</v>
      </c>
      <c r="E60">
        <v>5.459680648</v>
      </c>
      <c r="F60">
        <v>26.86851098</v>
      </c>
      <c r="G60">
        <v>38.123876660000001</v>
      </c>
      <c r="H60">
        <v>61.046587279999997</v>
      </c>
    </row>
    <row r="61" spans="1:8" hidden="1" x14ac:dyDescent="0.2">
      <c r="A61" t="s">
        <v>915</v>
      </c>
      <c r="B61" t="s">
        <v>188</v>
      </c>
      <c r="C61">
        <v>1.137481762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">
      <c r="A62" t="s">
        <v>895</v>
      </c>
      <c r="B62" t="s">
        <v>7</v>
      </c>
      <c r="C62">
        <v>4.3224413850000003</v>
      </c>
      <c r="D62">
        <v>3.708798597E-5</v>
      </c>
      <c r="E62">
        <v>1.8160560139999998E-5</v>
      </c>
      <c r="F62">
        <v>2.3734022309999999E-7</v>
      </c>
      <c r="G62">
        <v>4.6557842759999997E-6</v>
      </c>
      <c r="H62">
        <v>6.38242945E-6</v>
      </c>
    </row>
    <row r="63" spans="1:8" hidden="1" x14ac:dyDescent="0.2">
      <c r="A63" t="s">
        <v>881</v>
      </c>
      <c r="B63" t="s">
        <v>318</v>
      </c>
      <c r="C63">
        <v>6.9999998806555999</v>
      </c>
      <c r="D63">
        <v>6.0000508913320996</v>
      </c>
      <c r="E63">
        <v>6.0000080536519</v>
      </c>
      <c r="F63">
        <v>5.9999999978790006</v>
      </c>
      <c r="G63">
        <v>5.9999999525585999</v>
      </c>
      <c r="H63">
        <v>6.0000153271791996</v>
      </c>
    </row>
    <row r="64" spans="1:8" hidden="1" x14ac:dyDescent="0.2">
      <c r="A64" t="s">
        <v>882</v>
      </c>
      <c r="B64" t="s">
        <v>316</v>
      </c>
      <c r="C64">
        <v>3.1999993210886841</v>
      </c>
      <c r="D64">
        <v>17.6996551380618</v>
      </c>
      <c r="E64">
        <v>17.699908074881961</v>
      </c>
      <c r="F64">
        <v>17.699994803900001</v>
      </c>
      <c r="G64">
        <v>17.699969137</v>
      </c>
      <c r="H64">
        <v>17.699931714000002</v>
      </c>
    </row>
    <row r="65" spans="1:8" hidden="1" x14ac:dyDescent="0.2">
      <c r="A65" t="s">
        <v>882</v>
      </c>
      <c r="B65" t="s">
        <v>11</v>
      </c>
      <c r="C65">
        <v>0</v>
      </c>
      <c r="D65">
        <v>4.2157440070000002E-5</v>
      </c>
      <c r="E65">
        <v>7.1587288569999997E-6</v>
      </c>
      <c r="F65">
        <v>1.2389634840000001E-7</v>
      </c>
      <c r="G65">
        <v>2.7982245580000001E-6</v>
      </c>
      <c r="H65">
        <v>5.1354895259999997E-6</v>
      </c>
    </row>
    <row r="66" spans="1:8" hidden="1" x14ac:dyDescent="0.2">
      <c r="A66" t="s">
        <v>882</v>
      </c>
      <c r="B66" t="s">
        <v>318</v>
      </c>
      <c r="C66">
        <v>7.3538982030000002E-7</v>
      </c>
      <c r="D66">
        <v>3.6643691809999998E-4</v>
      </c>
      <c r="E66">
        <v>9.5249748460000001E-5</v>
      </c>
      <c r="F66">
        <v>5.0723656050000004E-6</v>
      </c>
      <c r="G66">
        <v>2.8006685789999999E-5</v>
      </c>
      <c r="H66">
        <v>7.3387147869999998E-5</v>
      </c>
    </row>
    <row r="67" spans="1:8" x14ac:dyDescent="0.2">
      <c r="A67" t="s">
        <v>894</v>
      </c>
      <c r="B67" t="s">
        <v>7</v>
      </c>
      <c r="C67">
        <v>44.64999727</v>
      </c>
      <c r="D67">
        <v>29.438947013</v>
      </c>
      <c r="E67">
        <v>23.504800029999998</v>
      </c>
      <c r="F67">
        <v>49.505314259999999</v>
      </c>
      <c r="G67">
        <v>53.784999839999998</v>
      </c>
      <c r="H67">
        <v>57.280011870020843</v>
      </c>
    </row>
    <row r="68" spans="1:8" hidden="1" x14ac:dyDescent="0.2">
      <c r="A68" t="s">
        <v>880</v>
      </c>
      <c r="B68" t="s">
        <v>318</v>
      </c>
      <c r="C68">
        <v>33.118399906184123</v>
      </c>
      <c r="D68">
        <v>33.118490254445661</v>
      </c>
      <c r="E68">
        <v>28.978615067</v>
      </c>
      <c r="F68">
        <v>24.83880000417</v>
      </c>
      <c r="G68">
        <v>20.699000054999999</v>
      </c>
      <c r="H68">
        <v>16.559227694</v>
      </c>
    </row>
    <row r="69" spans="1:8" hidden="1" x14ac:dyDescent="0.2">
      <c r="A69" t="s">
        <v>887</v>
      </c>
      <c r="B69" t="s">
        <v>383</v>
      </c>
      <c r="C69">
        <v>45.160000150000002</v>
      </c>
      <c r="D69">
        <v>51.680039639999997</v>
      </c>
      <c r="E69">
        <v>54.860005899999997</v>
      </c>
      <c r="F69">
        <v>54.859999989999999</v>
      </c>
      <c r="G69">
        <v>54.859999539999997</v>
      </c>
      <c r="H69">
        <v>54.860006290000001</v>
      </c>
    </row>
    <row r="70" spans="1:8" hidden="1" x14ac:dyDescent="0.2">
      <c r="A70" t="s">
        <v>888</v>
      </c>
      <c r="B70" t="s">
        <v>383</v>
      </c>
      <c r="C70">
        <v>57.499997690000001</v>
      </c>
      <c r="D70">
        <v>6.5700172669999999</v>
      </c>
      <c r="E70">
        <v>10.00000208</v>
      </c>
      <c r="F70">
        <v>38.519999990000002</v>
      </c>
      <c r="G70">
        <v>38.519999439999999</v>
      </c>
      <c r="H70">
        <v>38.520001630000003</v>
      </c>
    </row>
    <row r="71" spans="1:8" hidden="1" x14ac:dyDescent="0.2">
      <c r="A71" t="s">
        <v>908</v>
      </c>
      <c r="B71" t="s">
        <v>383</v>
      </c>
      <c r="C71">
        <v>0.1000008912759337</v>
      </c>
      <c r="D71">
        <v>4.2087398083816394</v>
      </c>
      <c r="E71">
        <v>5.2456389080000003E-5</v>
      </c>
      <c r="F71">
        <v>6.5797411619999995E-7</v>
      </c>
      <c r="G71">
        <v>1.009964559E-5</v>
      </c>
      <c r="H71">
        <v>1.310226225E-3</v>
      </c>
    </row>
    <row r="72" spans="1:8" hidden="1" x14ac:dyDescent="0.2">
      <c r="A72" t="s">
        <v>820</v>
      </c>
      <c r="B72" t="s">
        <v>199</v>
      </c>
      <c r="C72">
        <v>6.0837090117245838</v>
      </c>
      <c r="D72">
        <v>5.835384583803898</v>
      </c>
      <c r="E72">
        <v>5.6128279592607999</v>
      </c>
      <c r="F72">
        <v>5.7118852406325864</v>
      </c>
      <c r="G72">
        <v>5.1221784646746809</v>
      </c>
      <c r="H72">
        <v>5.5305883403999998E-4</v>
      </c>
    </row>
    <row r="73" spans="1:8" x14ac:dyDescent="0.2">
      <c r="A73" t="s">
        <v>820</v>
      </c>
      <c r="B73" t="s">
        <v>7</v>
      </c>
      <c r="C73">
        <v>8.7857387417130006</v>
      </c>
      <c r="D73">
        <v>6.1975977774632858</v>
      </c>
      <c r="E73">
        <v>1.6008257186949999E-3</v>
      </c>
      <c r="F73">
        <v>14.38160979241097</v>
      </c>
      <c r="G73">
        <v>36.772453626542067</v>
      </c>
      <c r="H73">
        <v>79.844370769502504</v>
      </c>
    </row>
    <row r="74" spans="1:8" hidden="1" x14ac:dyDescent="0.2">
      <c r="A74" t="s">
        <v>820</v>
      </c>
      <c r="B74" t="s">
        <v>3</v>
      </c>
      <c r="C74">
        <v>11.26459743914471</v>
      </c>
      <c r="D74">
        <v>1.5371523248075469</v>
      </c>
      <c r="E74">
        <v>0.79262920206137</v>
      </c>
      <c r="F74">
        <v>1.9927829570103739</v>
      </c>
      <c r="G74">
        <v>0.51270988414278995</v>
      </c>
      <c r="H74">
        <v>6.7279197822799996E-4</v>
      </c>
    </row>
    <row r="75" spans="1:8" hidden="1" x14ac:dyDescent="0.2">
      <c r="A75" t="s">
        <v>820</v>
      </c>
      <c r="B75" t="s">
        <v>20</v>
      </c>
      <c r="C75">
        <v>24.69002303711267</v>
      </c>
      <c r="D75">
        <v>3.0192285971000001E-4</v>
      </c>
      <c r="E75">
        <v>1.1959194354E-4</v>
      </c>
      <c r="F75">
        <v>1.4743172337E-6</v>
      </c>
      <c r="G75">
        <v>3.7118056500999998E-5</v>
      </c>
      <c r="H75">
        <v>7.8569649671000007E-5</v>
      </c>
    </row>
    <row r="76" spans="1:8" hidden="1" x14ac:dyDescent="0.2">
      <c r="A76" t="s">
        <v>820</v>
      </c>
      <c r="B76" t="s">
        <v>316</v>
      </c>
      <c r="C76">
        <v>6.3093106720000014</v>
      </c>
      <c r="D76">
        <v>7.5387177559999999E-3</v>
      </c>
      <c r="E76">
        <v>16.869208994000001</v>
      </c>
      <c r="F76">
        <v>17.213812776000001</v>
      </c>
      <c r="G76">
        <v>16.784337659999998</v>
      </c>
      <c r="H76">
        <v>1.0953446795E-4</v>
      </c>
    </row>
    <row r="77" spans="1:8" hidden="1" x14ac:dyDescent="0.2">
      <c r="A77" t="s">
        <v>820</v>
      </c>
      <c r="B77" t="s">
        <v>113</v>
      </c>
      <c r="C77">
        <v>0</v>
      </c>
      <c r="D77">
        <v>9.2574871289999999E-5</v>
      </c>
      <c r="E77">
        <v>4.4466295140000002E-5</v>
      </c>
      <c r="F77">
        <v>1.0427335817999999E-6</v>
      </c>
      <c r="G77">
        <v>1.8333600547E-5</v>
      </c>
      <c r="H77">
        <v>3.386786439E-5</v>
      </c>
    </row>
    <row r="78" spans="1:8" hidden="1" x14ac:dyDescent="0.2">
      <c r="A78" t="s">
        <v>820</v>
      </c>
      <c r="B78" t="s">
        <v>11</v>
      </c>
      <c r="C78">
        <v>5.6003946109999998E-6</v>
      </c>
      <c r="D78">
        <v>6.5017421430000005E-5</v>
      </c>
      <c r="E78">
        <v>2.9843902819999999E-5</v>
      </c>
      <c r="F78">
        <v>9.6286630230000009E-7</v>
      </c>
      <c r="G78">
        <v>2.2987501067E-5</v>
      </c>
      <c r="H78">
        <v>5.0367817170000003E-5</v>
      </c>
    </row>
    <row r="79" spans="1:8" hidden="1" x14ac:dyDescent="0.2">
      <c r="A79" t="s">
        <v>820</v>
      </c>
      <c r="B79" t="s">
        <v>24</v>
      </c>
      <c r="C79">
        <v>1.5001556823765001</v>
      </c>
      <c r="D79">
        <v>2.3450999496E-3</v>
      </c>
      <c r="E79">
        <v>1.3039299272999999E-3</v>
      </c>
      <c r="F79">
        <v>1.80578777E-5</v>
      </c>
      <c r="G79">
        <v>3.2583548310000001E-4</v>
      </c>
      <c r="H79">
        <v>5.0402525339999994E-4</v>
      </c>
    </row>
    <row r="80" spans="1:8" hidden="1" x14ac:dyDescent="0.2">
      <c r="A80" t="s">
        <v>820</v>
      </c>
      <c r="B80" t="s">
        <v>16</v>
      </c>
      <c r="C80">
        <v>16.00000026</v>
      </c>
      <c r="D80">
        <v>11.844510700000001</v>
      </c>
      <c r="E80">
        <v>11.305710599999999</v>
      </c>
      <c r="F80">
        <v>11.306959920000001</v>
      </c>
      <c r="G80">
        <v>11.31185193</v>
      </c>
      <c r="H80">
        <v>11.30431063</v>
      </c>
    </row>
    <row r="81" spans="1:8" hidden="1" x14ac:dyDescent="0.2">
      <c r="A81" t="s">
        <v>820</v>
      </c>
      <c r="B81" t="s">
        <v>2</v>
      </c>
      <c r="C81">
        <v>0.50263317275562902</v>
      </c>
      <c r="D81">
        <v>0.92144591036930901</v>
      </c>
      <c r="E81">
        <v>3.0659259217916</v>
      </c>
      <c r="F81">
        <v>16.75093730865358</v>
      </c>
      <c r="G81">
        <v>1.7408685466490601</v>
      </c>
      <c r="H81">
        <v>1.2557159268500001E-3</v>
      </c>
    </row>
    <row r="82" spans="1:8" hidden="1" x14ac:dyDescent="0.2">
      <c r="A82" t="s">
        <v>820</v>
      </c>
      <c r="B82" t="s">
        <v>194</v>
      </c>
      <c r="C82">
        <v>0.30496983662733301</v>
      </c>
      <c r="D82">
        <v>6.918438991957041</v>
      </c>
      <c r="E82">
        <v>6.1373892386913997</v>
      </c>
      <c r="F82">
        <v>5.6198904119253701</v>
      </c>
      <c r="G82">
        <v>4.8147191951598201</v>
      </c>
      <c r="H82">
        <v>1.12324073811334</v>
      </c>
    </row>
    <row r="83" spans="1:8" hidden="1" x14ac:dyDescent="0.2">
      <c r="A83" t="s">
        <v>820</v>
      </c>
      <c r="B83" t="s">
        <v>5</v>
      </c>
      <c r="C83">
        <v>4.3000006920000002</v>
      </c>
      <c r="D83">
        <v>5.0551119860000002E-5</v>
      </c>
      <c r="E83">
        <v>0</v>
      </c>
      <c r="F83">
        <v>0</v>
      </c>
      <c r="G83">
        <v>0</v>
      </c>
      <c r="H83">
        <v>0</v>
      </c>
    </row>
    <row r="84" spans="1:8" x14ac:dyDescent="0.2">
      <c r="A84" t="s">
        <v>820</v>
      </c>
      <c r="B84" t="s">
        <v>128</v>
      </c>
      <c r="C84">
        <v>6.8100107434605581</v>
      </c>
      <c r="D84">
        <v>18.233268330041799</v>
      </c>
      <c r="E84">
        <v>14.58605303955731</v>
      </c>
      <c r="F84">
        <v>14.5854092074285</v>
      </c>
      <c r="G84">
        <v>11.17119990242781</v>
      </c>
      <c r="H84">
        <v>1.1062026803865601</v>
      </c>
    </row>
    <row r="85" spans="1:8" hidden="1" x14ac:dyDescent="0.2">
      <c r="A85" t="s">
        <v>820</v>
      </c>
      <c r="B85" t="s">
        <v>188</v>
      </c>
      <c r="C85">
        <v>3.5111113230000002</v>
      </c>
      <c r="D85">
        <v>12.44444863</v>
      </c>
      <c r="E85">
        <v>0</v>
      </c>
      <c r="F85">
        <v>0</v>
      </c>
      <c r="G85">
        <v>0</v>
      </c>
      <c r="H85">
        <v>0</v>
      </c>
    </row>
    <row r="86" spans="1:8" hidden="1" x14ac:dyDescent="0.2">
      <c r="A86" t="s">
        <v>820</v>
      </c>
      <c r="B86" t="s">
        <v>318</v>
      </c>
      <c r="C86">
        <v>9.0016256779999998E-2</v>
      </c>
      <c r="D86">
        <v>4.2267555240000001E-3</v>
      </c>
      <c r="E86">
        <v>6.4873637390000001</v>
      </c>
      <c r="F86">
        <v>5.8166914900000002</v>
      </c>
      <c r="G86">
        <v>5.1492857570000004</v>
      </c>
      <c r="H86">
        <v>5.1318954650000001E-5</v>
      </c>
    </row>
    <row r="87" spans="1:8" x14ac:dyDescent="0.2">
      <c r="A87" t="s">
        <v>823</v>
      </c>
      <c r="B87" t="s">
        <v>7</v>
      </c>
      <c r="C87">
        <v>4.1386712130000003</v>
      </c>
      <c r="D87">
        <v>5.4372459950000003E-5</v>
      </c>
      <c r="E87">
        <v>8.8338529640000003E-6</v>
      </c>
      <c r="F87">
        <v>0</v>
      </c>
      <c r="G87">
        <v>1.4471367740000001E-6</v>
      </c>
      <c r="H87">
        <v>1.503574195E-5</v>
      </c>
    </row>
    <row r="88" spans="1:8" x14ac:dyDescent="0.2">
      <c r="A88" t="s">
        <v>898</v>
      </c>
      <c r="B88" t="s">
        <v>7</v>
      </c>
      <c r="C88">
        <v>6.6105211730000006E-5</v>
      </c>
      <c r="D88">
        <v>7.0906424800000001E-5</v>
      </c>
      <c r="E88">
        <v>3.3150388769999997E-5</v>
      </c>
      <c r="F88">
        <v>3.1050211690000002E-7</v>
      </c>
      <c r="G88">
        <v>1.7750015850000001E-5</v>
      </c>
      <c r="H88">
        <v>3.7028741379999999E-5</v>
      </c>
    </row>
    <row r="89" spans="1:8" hidden="1" x14ac:dyDescent="0.2">
      <c r="A89" t="s">
        <v>898</v>
      </c>
      <c r="B89" t="s">
        <v>3</v>
      </c>
      <c r="C89">
        <v>0.78246778392675997</v>
      </c>
      <c r="D89">
        <v>0.1028832485296</v>
      </c>
      <c r="E89">
        <v>0.10034140214154</v>
      </c>
      <c r="F89">
        <v>8.0961720828292894</v>
      </c>
      <c r="G89">
        <v>6.4971349169976103</v>
      </c>
      <c r="H89">
        <v>2.4135463236529402</v>
      </c>
    </row>
    <row r="90" spans="1:8" hidden="1" x14ac:dyDescent="0.2">
      <c r="A90" t="s">
        <v>837</v>
      </c>
      <c r="B90" t="s">
        <v>3</v>
      </c>
      <c r="C90">
        <v>5.4646494399999996</v>
      </c>
      <c r="D90">
        <v>4.5411345750000001</v>
      </c>
      <c r="E90">
        <v>3.6467907739999998</v>
      </c>
      <c r="F90">
        <v>9.6549447080000004</v>
      </c>
      <c r="G90">
        <v>13.9530249232474</v>
      </c>
      <c r="H90">
        <v>22.155890627200002</v>
      </c>
    </row>
    <row r="91" spans="1:8" hidden="1" x14ac:dyDescent="0.2">
      <c r="A91" t="s">
        <v>924</v>
      </c>
      <c r="B91" t="s">
        <v>441</v>
      </c>
      <c r="C91">
        <v>0</v>
      </c>
      <c r="D91">
        <v>4.1633363419999999E-17</v>
      </c>
      <c r="E91">
        <v>0</v>
      </c>
      <c r="F91">
        <v>0</v>
      </c>
      <c r="G91">
        <v>0</v>
      </c>
      <c r="H91">
        <v>0</v>
      </c>
    </row>
    <row r="92" spans="1:8" hidden="1" x14ac:dyDescent="0.2">
      <c r="A92" t="s">
        <v>924</v>
      </c>
      <c r="B92" t="s">
        <v>3</v>
      </c>
      <c r="C92">
        <v>0</v>
      </c>
      <c r="D92">
        <v>2.2799848653485999E-2</v>
      </c>
      <c r="E92">
        <v>0</v>
      </c>
      <c r="F92">
        <v>0</v>
      </c>
      <c r="G92">
        <v>0</v>
      </c>
      <c r="H92">
        <v>0</v>
      </c>
    </row>
    <row r="93" spans="1:8" hidden="1" x14ac:dyDescent="0.2">
      <c r="A93" t="s">
        <v>924</v>
      </c>
      <c r="B93" t="s">
        <v>113</v>
      </c>
      <c r="C93">
        <v>0</v>
      </c>
      <c r="D93">
        <v>5.5210996640000001E-13</v>
      </c>
      <c r="E93">
        <v>0</v>
      </c>
      <c r="F93">
        <v>0</v>
      </c>
      <c r="G93">
        <v>0</v>
      </c>
      <c r="H93">
        <v>0</v>
      </c>
    </row>
    <row r="94" spans="1:8" x14ac:dyDescent="0.2">
      <c r="A94" t="s">
        <v>827</v>
      </c>
      <c r="B94" t="s">
        <v>7</v>
      </c>
      <c r="C94">
        <v>0</v>
      </c>
      <c r="D94">
        <v>3.3703445630000001E-6</v>
      </c>
      <c r="E94">
        <v>1.9284236679999999E-6</v>
      </c>
      <c r="F94">
        <v>0</v>
      </c>
      <c r="G94">
        <v>1.8729189060000001E-6</v>
      </c>
      <c r="H94">
        <v>2.079741518E-5</v>
      </c>
    </row>
    <row r="95" spans="1:8" hidden="1" x14ac:dyDescent="0.2">
      <c r="A95" t="s">
        <v>827</v>
      </c>
      <c r="B95" t="s">
        <v>3</v>
      </c>
      <c r="C95">
        <v>1.1165938840000001E-7</v>
      </c>
      <c r="D95">
        <v>0.1342465336</v>
      </c>
      <c r="E95">
        <v>0.12749467</v>
      </c>
      <c r="F95">
        <v>0</v>
      </c>
      <c r="G95">
        <v>0</v>
      </c>
      <c r="H95">
        <v>0</v>
      </c>
    </row>
    <row r="96" spans="1:8" x14ac:dyDescent="0.2">
      <c r="A96" t="s">
        <v>827</v>
      </c>
      <c r="B96" t="s">
        <v>405</v>
      </c>
      <c r="C96">
        <v>0.4372240107</v>
      </c>
      <c r="D96">
        <v>3.6314671900999999E-5</v>
      </c>
      <c r="E96">
        <v>1.50821081927E-5</v>
      </c>
      <c r="F96">
        <v>1.5103010760000001E-6</v>
      </c>
      <c r="G96">
        <v>0.20230077597183299</v>
      </c>
      <c r="H96">
        <v>0.47885357232862202</v>
      </c>
    </row>
    <row r="97" spans="1:8" hidden="1" x14ac:dyDescent="0.2">
      <c r="A97" t="s">
        <v>827</v>
      </c>
      <c r="B97" t="s">
        <v>113</v>
      </c>
      <c r="C97">
        <v>6.4434035036662003</v>
      </c>
      <c r="D97">
        <v>16.188530891935191</v>
      </c>
      <c r="E97">
        <v>10.500009002024759</v>
      </c>
      <c r="F97">
        <v>6.9763290480000002</v>
      </c>
      <c r="G97">
        <v>6.4529305264753658</v>
      </c>
      <c r="H97">
        <v>5.0109954118794784</v>
      </c>
    </row>
    <row r="98" spans="1:8" hidden="1" x14ac:dyDescent="0.2">
      <c r="A98" t="s">
        <v>827</v>
      </c>
      <c r="B98" t="s">
        <v>194</v>
      </c>
      <c r="C98">
        <v>2.7323189373999999E-2</v>
      </c>
      <c r="D98">
        <v>0.15848465039373449</v>
      </c>
      <c r="E98">
        <v>2.3721521980124001E-3</v>
      </c>
      <c r="F98">
        <v>3.8795013789999998E-4</v>
      </c>
      <c r="G98">
        <v>2.7143752839999999E-3</v>
      </c>
      <c r="H98">
        <v>2.5641618350586998E-3</v>
      </c>
    </row>
    <row r="99" spans="1:8" x14ac:dyDescent="0.2">
      <c r="A99" t="s">
        <v>827</v>
      </c>
      <c r="B99" t="s">
        <v>128</v>
      </c>
      <c r="C99">
        <v>0</v>
      </c>
      <c r="D99">
        <v>5.7417953959999996E-7</v>
      </c>
      <c r="E99">
        <v>2.1932033230000001E-7</v>
      </c>
      <c r="F99">
        <v>0</v>
      </c>
      <c r="G99">
        <v>2.8571141660000001E-7</v>
      </c>
      <c r="H99">
        <v>1.4229294830000001E-6</v>
      </c>
    </row>
    <row r="100" spans="1:8" hidden="1" x14ac:dyDescent="0.2">
      <c r="A100" t="s">
        <v>877</v>
      </c>
      <c r="B100" t="s">
        <v>113</v>
      </c>
      <c r="C100">
        <v>5.0780776980000001E-7</v>
      </c>
      <c r="D100">
        <v>4.236303768</v>
      </c>
      <c r="E100">
        <v>10.50000414</v>
      </c>
      <c r="F100">
        <v>6.9763290480000002</v>
      </c>
      <c r="G100">
        <v>6.452927656</v>
      </c>
      <c r="H100">
        <v>5.0109838240000002</v>
      </c>
    </row>
    <row r="101" spans="1:8" hidden="1" x14ac:dyDescent="0.2">
      <c r="A101" t="s">
        <v>847</v>
      </c>
      <c r="B101" t="s">
        <v>316</v>
      </c>
      <c r="C101">
        <v>2.7384728170000001E-7</v>
      </c>
      <c r="D101">
        <v>5.9033847749999996E-7</v>
      </c>
      <c r="E101">
        <v>3.0083222839999999E-7</v>
      </c>
      <c r="F101">
        <v>0</v>
      </c>
      <c r="G101">
        <v>0</v>
      </c>
      <c r="H101">
        <v>7.9439802810000001E-2</v>
      </c>
    </row>
    <row r="102" spans="1:8" hidden="1" x14ac:dyDescent="0.2">
      <c r="A102" t="s">
        <v>847</v>
      </c>
      <c r="B102" t="s">
        <v>2</v>
      </c>
      <c r="C102">
        <v>1.1388079529999999</v>
      </c>
      <c r="D102">
        <v>1.0216034919999999</v>
      </c>
      <c r="E102">
        <v>0.97884187779999998</v>
      </c>
      <c r="F102">
        <v>0.86214165590000003</v>
      </c>
      <c r="G102">
        <v>0.52820850090000004</v>
      </c>
      <c r="H102">
        <v>0.95285853170000001</v>
      </c>
    </row>
    <row r="103" spans="1:8" hidden="1" x14ac:dyDescent="0.2">
      <c r="A103" t="s">
        <v>859</v>
      </c>
      <c r="B103" t="s">
        <v>199</v>
      </c>
      <c r="C103">
        <v>1.172788232644925</v>
      </c>
      <c r="D103">
        <v>0.22118370382824001</v>
      </c>
      <c r="E103">
        <v>0.137425965750891</v>
      </c>
      <c r="F103">
        <v>0.12980227529999999</v>
      </c>
      <c r="G103">
        <v>0.1199125613</v>
      </c>
      <c r="H103">
        <v>0.11923144039402001</v>
      </c>
    </row>
    <row r="104" spans="1:8" hidden="1" x14ac:dyDescent="0.2">
      <c r="A104" t="s">
        <v>859</v>
      </c>
      <c r="B104" t="s">
        <v>3</v>
      </c>
      <c r="C104">
        <v>3.3751544224000002E-5</v>
      </c>
      <c r="D104">
        <v>0.2410032187541</v>
      </c>
      <c r="E104">
        <v>0.14942448786578</v>
      </c>
      <c r="F104">
        <v>0.1319337264431531</v>
      </c>
      <c r="G104">
        <v>0.12755873344185001</v>
      </c>
      <c r="H104">
        <v>0.13957883001277999</v>
      </c>
    </row>
    <row r="105" spans="1:8" hidden="1" x14ac:dyDescent="0.2">
      <c r="A105" t="s">
        <v>859</v>
      </c>
      <c r="B105" t="s">
        <v>20</v>
      </c>
      <c r="C105">
        <v>1.75501362E-2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hidden="1" x14ac:dyDescent="0.2">
      <c r="A106" t="s">
        <v>859</v>
      </c>
      <c r="B106" t="s">
        <v>2</v>
      </c>
      <c r="C106">
        <v>1.1088165848999999E-5</v>
      </c>
      <c r="D106">
        <v>2.8664507743750001E-2</v>
      </c>
      <c r="E106">
        <v>1.9567063783275999E-2</v>
      </c>
      <c r="F106">
        <v>2.031014938E-2</v>
      </c>
      <c r="G106">
        <v>0.1124179713</v>
      </c>
      <c r="H106">
        <v>0.13820773709133299</v>
      </c>
    </row>
    <row r="107" spans="1:8" x14ac:dyDescent="0.2">
      <c r="A107" t="s">
        <v>859</v>
      </c>
      <c r="B107" t="s">
        <v>128</v>
      </c>
      <c r="C107">
        <v>1.7003800939999998E-5</v>
      </c>
      <c r="D107">
        <v>0.23374867137620001</v>
      </c>
      <c r="E107">
        <v>0.15248694805861601</v>
      </c>
      <c r="F107">
        <v>0.13112720259999999</v>
      </c>
      <c r="G107">
        <v>0.1260974222</v>
      </c>
      <c r="H107">
        <v>0.13809584043727</v>
      </c>
    </row>
    <row r="108" spans="1:8" hidden="1" x14ac:dyDescent="0.2">
      <c r="A108" t="s">
        <v>848</v>
      </c>
      <c r="B108" t="s">
        <v>199</v>
      </c>
      <c r="C108">
        <v>0.20159999249999999</v>
      </c>
      <c r="D108">
        <v>0.111466934</v>
      </c>
      <c r="E108">
        <v>7.5880046610000002E-2</v>
      </c>
      <c r="F108">
        <v>6.8320003409999996E-2</v>
      </c>
      <c r="G108">
        <v>8.0360004639999996E-2</v>
      </c>
      <c r="H108">
        <v>8.8480086710000003E-2</v>
      </c>
    </row>
    <row r="109" spans="1:8" hidden="1" x14ac:dyDescent="0.2">
      <c r="A109" t="s">
        <v>848</v>
      </c>
      <c r="B109" t="s">
        <v>316</v>
      </c>
      <c r="C109">
        <v>0.1014192411</v>
      </c>
      <c r="D109">
        <v>5.4756335019999998E-2</v>
      </c>
      <c r="E109">
        <v>4.9127885089999997E-2</v>
      </c>
      <c r="F109">
        <v>4.7859990419999998E-2</v>
      </c>
      <c r="G109">
        <v>4.9149013509999999E-2</v>
      </c>
      <c r="H109">
        <v>5.0437189850000001E-2</v>
      </c>
    </row>
    <row r="110" spans="1:8" hidden="1" x14ac:dyDescent="0.2">
      <c r="A110" t="s">
        <v>848</v>
      </c>
      <c r="B110" t="s">
        <v>24</v>
      </c>
      <c r="C110">
        <v>3.7974496760000002E-4</v>
      </c>
      <c r="D110">
        <v>2.509834626E-3</v>
      </c>
      <c r="E110">
        <v>1.1538614070000001E-3</v>
      </c>
      <c r="F110">
        <v>1.554356318E-5</v>
      </c>
      <c r="G110">
        <v>2.2525716719999999E-4</v>
      </c>
      <c r="H110">
        <v>3.9365681850000002E-4</v>
      </c>
    </row>
    <row r="111" spans="1:8" hidden="1" x14ac:dyDescent="0.2">
      <c r="A111" t="s">
        <v>848</v>
      </c>
      <c r="B111" t="s">
        <v>2</v>
      </c>
      <c r="C111">
        <v>0.43424528359999998</v>
      </c>
      <c r="D111">
        <v>0.39942124969999998</v>
      </c>
      <c r="E111">
        <v>0.39047114030000002</v>
      </c>
      <c r="F111">
        <v>0.36758516029999999</v>
      </c>
      <c r="G111">
        <v>0.2252084738</v>
      </c>
      <c r="H111">
        <v>0.40626350929999999</v>
      </c>
    </row>
    <row r="112" spans="1:8" hidden="1" x14ac:dyDescent="0.2">
      <c r="A112" t="s">
        <v>848</v>
      </c>
      <c r="B112" t="s">
        <v>352</v>
      </c>
      <c r="C112">
        <v>32.017498052803589</v>
      </c>
      <c r="D112">
        <v>37.270264589514881</v>
      </c>
      <c r="E112">
        <v>33.308756782633253</v>
      </c>
      <c r="F112">
        <v>17.927049371568319</v>
      </c>
      <c r="G112">
        <v>28.55807056617439</v>
      </c>
      <c r="H112">
        <v>19.778923393311839</v>
      </c>
    </row>
    <row r="113" spans="1:8" hidden="1" x14ac:dyDescent="0.2">
      <c r="A113" t="s">
        <v>848</v>
      </c>
      <c r="B113" t="s">
        <v>87</v>
      </c>
      <c r="C113">
        <v>185.48215339726681</v>
      </c>
      <c r="D113">
        <v>198.52143135822959</v>
      </c>
      <c r="E113">
        <v>153.53552942683979</v>
      </c>
      <c r="F113">
        <v>97.260790019612898</v>
      </c>
      <c r="G113">
        <v>123.716366607547</v>
      </c>
      <c r="H113">
        <v>104.4927758120743</v>
      </c>
    </row>
    <row r="114" spans="1:8" hidden="1" x14ac:dyDescent="0.2">
      <c r="A114" t="s">
        <v>848</v>
      </c>
      <c r="B114" t="s">
        <v>318</v>
      </c>
      <c r="C114">
        <v>0.16714912783168059</v>
      </c>
      <c r="D114">
        <v>0.16706220131533001</v>
      </c>
      <c r="E114">
        <v>0.145844777053</v>
      </c>
      <c r="F114">
        <v>5.9797780584240012E-2</v>
      </c>
      <c r="G114">
        <v>0.10403135728</v>
      </c>
      <c r="H114">
        <v>3.3634684987000001E-2</v>
      </c>
    </row>
    <row r="115" spans="1:8" hidden="1" x14ac:dyDescent="0.2">
      <c r="A115" t="s">
        <v>818</v>
      </c>
      <c r="B115" t="s">
        <v>5</v>
      </c>
      <c r="C115">
        <v>11.09999979116041</v>
      </c>
      <c r="D115">
        <v>8.8000051736664595</v>
      </c>
      <c r="E115">
        <v>15.00000034852915</v>
      </c>
      <c r="F115">
        <v>14.99999999534816</v>
      </c>
      <c r="G115">
        <v>14.999999945000001</v>
      </c>
      <c r="H115">
        <v>15.000000505999999</v>
      </c>
    </row>
    <row r="116" spans="1:8" hidden="1" x14ac:dyDescent="0.2">
      <c r="A116" t="s">
        <v>821</v>
      </c>
      <c r="B116">
        <v>0</v>
      </c>
      <c r="C116">
        <v>0.35016402856724449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hidden="1" x14ac:dyDescent="0.2">
      <c r="A117" t="s">
        <v>821</v>
      </c>
      <c r="B117" t="s">
        <v>581</v>
      </c>
      <c r="C117">
        <v>1.7480708719366751</v>
      </c>
      <c r="D117">
        <v>0.36761803006254001</v>
      </c>
      <c r="E117">
        <v>0.39757624711804002</v>
      </c>
      <c r="F117">
        <v>0.36574960270105511</v>
      </c>
      <c r="G117">
        <v>0.73474841635999999</v>
      </c>
      <c r="H117">
        <v>0.71357034839</v>
      </c>
    </row>
    <row r="118" spans="1:8" hidden="1" x14ac:dyDescent="0.2">
      <c r="A118" t="s">
        <v>821</v>
      </c>
      <c r="B118" t="s">
        <v>199</v>
      </c>
      <c r="C118">
        <v>10.230569491999651</v>
      </c>
      <c r="D118">
        <v>10.235432425811849</v>
      </c>
      <c r="E118">
        <v>11.60761934429393</v>
      </c>
      <c r="F118">
        <v>11.302932765363151</v>
      </c>
      <c r="G118">
        <v>10.23274241036694</v>
      </c>
      <c r="H118">
        <v>11.54104774716488</v>
      </c>
    </row>
    <row r="119" spans="1:8" x14ac:dyDescent="0.2">
      <c r="A119" t="s">
        <v>821</v>
      </c>
      <c r="B119" t="s">
        <v>7</v>
      </c>
      <c r="C119">
        <v>0.37745637860253178</v>
      </c>
      <c r="D119">
        <v>0.21348999762679671</v>
      </c>
      <c r="E119">
        <v>0.17037975519602641</v>
      </c>
      <c r="F119">
        <v>0.27691476856123348</v>
      </c>
      <c r="G119">
        <v>0.46680427206019443</v>
      </c>
      <c r="H119">
        <v>0.63394174394099434</v>
      </c>
    </row>
    <row r="120" spans="1:8" hidden="1" x14ac:dyDescent="0.2">
      <c r="A120" t="s">
        <v>821</v>
      </c>
      <c r="B120" t="s">
        <v>3</v>
      </c>
      <c r="C120">
        <v>56.960499444734403</v>
      </c>
      <c r="D120">
        <v>57.766638116158667</v>
      </c>
      <c r="E120">
        <v>58.369080682934197</v>
      </c>
      <c r="F120">
        <v>48.767817487576707</v>
      </c>
      <c r="G120">
        <v>53.302953217472961</v>
      </c>
      <c r="H120">
        <v>96.16161233967749</v>
      </c>
    </row>
    <row r="121" spans="1:8" x14ac:dyDescent="0.2">
      <c r="A121" t="s">
        <v>821</v>
      </c>
      <c r="B121" t="s">
        <v>405</v>
      </c>
      <c r="C121">
        <v>0.31591661876756</v>
      </c>
      <c r="D121">
        <v>1.9003984498000001E-4</v>
      </c>
      <c r="E121">
        <v>9.8002660591000007E-5</v>
      </c>
      <c r="F121">
        <v>2.1140960026999998E-6</v>
      </c>
      <c r="G121">
        <v>0.45390523327466797</v>
      </c>
      <c r="H121">
        <v>0.59679711520724998</v>
      </c>
    </row>
    <row r="122" spans="1:8" hidden="1" x14ac:dyDescent="0.2">
      <c r="A122" t="s">
        <v>821</v>
      </c>
      <c r="B122" t="s">
        <v>20</v>
      </c>
      <c r="C122">
        <v>127.62675218121279</v>
      </c>
      <c r="D122">
        <v>71.354509025194247</v>
      </c>
      <c r="E122">
        <v>52.824832762240831</v>
      </c>
      <c r="F122">
        <v>48.978221789484827</v>
      </c>
      <c r="G122">
        <v>60.152311173780291</v>
      </c>
      <c r="H122">
        <v>59.902711144854088</v>
      </c>
    </row>
    <row r="123" spans="1:8" hidden="1" x14ac:dyDescent="0.2">
      <c r="A123" t="s">
        <v>821</v>
      </c>
      <c r="B123" t="s">
        <v>316</v>
      </c>
      <c r="C123">
        <v>25.986900499690329</v>
      </c>
      <c r="D123">
        <v>40.752029077213159</v>
      </c>
      <c r="E123">
        <v>38.522415258860121</v>
      </c>
      <c r="F123">
        <v>39.940095059220752</v>
      </c>
      <c r="G123">
        <v>40.538741330830362</v>
      </c>
      <c r="H123">
        <v>40.210623694530902</v>
      </c>
    </row>
    <row r="124" spans="1:8" hidden="1" x14ac:dyDescent="0.2">
      <c r="A124" t="s">
        <v>821</v>
      </c>
      <c r="B124" t="s">
        <v>113</v>
      </c>
      <c r="C124">
        <v>9.7291532432949995E-3</v>
      </c>
      <c r="D124">
        <v>1.15709384518E-5</v>
      </c>
      <c r="E124">
        <v>1.03700052567E-5</v>
      </c>
      <c r="F124">
        <v>0.53959380312302441</v>
      </c>
      <c r="G124">
        <v>1.0115001487130999</v>
      </c>
      <c r="H124">
        <v>0.97257917367271318</v>
      </c>
    </row>
    <row r="125" spans="1:8" hidden="1" x14ac:dyDescent="0.2">
      <c r="A125" t="s">
        <v>821</v>
      </c>
      <c r="B125" t="s">
        <v>11</v>
      </c>
      <c r="C125">
        <v>0.39913387741251449</v>
      </c>
      <c r="D125">
        <v>3.5029931837073501E-2</v>
      </c>
      <c r="E125">
        <v>0.54849931703215671</v>
      </c>
      <c r="F125">
        <v>1.068512237995894</v>
      </c>
      <c r="G125">
        <v>42.760643206254407</v>
      </c>
      <c r="H125">
        <v>57.543306143176643</v>
      </c>
    </row>
    <row r="126" spans="1:8" hidden="1" x14ac:dyDescent="0.2">
      <c r="A126" t="s">
        <v>821</v>
      </c>
      <c r="B126" t="s">
        <v>24</v>
      </c>
      <c r="C126">
        <v>130.42790671559379</v>
      </c>
      <c r="D126">
        <v>123.1798701893584</v>
      </c>
      <c r="E126">
        <v>134.51114854728061</v>
      </c>
      <c r="F126">
        <v>147.78560693396699</v>
      </c>
      <c r="G126">
        <v>161.07385968366179</v>
      </c>
      <c r="H126">
        <v>179.85501662814849</v>
      </c>
    </row>
    <row r="127" spans="1:8" hidden="1" x14ac:dyDescent="0.2">
      <c r="A127" t="s">
        <v>821</v>
      </c>
      <c r="B127" t="s">
        <v>16</v>
      </c>
      <c r="C127">
        <v>78.18058261509141</v>
      </c>
      <c r="D127">
        <v>79.385044212189896</v>
      </c>
      <c r="E127">
        <v>85.360599625751576</v>
      </c>
      <c r="F127">
        <v>89.907802333657997</v>
      </c>
      <c r="G127">
        <v>92.458327226137385</v>
      </c>
      <c r="H127">
        <v>101.4445515758043</v>
      </c>
    </row>
    <row r="128" spans="1:8" hidden="1" x14ac:dyDescent="0.2">
      <c r="A128" t="s">
        <v>821</v>
      </c>
      <c r="B128" t="s">
        <v>2</v>
      </c>
      <c r="C128">
        <v>45.685364216809113</v>
      </c>
      <c r="D128">
        <v>44.161565747256986</v>
      </c>
      <c r="E128">
        <v>50.574021860151007</v>
      </c>
      <c r="F128">
        <v>50.211653035532422</v>
      </c>
      <c r="G128">
        <v>69.928941585556089</v>
      </c>
      <c r="H128">
        <v>69.614638171340815</v>
      </c>
    </row>
    <row r="129" spans="1:8" hidden="1" x14ac:dyDescent="0.2">
      <c r="A129" t="s">
        <v>821</v>
      </c>
      <c r="B129" t="s">
        <v>194</v>
      </c>
      <c r="C129">
        <v>7.5083144791735892</v>
      </c>
      <c r="D129">
        <v>5.471166638547218</v>
      </c>
      <c r="E129">
        <v>5.0001101071880809</v>
      </c>
      <c r="F129">
        <v>4.3091353759265996</v>
      </c>
      <c r="G129">
        <v>3.7440874301807372</v>
      </c>
      <c r="H129">
        <v>5.2322860244312741</v>
      </c>
    </row>
    <row r="130" spans="1:8" hidden="1" x14ac:dyDescent="0.2">
      <c r="A130" t="s">
        <v>821</v>
      </c>
      <c r="B130" t="s">
        <v>5</v>
      </c>
      <c r="C130">
        <v>31.671711295119561</v>
      </c>
      <c r="D130">
        <v>47.417850190400003</v>
      </c>
      <c r="E130">
        <v>50.365948479600362</v>
      </c>
      <c r="F130">
        <v>54.506218839399999</v>
      </c>
      <c r="G130">
        <v>56.107919518199999</v>
      </c>
      <c r="H130">
        <v>58.075784381171978</v>
      </c>
    </row>
    <row r="131" spans="1:8" hidden="1" x14ac:dyDescent="0.2">
      <c r="A131" t="s">
        <v>821</v>
      </c>
      <c r="B131" t="s">
        <v>352</v>
      </c>
      <c r="C131">
        <v>1.078918244102437</v>
      </c>
      <c r="D131">
        <v>2.5177516052000001E-6</v>
      </c>
      <c r="E131">
        <v>8.5385914910000004E-6</v>
      </c>
      <c r="F131">
        <v>0</v>
      </c>
      <c r="G131">
        <v>9.0020294060000005E-6</v>
      </c>
      <c r="H131">
        <v>3.3970401691999999E-6</v>
      </c>
    </row>
    <row r="132" spans="1:8" x14ac:dyDescent="0.2">
      <c r="A132" t="s">
        <v>821</v>
      </c>
      <c r="B132" t="s">
        <v>128</v>
      </c>
      <c r="C132">
        <v>10.5797077296862</v>
      </c>
      <c r="D132">
        <v>9.0890215232722618</v>
      </c>
      <c r="E132">
        <v>12.58623338080314</v>
      </c>
      <c r="F132">
        <v>7.5117610087131697</v>
      </c>
      <c r="G132">
        <v>10.57276988600997</v>
      </c>
      <c r="H132">
        <v>8.3071100912678908</v>
      </c>
    </row>
    <row r="133" spans="1:8" hidden="1" x14ac:dyDescent="0.2">
      <c r="A133" t="s">
        <v>821</v>
      </c>
      <c r="B133" t="s">
        <v>87</v>
      </c>
      <c r="C133">
        <v>40.675528303499583</v>
      </c>
      <c r="D133">
        <v>33.226673580148898</v>
      </c>
      <c r="E133">
        <v>60.127326889440972</v>
      </c>
      <c r="F133">
        <v>123.0810686264216</v>
      </c>
      <c r="G133">
        <v>88.561336377411706</v>
      </c>
      <c r="H133">
        <v>101.59413007647861</v>
      </c>
    </row>
    <row r="134" spans="1:8" hidden="1" x14ac:dyDescent="0.2">
      <c r="A134" t="s">
        <v>821</v>
      </c>
      <c r="B134" t="s">
        <v>188</v>
      </c>
      <c r="C134">
        <v>1.663520919959294</v>
      </c>
      <c r="D134">
        <v>1.2808687457406369</v>
      </c>
      <c r="E134">
        <v>1.5934940717884121</v>
      </c>
      <c r="F134">
        <v>0.1494490364152086</v>
      </c>
      <c r="G134">
        <v>31.415564016761799</v>
      </c>
      <c r="H134">
        <v>10.093964778411969</v>
      </c>
    </row>
    <row r="135" spans="1:8" hidden="1" x14ac:dyDescent="0.2">
      <c r="A135" t="s">
        <v>821</v>
      </c>
      <c r="B135" t="s">
        <v>318</v>
      </c>
      <c r="C135">
        <v>9.8999996195454258</v>
      </c>
      <c r="D135">
        <v>7</v>
      </c>
      <c r="E135">
        <v>6.125</v>
      </c>
      <c r="F135">
        <v>5.625</v>
      </c>
      <c r="G135">
        <v>4.7916665079999996</v>
      </c>
      <c r="H135">
        <v>3.9583332539999998</v>
      </c>
    </row>
    <row r="136" spans="1:8" hidden="1" x14ac:dyDescent="0.2">
      <c r="A136" t="s">
        <v>856</v>
      </c>
      <c r="B136">
        <v>0</v>
      </c>
      <c r="C136">
        <v>208.7995052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hidden="1" x14ac:dyDescent="0.2">
      <c r="A137" t="s">
        <v>856</v>
      </c>
      <c r="B137" t="s">
        <v>441</v>
      </c>
      <c r="C137">
        <v>221.5053231</v>
      </c>
      <c r="D137">
        <v>364.52766630000002</v>
      </c>
      <c r="E137">
        <v>268.36585489999999</v>
      </c>
      <c r="F137">
        <v>306.33713180000001</v>
      </c>
      <c r="G137">
        <v>257.03746009999998</v>
      </c>
      <c r="H137">
        <v>254.97053539999999</v>
      </c>
    </row>
    <row r="138" spans="1:8" hidden="1" x14ac:dyDescent="0.2">
      <c r="A138" t="s">
        <v>833</v>
      </c>
      <c r="B138" t="s">
        <v>581</v>
      </c>
      <c r="C138">
        <v>0.23713459040000001</v>
      </c>
      <c r="D138">
        <v>0.2056952182</v>
      </c>
      <c r="E138">
        <v>0.19779872000000001</v>
      </c>
      <c r="F138">
        <v>0.20470833660000001</v>
      </c>
      <c r="G138">
        <v>0.2027345566</v>
      </c>
      <c r="H138">
        <v>0.2027345566</v>
      </c>
    </row>
    <row r="139" spans="1:8" x14ac:dyDescent="0.2">
      <c r="A139" t="s">
        <v>833</v>
      </c>
      <c r="B139" t="s">
        <v>7</v>
      </c>
      <c r="C139">
        <v>0.99171280120000005</v>
      </c>
      <c r="D139">
        <v>1.560869496</v>
      </c>
      <c r="E139">
        <v>1.2475930552000001</v>
      </c>
      <c r="F139">
        <v>4.7231052424</v>
      </c>
      <c r="G139">
        <v>5.5125996639000006</v>
      </c>
      <c r="H139">
        <v>6.9584472887225264</v>
      </c>
    </row>
    <row r="140" spans="1:8" hidden="1" x14ac:dyDescent="0.2">
      <c r="A140" t="s">
        <v>833</v>
      </c>
      <c r="B140" t="s">
        <v>3</v>
      </c>
      <c r="C140">
        <v>73.360017345412956</v>
      </c>
      <c r="D140">
        <v>59.408996098000138</v>
      </c>
      <c r="E140">
        <v>53.505378659999998</v>
      </c>
      <c r="F140">
        <v>50.741245927000001</v>
      </c>
      <c r="G140">
        <v>42.295605506999998</v>
      </c>
      <c r="H140">
        <v>36.249699702999997</v>
      </c>
    </row>
    <row r="141" spans="1:8" hidden="1" x14ac:dyDescent="0.2">
      <c r="A141" t="s">
        <v>833</v>
      </c>
      <c r="B141" t="s">
        <v>316</v>
      </c>
      <c r="C141">
        <v>16.490000169999998</v>
      </c>
      <c r="D141">
        <v>13.260000140000001</v>
      </c>
      <c r="E141">
        <v>12.81800039</v>
      </c>
      <c r="F141">
        <v>13.191999879999999</v>
      </c>
      <c r="G141">
        <v>13.021999879999999</v>
      </c>
      <c r="H141">
        <v>12.988000400000001</v>
      </c>
    </row>
    <row r="142" spans="1:8" hidden="1" x14ac:dyDescent="0.2">
      <c r="A142" t="s">
        <v>833</v>
      </c>
      <c r="B142" t="s">
        <v>2</v>
      </c>
      <c r="C142">
        <v>12.888450649999999</v>
      </c>
      <c r="D142">
        <v>12.95524655</v>
      </c>
      <c r="E142">
        <v>13.26096489</v>
      </c>
      <c r="F142">
        <v>13.927741879999999</v>
      </c>
      <c r="G142">
        <v>13.43147398</v>
      </c>
      <c r="H142">
        <v>13.34504297</v>
      </c>
    </row>
    <row r="143" spans="1:8" hidden="1" x14ac:dyDescent="0.2">
      <c r="A143" t="s">
        <v>833</v>
      </c>
      <c r="B143" t="s">
        <v>194</v>
      </c>
      <c r="C143">
        <v>8.72734235820168</v>
      </c>
      <c r="D143">
        <v>6.014087802098997</v>
      </c>
      <c r="E143">
        <v>5.3543052859956708</v>
      </c>
      <c r="F143">
        <v>4.8819540225619997</v>
      </c>
      <c r="G143">
        <v>4.1883679196245742</v>
      </c>
      <c r="H143">
        <v>3.4402676355873201</v>
      </c>
    </row>
    <row r="144" spans="1:8" x14ac:dyDescent="0.2">
      <c r="A144" t="s">
        <v>833</v>
      </c>
      <c r="B144" t="s">
        <v>128</v>
      </c>
      <c r="C144">
        <v>1.2360786669999999E-6</v>
      </c>
      <c r="D144">
        <v>2.2112613879999999E-5</v>
      </c>
      <c r="E144">
        <v>1.0978034249999999E-5</v>
      </c>
      <c r="F144">
        <v>0</v>
      </c>
      <c r="G144">
        <v>2.526115485E-6</v>
      </c>
      <c r="H144">
        <v>1.279254972E-5</v>
      </c>
    </row>
    <row r="145" spans="1:8" hidden="1" x14ac:dyDescent="0.2">
      <c r="A145" t="s">
        <v>833</v>
      </c>
      <c r="B145" t="s">
        <v>188</v>
      </c>
      <c r="C145">
        <v>6.6442162949999994E-2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hidden="1" x14ac:dyDescent="0.2">
      <c r="A146" t="s">
        <v>833</v>
      </c>
      <c r="B146" t="s">
        <v>318</v>
      </c>
      <c r="C146">
        <v>6.0999999049999998</v>
      </c>
      <c r="D146">
        <v>6.4000000950000002</v>
      </c>
      <c r="E146">
        <v>5.7750000950000002</v>
      </c>
      <c r="F146">
        <v>5.1749997140000001</v>
      </c>
      <c r="G146">
        <v>4.5812497140000001</v>
      </c>
      <c r="H146">
        <v>3.8399999139999998</v>
      </c>
    </row>
    <row r="147" spans="1:8" hidden="1" x14ac:dyDescent="0.2">
      <c r="A147" t="s">
        <v>832</v>
      </c>
      <c r="B147" t="s">
        <v>581</v>
      </c>
      <c r="C147">
        <v>0.12312240689999999</v>
      </c>
      <c r="D147">
        <v>0.1067988027</v>
      </c>
      <c r="E147">
        <v>0.10269887</v>
      </c>
      <c r="F147">
        <v>0.106286405</v>
      </c>
      <c r="G147">
        <v>0.1052616007</v>
      </c>
      <c r="H147">
        <v>0.1052616007</v>
      </c>
    </row>
    <row r="148" spans="1:8" hidden="1" x14ac:dyDescent="0.2">
      <c r="A148" t="s">
        <v>832</v>
      </c>
      <c r="B148" t="s">
        <v>199</v>
      </c>
      <c r="C148">
        <v>0.3735025823102085</v>
      </c>
      <c r="D148">
        <v>0.33614999020000003</v>
      </c>
      <c r="E148">
        <v>0.32214373819999997</v>
      </c>
      <c r="F148">
        <v>0.30813748619999998</v>
      </c>
      <c r="G148">
        <v>0.29413123429999999</v>
      </c>
      <c r="H148">
        <v>0.28012498229999999</v>
      </c>
    </row>
    <row r="149" spans="1:8" x14ac:dyDescent="0.2">
      <c r="A149" t="s">
        <v>832</v>
      </c>
      <c r="B149" t="s">
        <v>7</v>
      </c>
      <c r="C149">
        <v>1.129694054</v>
      </c>
      <c r="D149">
        <v>9.6931508139999995E-6</v>
      </c>
      <c r="E149">
        <v>4.7463631059999998E-6</v>
      </c>
      <c r="F149">
        <v>0</v>
      </c>
      <c r="G149">
        <v>1.2168150400000001E-6</v>
      </c>
      <c r="H149">
        <v>1.6680833320000001E-6</v>
      </c>
    </row>
    <row r="150" spans="1:8" hidden="1" x14ac:dyDescent="0.2">
      <c r="A150" t="s">
        <v>832</v>
      </c>
      <c r="B150" t="s">
        <v>3</v>
      </c>
      <c r="C150">
        <v>4.8253750719723918</v>
      </c>
      <c r="D150">
        <v>3.394805933760523</v>
      </c>
      <c r="E150">
        <v>3.0574554041369901</v>
      </c>
      <c r="F150">
        <v>2.8994997520000001</v>
      </c>
      <c r="G150">
        <v>2.4168930048258499</v>
      </c>
      <c r="H150">
        <v>2.0714139433544259</v>
      </c>
    </row>
    <row r="151" spans="1:8" hidden="1" x14ac:dyDescent="0.2">
      <c r="A151" t="s">
        <v>832</v>
      </c>
      <c r="B151" t="s">
        <v>316</v>
      </c>
      <c r="C151">
        <v>4.3650001730000003</v>
      </c>
      <c r="D151">
        <v>3.5100001390000002</v>
      </c>
      <c r="E151">
        <v>3.3930002030000002</v>
      </c>
      <c r="F151">
        <v>3.49200007</v>
      </c>
      <c r="G151">
        <v>3.4470000679999999</v>
      </c>
      <c r="H151">
        <v>3.4380002049999998</v>
      </c>
    </row>
    <row r="152" spans="1:8" hidden="1" x14ac:dyDescent="0.2">
      <c r="A152" t="s">
        <v>832</v>
      </c>
      <c r="B152" t="s">
        <v>2</v>
      </c>
      <c r="C152">
        <v>2.935100034</v>
      </c>
      <c r="D152">
        <v>2.9511414359999999</v>
      </c>
      <c r="E152">
        <v>3.0207825690000001</v>
      </c>
      <c r="F152">
        <v>3.1726710890000001</v>
      </c>
      <c r="G152">
        <v>3.0596237020000001</v>
      </c>
      <c r="H152">
        <v>3.0399351430000001</v>
      </c>
    </row>
    <row r="153" spans="1:8" hidden="1" x14ac:dyDescent="0.2">
      <c r="A153" t="s">
        <v>832</v>
      </c>
      <c r="B153" t="s">
        <v>194</v>
      </c>
      <c r="C153">
        <v>0.26338820419999998</v>
      </c>
      <c r="D153">
        <v>0.14403514019999999</v>
      </c>
      <c r="E153">
        <v>0.1260200635</v>
      </c>
      <c r="F153">
        <v>0.119133926</v>
      </c>
      <c r="G153">
        <v>0.10140001329999999</v>
      </c>
      <c r="H153">
        <v>8.2872538620000005E-2</v>
      </c>
    </row>
    <row r="154" spans="1:8" x14ac:dyDescent="0.2">
      <c r="A154" t="s">
        <v>832</v>
      </c>
      <c r="B154" t="s">
        <v>128</v>
      </c>
      <c r="C154">
        <v>96.137771240000006</v>
      </c>
      <c r="D154">
        <v>87.172575343569804</v>
      </c>
      <c r="E154">
        <v>79.037411238551201</v>
      </c>
      <c r="F154">
        <v>71.389561080313001</v>
      </c>
      <c r="G154">
        <v>64.25526046131769</v>
      </c>
      <c r="H154">
        <v>57.120961025159318</v>
      </c>
    </row>
    <row r="155" spans="1:8" hidden="1" x14ac:dyDescent="0.2">
      <c r="A155" t="s">
        <v>832</v>
      </c>
      <c r="B155" t="s">
        <v>188</v>
      </c>
      <c r="C155">
        <v>6.4619362689999999E-4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hidden="1" x14ac:dyDescent="0.2">
      <c r="A156" t="s">
        <v>846</v>
      </c>
      <c r="B156" t="s">
        <v>581</v>
      </c>
      <c r="C156">
        <v>0.12312240689999999</v>
      </c>
      <c r="D156">
        <v>0.1067988027</v>
      </c>
      <c r="E156">
        <v>0.10269887</v>
      </c>
      <c r="F156">
        <v>0.106286405</v>
      </c>
      <c r="G156">
        <v>0.1052616007</v>
      </c>
      <c r="H156">
        <v>0.1052616007</v>
      </c>
    </row>
    <row r="157" spans="1:8" hidden="1" x14ac:dyDescent="0.2">
      <c r="A157" t="s">
        <v>846</v>
      </c>
      <c r="B157" t="s">
        <v>199</v>
      </c>
      <c r="C157">
        <v>0.3734999859</v>
      </c>
      <c r="D157">
        <v>0.33614999020000003</v>
      </c>
      <c r="E157">
        <v>0.32214373819999997</v>
      </c>
      <c r="F157">
        <v>0.30813748619999998</v>
      </c>
      <c r="G157">
        <v>0.29413123429999999</v>
      </c>
      <c r="H157">
        <v>0.28012498229999999</v>
      </c>
    </row>
    <row r="158" spans="1:8" hidden="1" x14ac:dyDescent="0.2">
      <c r="A158" t="s">
        <v>846</v>
      </c>
      <c r="B158" t="s">
        <v>3</v>
      </c>
      <c r="C158">
        <v>18.86565388</v>
      </c>
      <c r="D158">
        <v>16.12164606</v>
      </c>
      <c r="E158">
        <v>12.229114989999999</v>
      </c>
      <c r="F158">
        <v>10.03958314</v>
      </c>
      <c r="G158">
        <v>8.2165406979999993</v>
      </c>
      <c r="H158">
        <v>7.0154537120000002</v>
      </c>
    </row>
    <row r="159" spans="1:8" hidden="1" x14ac:dyDescent="0.2">
      <c r="A159" t="s">
        <v>846</v>
      </c>
      <c r="B159" t="s">
        <v>2</v>
      </c>
      <c r="C159">
        <v>2.935100034</v>
      </c>
      <c r="D159">
        <v>2.9511414359999999</v>
      </c>
      <c r="E159">
        <v>3.0207825690000001</v>
      </c>
      <c r="F159">
        <v>3.1726710890000001</v>
      </c>
      <c r="G159">
        <v>3.0596237020000001</v>
      </c>
      <c r="H159">
        <v>3.0399351430000001</v>
      </c>
    </row>
    <row r="160" spans="1:8" hidden="1" x14ac:dyDescent="0.2">
      <c r="A160" t="s">
        <v>846</v>
      </c>
      <c r="B160" t="s">
        <v>194</v>
      </c>
      <c r="C160">
        <v>2.370494114</v>
      </c>
      <c r="D160">
        <v>1.296316451</v>
      </c>
      <c r="E160">
        <v>1.134180744</v>
      </c>
      <c r="F160">
        <v>1.072205487</v>
      </c>
      <c r="G160">
        <v>0.91260025330000005</v>
      </c>
      <c r="H160">
        <v>0.74585295839999999</v>
      </c>
    </row>
    <row r="161" spans="1:8" hidden="1" x14ac:dyDescent="0.2">
      <c r="A161" t="s">
        <v>834</v>
      </c>
      <c r="B161" t="s">
        <v>581</v>
      </c>
      <c r="C161">
        <v>0.55409738689999999</v>
      </c>
      <c r="D161">
        <v>0.48063499589999997</v>
      </c>
      <c r="E161">
        <v>0.46218374839999998</v>
      </c>
      <c r="F161">
        <v>0.47832901210000001</v>
      </c>
      <c r="G161">
        <v>0.47371700529999999</v>
      </c>
      <c r="H161">
        <v>0.47371700529999999</v>
      </c>
    </row>
    <row r="162" spans="1:8" hidden="1" x14ac:dyDescent="0.2">
      <c r="A162" t="s">
        <v>834</v>
      </c>
      <c r="B162" t="s">
        <v>199</v>
      </c>
      <c r="C162">
        <v>6.0629994211907494</v>
      </c>
      <c r="D162">
        <v>5.4998995620000004</v>
      </c>
      <c r="E162">
        <v>5.2872969000000003</v>
      </c>
      <c r="F162">
        <v>5.0574142369999997</v>
      </c>
      <c r="G162">
        <v>4.827531574</v>
      </c>
      <c r="H162">
        <v>4.5976489110000003</v>
      </c>
    </row>
    <row r="163" spans="1:8" hidden="1" x14ac:dyDescent="0.2">
      <c r="A163" t="s">
        <v>834</v>
      </c>
      <c r="B163" t="s">
        <v>3</v>
      </c>
      <c r="C163">
        <v>12.507953519999999</v>
      </c>
      <c r="D163">
        <v>1.5148712209999999</v>
      </c>
      <c r="E163">
        <v>0</v>
      </c>
      <c r="F163">
        <v>0</v>
      </c>
      <c r="G163">
        <v>0</v>
      </c>
      <c r="H163">
        <v>0</v>
      </c>
    </row>
    <row r="164" spans="1:8" hidden="1" x14ac:dyDescent="0.2">
      <c r="A164" t="s">
        <v>834</v>
      </c>
      <c r="B164" t="s">
        <v>2</v>
      </c>
      <c r="C164">
        <v>0</v>
      </c>
      <c r="D164">
        <v>0.92339000250000003</v>
      </c>
      <c r="E164">
        <v>1.327737696</v>
      </c>
      <c r="F164">
        <v>2.0043293019999999</v>
      </c>
      <c r="G164">
        <v>1.7470665400000001</v>
      </c>
      <c r="H164">
        <v>1.757789153</v>
      </c>
    </row>
    <row r="165" spans="1:8" hidden="1" x14ac:dyDescent="0.2">
      <c r="A165" t="s">
        <v>860</v>
      </c>
      <c r="B165" t="s">
        <v>199</v>
      </c>
      <c r="C165">
        <v>0.165948388868806</v>
      </c>
      <c r="D165">
        <v>2.7665086026923098</v>
      </c>
      <c r="E165">
        <v>2.7202983137548169</v>
      </c>
      <c r="F165">
        <v>2.5975195219999998</v>
      </c>
      <c r="G165">
        <v>2.4945334849999998</v>
      </c>
      <c r="H165">
        <v>2.35094230975078</v>
      </c>
    </row>
    <row r="166" spans="1:8" hidden="1" x14ac:dyDescent="0.2">
      <c r="A166" t="s">
        <v>860</v>
      </c>
      <c r="B166" t="s">
        <v>3</v>
      </c>
      <c r="C166">
        <v>1.7400513861000002E-5</v>
      </c>
      <c r="D166">
        <v>4.5571981017812</v>
      </c>
      <c r="E166">
        <v>2.4581563156734001</v>
      </c>
      <c r="F166">
        <v>2.146787324311616</v>
      </c>
      <c r="G166">
        <v>2.1763444028927998</v>
      </c>
      <c r="H166">
        <v>1.6123782919377401</v>
      </c>
    </row>
    <row r="167" spans="1:8" hidden="1" x14ac:dyDescent="0.2">
      <c r="A167" t="s">
        <v>860</v>
      </c>
      <c r="B167" t="s">
        <v>20</v>
      </c>
      <c r="C167">
        <v>0.24687144019999999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hidden="1" x14ac:dyDescent="0.2">
      <c r="A168" t="s">
        <v>860</v>
      </c>
      <c r="B168" t="s">
        <v>2</v>
      </c>
      <c r="C168">
        <v>20.678350349497649</v>
      </c>
      <c r="D168">
        <v>1.5781603640340001E-2</v>
      </c>
      <c r="E168">
        <v>2.9547881514109999E-2</v>
      </c>
      <c r="F168">
        <v>2.3359301459999999E-2</v>
      </c>
      <c r="G168">
        <v>1.3038756659999999</v>
      </c>
      <c r="H168">
        <v>3.4663819382964589</v>
      </c>
    </row>
    <row r="169" spans="1:8" x14ac:dyDescent="0.2">
      <c r="A169" t="s">
        <v>860</v>
      </c>
      <c r="B169" t="s">
        <v>128</v>
      </c>
      <c r="C169">
        <v>1.009684343E-5</v>
      </c>
      <c r="D169">
        <v>4.92191258897381</v>
      </c>
      <c r="E169">
        <v>2.7449556716746621</v>
      </c>
      <c r="F169">
        <v>2.3929208750000002</v>
      </c>
      <c r="G169">
        <v>2.4477402499999998</v>
      </c>
      <c r="H169">
        <v>1.84386542983569</v>
      </c>
    </row>
    <row r="170" spans="1:8" hidden="1" x14ac:dyDescent="0.2">
      <c r="A170" t="s">
        <v>896</v>
      </c>
      <c r="B170" t="s">
        <v>11</v>
      </c>
      <c r="C170">
        <v>1.000002362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hidden="1" x14ac:dyDescent="0.2">
      <c r="A171" t="s">
        <v>885</v>
      </c>
      <c r="B171" t="s">
        <v>20</v>
      </c>
      <c r="C171">
        <v>5.5955157040000003</v>
      </c>
      <c r="D171">
        <v>32.400588650000003</v>
      </c>
      <c r="E171">
        <v>54.034741250000003</v>
      </c>
      <c r="F171">
        <v>100.73074630000001</v>
      </c>
      <c r="G171">
        <v>95.091998559999993</v>
      </c>
      <c r="H171">
        <v>94.600947259999998</v>
      </c>
    </row>
    <row r="172" spans="1:8" hidden="1" x14ac:dyDescent="0.2">
      <c r="A172" t="s">
        <v>870</v>
      </c>
      <c r="B172" t="s">
        <v>581</v>
      </c>
      <c r="C172">
        <v>6.1237094449999996E-7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2">
      <c r="A173" t="s">
        <v>870</v>
      </c>
      <c r="B173" t="s">
        <v>128</v>
      </c>
      <c r="C173">
        <v>2.8076173719999999E-6</v>
      </c>
      <c r="D173">
        <v>8.6161092350000006E-5</v>
      </c>
      <c r="E173">
        <v>4.9352220669999998E-5</v>
      </c>
      <c r="F173">
        <v>1.0153685444E-6</v>
      </c>
      <c r="G173">
        <v>3.1194376878500001</v>
      </c>
      <c r="H173">
        <v>9.4019298960000004</v>
      </c>
    </row>
    <row r="174" spans="1:8" hidden="1" x14ac:dyDescent="0.2">
      <c r="A174" t="s">
        <v>857</v>
      </c>
      <c r="B174">
        <v>0</v>
      </c>
      <c r="C174">
        <v>123.517875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hidden="1" x14ac:dyDescent="0.2">
      <c r="A175" t="s">
        <v>857</v>
      </c>
      <c r="B175" t="s">
        <v>441</v>
      </c>
      <c r="C175">
        <v>29.042327100000001</v>
      </c>
      <c r="D175">
        <v>130.78996520000001</v>
      </c>
      <c r="E175">
        <v>139.8203044</v>
      </c>
      <c r="F175">
        <v>126.10149610000001</v>
      </c>
      <c r="G175">
        <v>121.6782249</v>
      </c>
      <c r="H175">
        <v>107.9534129</v>
      </c>
    </row>
    <row r="176" spans="1:8" hidden="1" x14ac:dyDescent="0.2">
      <c r="A176" t="s">
        <v>844</v>
      </c>
      <c r="B176" t="s">
        <v>199</v>
      </c>
      <c r="C176">
        <v>119.12638525715781</v>
      </c>
      <c r="D176">
        <v>69.165071949999998</v>
      </c>
      <c r="E176">
        <v>44.841469050000001</v>
      </c>
      <c r="F176">
        <v>40.373868680000001</v>
      </c>
      <c r="G176">
        <v>47.488936019999997</v>
      </c>
      <c r="H176">
        <v>52.287471549999999</v>
      </c>
    </row>
    <row r="177" spans="1:8" hidden="1" x14ac:dyDescent="0.2">
      <c r="A177" t="s">
        <v>844</v>
      </c>
      <c r="B177" t="s">
        <v>3</v>
      </c>
      <c r="C177">
        <v>0</v>
      </c>
      <c r="D177">
        <v>1.3386558400000001E-6</v>
      </c>
      <c r="E177">
        <v>7.8748300570000005E-7</v>
      </c>
      <c r="F177">
        <v>0</v>
      </c>
      <c r="G177">
        <v>2.2412586250000001E-7</v>
      </c>
      <c r="H177">
        <v>6.8020057109999999E-7</v>
      </c>
    </row>
    <row r="178" spans="1:8" hidden="1" x14ac:dyDescent="0.2">
      <c r="A178" t="s">
        <v>844</v>
      </c>
      <c r="B178" t="s">
        <v>20</v>
      </c>
      <c r="C178">
        <v>108.0000003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hidden="1" x14ac:dyDescent="0.2">
      <c r="A179" t="s">
        <v>844</v>
      </c>
      <c r="B179" t="s">
        <v>316</v>
      </c>
      <c r="C179">
        <v>1.1138815019999999</v>
      </c>
      <c r="D179">
        <v>0.50609398589999999</v>
      </c>
      <c r="E179">
        <v>0.43352100300000002</v>
      </c>
      <c r="F179">
        <v>0.41611991669999998</v>
      </c>
      <c r="G179">
        <v>0.42732736170000002</v>
      </c>
      <c r="H179">
        <v>0.4385268403</v>
      </c>
    </row>
    <row r="180" spans="1:8" hidden="1" x14ac:dyDescent="0.2">
      <c r="A180" t="s">
        <v>905</v>
      </c>
      <c r="B180">
        <v>0</v>
      </c>
      <c r="C180">
        <v>5.0508916109999999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hidden="1" x14ac:dyDescent="0.2">
      <c r="A181" t="s">
        <v>905</v>
      </c>
      <c r="B181" t="s">
        <v>441</v>
      </c>
      <c r="C181">
        <v>297.793999563</v>
      </c>
      <c r="D181">
        <v>45.362711191000002</v>
      </c>
      <c r="E181">
        <v>123.2009099</v>
      </c>
      <c r="F181">
        <v>74.999999990000006</v>
      </c>
      <c r="G181">
        <v>74.999998899999994</v>
      </c>
      <c r="H181">
        <v>75.000006319999997</v>
      </c>
    </row>
    <row r="182" spans="1:8" hidden="1" x14ac:dyDescent="0.2">
      <c r="A182" t="s">
        <v>850</v>
      </c>
      <c r="B182" t="s">
        <v>3</v>
      </c>
      <c r="C182">
        <v>2.9209900539999998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hidden="1" x14ac:dyDescent="0.2">
      <c r="A183" t="s">
        <v>850</v>
      </c>
      <c r="B183" t="s">
        <v>5</v>
      </c>
      <c r="C183">
        <v>11.565271470000001</v>
      </c>
      <c r="D183">
        <v>4.0648531510000002E-5</v>
      </c>
      <c r="E183">
        <v>5.4424899059999997E-5</v>
      </c>
      <c r="F183">
        <v>6.1527494630000004E-7</v>
      </c>
      <c r="G183">
        <v>1.31887943E-5</v>
      </c>
      <c r="H183">
        <v>9.3390028620000005E-5</v>
      </c>
    </row>
    <row r="184" spans="1:8" hidden="1" x14ac:dyDescent="0.2">
      <c r="A184" t="s">
        <v>850</v>
      </c>
      <c r="B184" t="s">
        <v>352</v>
      </c>
      <c r="C184">
        <v>0.75138281190968448</v>
      </c>
      <c r="D184">
        <v>0.92864187551113397</v>
      </c>
      <c r="E184">
        <v>0.65624570413307193</v>
      </c>
      <c r="F184">
        <v>0.2129815135</v>
      </c>
      <c r="G184">
        <v>0.37262972673896211</v>
      </c>
      <c r="H184">
        <v>0.30253560285611097</v>
      </c>
    </row>
    <row r="185" spans="1:8" hidden="1" x14ac:dyDescent="0.2">
      <c r="A185" t="s">
        <v>850</v>
      </c>
      <c r="B185" t="s">
        <v>87</v>
      </c>
      <c r="C185">
        <v>4.0920491186000003</v>
      </c>
      <c r="D185">
        <v>1.9951083154</v>
      </c>
      <c r="E185">
        <v>1.6943501187000001</v>
      </c>
      <c r="F185">
        <v>0.48039360549999999</v>
      </c>
      <c r="G185">
        <v>1.0871659229999999</v>
      </c>
      <c r="H185">
        <v>0.84519512615000003</v>
      </c>
    </row>
    <row r="186" spans="1:8" x14ac:dyDescent="0.2">
      <c r="A186" t="s">
        <v>897</v>
      </c>
      <c r="B186" t="s">
        <v>7</v>
      </c>
      <c r="C186">
        <v>5.4323910242000001E-5</v>
      </c>
      <c r="D186">
        <v>7.0843724760000007E-5</v>
      </c>
      <c r="E186">
        <v>3.230155595E-5</v>
      </c>
      <c r="F186">
        <v>2.4445769879999998E-7</v>
      </c>
      <c r="G186">
        <v>4.8593965839999999E-6</v>
      </c>
      <c r="H186">
        <v>2.6065798430000001E-5</v>
      </c>
    </row>
    <row r="187" spans="1:8" hidden="1" x14ac:dyDescent="0.2">
      <c r="A187" t="s">
        <v>897</v>
      </c>
      <c r="B187" t="s">
        <v>3</v>
      </c>
      <c r="C187">
        <v>9.1886741441570194</v>
      </c>
      <c r="D187">
        <v>9.2208150175392003</v>
      </c>
      <c r="E187">
        <v>8.5996134402542594</v>
      </c>
      <c r="F187">
        <v>9.9999753661226903E-2</v>
      </c>
      <c r="G187">
        <v>9.9995091956770005E-2</v>
      </c>
      <c r="H187">
        <v>9.9980721954880003E-2</v>
      </c>
    </row>
    <row r="188" spans="1:8" hidden="1" x14ac:dyDescent="0.2">
      <c r="A188" t="s">
        <v>904</v>
      </c>
      <c r="B188" t="s">
        <v>441</v>
      </c>
      <c r="C188">
        <v>0</v>
      </c>
      <c r="D188">
        <v>9.9179103130000001E-2</v>
      </c>
      <c r="E188">
        <v>9.8948296620000001E-2</v>
      </c>
      <c r="F188">
        <v>0.10000061590000001</v>
      </c>
      <c r="G188">
        <v>0.100017227</v>
      </c>
      <c r="H188">
        <v>0.10008573849999999</v>
      </c>
    </row>
    <row r="189" spans="1:8" hidden="1" x14ac:dyDescent="0.2">
      <c r="A189" t="s">
        <v>838</v>
      </c>
      <c r="B189" t="s">
        <v>3</v>
      </c>
      <c r="C189">
        <v>297.0035082</v>
      </c>
      <c r="D189">
        <v>351.65800180000002</v>
      </c>
      <c r="E189">
        <v>337.84958230000001</v>
      </c>
      <c r="F189">
        <v>317.9048411</v>
      </c>
      <c r="G189">
        <v>296.12856704219132</v>
      </c>
      <c r="H189">
        <v>274.35229370723602</v>
      </c>
    </row>
    <row r="190" spans="1:8" hidden="1" x14ac:dyDescent="0.2">
      <c r="A190" t="s">
        <v>849</v>
      </c>
      <c r="B190" t="s">
        <v>3</v>
      </c>
      <c r="C190">
        <v>15.428938678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hidden="1" x14ac:dyDescent="0.2">
      <c r="A191" t="s">
        <v>849</v>
      </c>
      <c r="B191" t="s">
        <v>16</v>
      </c>
      <c r="C191">
        <v>1.465019742</v>
      </c>
      <c r="D191">
        <v>0.96771764640000002</v>
      </c>
      <c r="E191">
        <v>0.86980191849999999</v>
      </c>
      <c r="F191">
        <v>0.80323730989999997</v>
      </c>
      <c r="G191">
        <v>0.78876710159999996</v>
      </c>
      <c r="H191">
        <v>0.77183780150000003</v>
      </c>
    </row>
    <row r="192" spans="1:8" x14ac:dyDescent="0.2">
      <c r="A192" t="s">
        <v>849</v>
      </c>
      <c r="B192" t="s">
        <v>128</v>
      </c>
      <c r="C192">
        <v>1947.447516</v>
      </c>
      <c r="D192">
        <v>1787.355413</v>
      </c>
      <c r="E192">
        <v>1637.8432660000001</v>
      </c>
      <c r="F192">
        <v>1486.5623250000001</v>
      </c>
      <c r="G192">
        <v>1338.003035</v>
      </c>
      <c r="H192">
        <v>1189.4437519999999</v>
      </c>
    </row>
    <row r="193" spans="1:8" hidden="1" x14ac:dyDescent="0.2">
      <c r="A193" t="s">
        <v>830</v>
      </c>
      <c r="B193" t="s">
        <v>581</v>
      </c>
      <c r="C193">
        <v>0.92088685380000002</v>
      </c>
      <c r="D193">
        <v>0.39939770489999998</v>
      </c>
      <c r="E193">
        <v>0.38406510119999998</v>
      </c>
      <c r="F193">
        <v>0.39748148020000001</v>
      </c>
      <c r="G193">
        <v>0.3936489983</v>
      </c>
      <c r="H193">
        <v>0.3936489983</v>
      </c>
    </row>
    <row r="194" spans="1:8" hidden="1" x14ac:dyDescent="0.2">
      <c r="A194" t="s">
        <v>830</v>
      </c>
      <c r="B194" t="s">
        <v>199</v>
      </c>
      <c r="C194">
        <v>2.0695798179999999E-6</v>
      </c>
      <c r="D194">
        <v>1.9618246940000001E-5</v>
      </c>
      <c r="E194">
        <v>7.3377991259999999E-6</v>
      </c>
      <c r="F194">
        <v>0</v>
      </c>
      <c r="G194">
        <v>1.53551117E-6</v>
      </c>
      <c r="H194">
        <v>5.446818867E-6</v>
      </c>
    </row>
    <row r="195" spans="1:8" hidden="1" x14ac:dyDescent="0.2">
      <c r="A195" t="s">
        <v>830</v>
      </c>
      <c r="B195" t="s">
        <v>3</v>
      </c>
      <c r="C195">
        <v>1.455803544E-6</v>
      </c>
      <c r="D195">
        <v>3.224667183E-5</v>
      </c>
      <c r="E195">
        <v>4.1036878099999998E-5</v>
      </c>
      <c r="F195">
        <v>1.068326833E-6</v>
      </c>
      <c r="G195">
        <v>2.39280198E-5</v>
      </c>
      <c r="H195">
        <v>4.5333349460000001E-5</v>
      </c>
    </row>
    <row r="196" spans="1:8" hidden="1" x14ac:dyDescent="0.2">
      <c r="A196" t="s">
        <v>830</v>
      </c>
      <c r="B196" t="s">
        <v>316</v>
      </c>
      <c r="C196">
        <v>2.539551141</v>
      </c>
      <c r="D196">
        <v>3.4245262869999999</v>
      </c>
      <c r="E196">
        <v>1.005722593</v>
      </c>
      <c r="F196">
        <v>1.8065586339999999</v>
      </c>
      <c r="G196">
        <v>4.7409478580000002</v>
      </c>
      <c r="H196">
        <v>4.1312934549999998</v>
      </c>
    </row>
    <row r="197" spans="1:8" hidden="1" x14ac:dyDescent="0.2">
      <c r="A197" t="s">
        <v>830</v>
      </c>
      <c r="B197" t="s">
        <v>24</v>
      </c>
      <c r="C197">
        <v>11.00000302913184</v>
      </c>
      <c r="D197">
        <v>12.700049688149379</v>
      </c>
      <c r="E197">
        <v>14.93000864971162</v>
      </c>
      <c r="F197">
        <v>11.943494666038481</v>
      </c>
      <c r="G197">
        <v>1.7841023163072509</v>
      </c>
      <c r="H197">
        <v>6.5169715668668102</v>
      </c>
    </row>
    <row r="198" spans="1:8" hidden="1" x14ac:dyDescent="0.2">
      <c r="A198" t="s">
        <v>830</v>
      </c>
      <c r="B198" t="s">
        <v>16</v>
      </c>
      <c r="C198">
        <v>24.225718446690902</v>
      </c>
      <c r="D198">
        <v>21.200087358847242</v>
      </c>
      <c r="E198">
        <v>33.928882648282517</v>
      </c>
      <c r="F198">
        <v>43.029487153193728</v>
      </c>
      <c r="G198">
        <v>45.585456820881227</v>
      </c>
      <c r="H198">
        <v>68.54580717093981</v>
      </c>
    </row>
    <row r="199" spans="1:8" hidden="1" x14ac:dyDescent="0.2">
      <c r="A199" t="s">
        <v>830</v>
      </c>
      <c r="B199" t="s">
        <v>2</v>
      </c>
      <c r="C199">
        <v>7.1864345669999996E-7</v>
      </c>
      <c r="D199">
        <v>3.9152384119999999</v>
      </c>
      <c r="E199">
        <v>7.6417590899999999</v>
      </c>
      <c r="F199">
        <v>7.5027640059999996</v>
      </c>
      <c r="G199">
        <v>5.387276473</v>
      </c>
      <c r="H199">
        <v>6.8850156040000003</v>
      </c>
    </row>
    <row r="200" spans="1:8" hidden="1" x14ac:dyDescent="0.2">
      <c r="A200" t="s">
        <v>830</v>
      </c>
      <c r="B200" t="s">
        <v>194</v>
      </c>
      <c r="C200">
        <v>1.352444695E-6</v>
      </c>
      <c r="D200">
        <v>0.26085768529999998</v>
      </c>
      <c r="E200">
        <v>0.46841178319999999</v>
      </c>
      <c r="F200">
        <v>0.62652805629999997</v>
      </c>
      <c r="G200">
        <v>0.64476783100000001</v>
      </c>
      <c r="H200">
        <v>0.59001438589999999</v>
      </c>
    </row>
    <row r="201" spans="1:8" hidden="1" x14ac:dyDescent="0.2">
      <c r="A201" t="s">
        <v>830</v>
      </c>
      <c r="B201" t="s">
        <v>5</v>
      </c>
      <c r="C201">
        <v>1.563402805E-6</v>
      </c>
      <c r="D201">
        <v>2.3000217969999999</v>
      </c>
      <c r="E201">
        <v>1.8399959720000001</v>
      </c>
      <c r="F201">
        <v>1.472000414</v>
      </c>
      <c r="G201">
        <v>0.74266411990000003</v>
      </c>
      <c r="H201">
        <v>2.2728530809999999E-5</v>
      </c>
    </row>
    <row r="202" spans="1:8" hidden="1" x14ac:dyDescent="0.2">
      <c r="A202" t="s">
        <v>830</v>
      </c>
      <c r="B202" t="s">
        <v>188</v>
      </c>
      <c r="C202">
        <v>0.99996834648963495</v>
      </c>
      <c r="D202">
        <v>0.50002289850000003</v>
      </c>
      <c r="E202">
        <v>0.40105508249999999</v>
      </c>
      <c r="F202">
        <v>0.32168443949999997</v>
      </c>
      <c r="G202">
        <v>0.25802126580000001</v>
      </c>
      <c r="H202">
        <v>0.2069630458</v>
      </c>
    </row>
    <row r="203" spans="1:8" hidden="1" x14ac:dyDescent="0.2">
      <c r="A203" t="s">
        <v>839</v>
      </c>
      <c r="B203" t="s">
        <v>3</v>
      </c>
      <c r="C203">
        <v>0</v>
      </c>
      <c r="D203">
        <v>2.2903190579999998E-6</v>
      </c>
      <c r="E203">
        <v>3.7626049340000001E-4</v>
      </c>
      <c r="F203">
        <v>1.4124800580000001E-5</v>
      </c>
      <c r="G203">
        <v>1.0897649870000001E-4</v>
      </c>
      <c r="H203">
        <v>6.3498592869999995E-5</v>
      </c>
    </row>
    <row r="204" spans="1:8" hidden="1" x14ac:dyDescent="0.2">
      <c r="A204" t="s">
        <v>839</v>
      </c>
      <c r="B204" t="s">
        <v>2</v>
      </c>
      <c r="C204">
        <v>7.2006098099999999E-2</v>
      </c>
      <c r="D204">
        <v>4.777701073E-2</v>
      </c>
      <c r="E204">
        <v>4.6632037559999999E-2</v>
      </c>
      <c r="F204">
        <v>4.7714032980000001E-2</v>
      </c>
      <c r="G204">
        <v>9.5568066450000003E-2</v>
      </c>
      <c r="H204">
        <v>0.10294580070000001</v>
      </c>
    </row>
    <row r="205" spans="1:8" hidden="1" x14ac:dyDescent="0.2">
      <c r="A205" t="s">
        <v>839</v>
      </c>
      <c r="B205" t="s">
        <v>352</v>
      </c>
      <c r="C205">
        <v>5.5687634869999997E-7</v>
      </c>
      <c r="D205">
        <v>4.0051553295549013E-2</v>
      </c>
      <c r="E205">
        <v>3.9956226921114002E-2</v>
      </c>
      <c r="F205">
        <v>3.9627373680000001E-2</v>
      </c>
      <c r="G205">
        <v>7.3048061882844989E-2</v>
      </c>
      <c r="H205">
        <v>7.6872975785313005E-2</v>
      </c>
    </row>
    <row r="206" spans="1:8" hidden="1" x14ac:dyDescent="0.2">
      <c r="A206" t="s">
        <v>839</v>
      </c>
      <c r="B206" t="s">
        <v>87</v>
      </c>
      <c r="C206">
        <v>6.2565963966999996E-2</v>
      </c>
      <c r="D206">
        <v>3.8581856425100002E-2</v>
      </c>
      <c r="E206">
        <v>3.940473571E-2</v>
      </c>
      <c r="F206">
        <v>3.9003197119999999E-2</v>
      </c>
      <c r="G206">
        <v>7.2008824550000003E-2</v>
      </c>
      <c r="H206">
        <v>7.4688682830000006E-2</v>
      </c>
    </row>
    <row r="207" spans="1:8" hidden="1" x14ac:dyDescent="0.2">
      <c r="A207" t="s">
        <v>840</v>
      </c>
      <c r="B207" t="s">
        <v>3</v>
      </c>
      <c r="C207">
        <v>0</v>
      </c>
      <c r="D207">
        <v>4.3161539159999998E-4</v>
      </c>
      <c r="E207">
        <v>1.269143137E-4</v>
      </c>
      <c r="F207">
        <v>1.3053899120000001E-6</v>
      </c>
      <c r="G207">
        <v>3.7751250040000001E-5</v>
      </c>
      <c r="H207">
        <v>7.5660254620000001E-5</v>
      </c>
    </row>
    <row r="208" spans="1:8" hidden="1" x14ac:dyDescent="0.2">
      <c r="A208" t="s">
        <v>840</v>
      </c>
      <c r="B208" t="s">
        <v>2</v>
      </c>
      <c r="C208">
        <v>0.88212372630000002</v>
      </c>
      <c r="D208">
        <v>0.5607720142</v>
      </c>
      <c r="E208">
        <v>0.4516379901</v>
      </c>
      <c r="F208">
        <v>1.318797244</v>
      </c>
      <c r="G208">
        <v>2.0569628880000002</v>
      </c>
      <c r="H208">
        <v>3.5910537219999998</v>
      </c>
    </row>
    <row r="209" spans="1:8" hidden="1" x14ac:dyDescent="0.2">
      <c r="A209" t="s">
        <v>840</v>
      </c>
      <c r="B209" t="s">
        <v>352</v>
      </c>
      <c r="C209">
        <v>5.8521636809999997E-7</v>
      </c>
      <c r="D209">
        <v>0.42863953784615599</v>
      </c>
      <c r="E209">
        <v>0.35125837052297698</v>
      </c>
      <c r="F209">
        <v>0.73529895460000005</v>
      </c>
      <c r="G209">
        <v>0.93208566463213605</v>
      </c>
      <c r="H209">
        <v>1.1795887445031461</v>
      </c>
    </row>
    <row r="210" spans="1:8" x14ac:dyDescent="0.2">
      <c r="A210" t="s">
        <v>840</v>
      </c>
      <c r="B210" t="s">
        <v>128</v>
      </c>
      <c r="C210">
        <v>0.17530385449999999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hidden="1" x14ac:dyDescent="0.2">
      <c r="A211" t="s">
        <v>840</v>
      </c>
      <c r="B211" t="s">
        <v>87</v>
      </c>
      <c r="C211">
        <v>0.56115392316000001</v>
      </c>
      <c r="D211">
        <v>0.30719336605083303</v>
      </c>
      <c r="E211">
        <v>0.25823394259999999</v>
      </c>
      <c r="F211">
        <v>0.59082803549999996</v>
      </c>
      <c r="G211">
        <v>0.78875993929999999</v>
      </c>
      <c r="H211">
        <v>1.034306231</v>
      </c>
    </row>
    <row r="212" spans="1:8" hidden="1" x14ac:dyDescent="0.2">
      <c r="A212" t="s">
        <v>841</v>
      </c>
      <c r="B212" t="s">
        <v>3</v>
      </c>
      <c r="C212">
        <v>6.0776075760000001</v>
      </c>
      <c r="D212">
        <v>133.29113219999999</v>
      </c>
      <c r="E212">
        <v>154.52901879999999</v>
      </c>
      <c r="F212">
        <v>185.51215619999999</v>
      </c>
      <c r="G212">
        <v>150.9873125</v>
      </c>
      <c r="H212">
        <v>125.96282170000001</v>
      </c>
    </row>
    <row r="213" spans="1:8" hidden="1" x14ac:dyDescent="0.2">
      <c r="A213" t="s">
        <v>841</v>
      </c>
      <c r="B213" t="s">
        <v>2</v>
      </c>
      <c r="C213">
        <v>17.555871570000001</v>
      </c>
      <c r="D213">
        <v>18.3915164</v>
      </c>
      <c r="E213">
        <v>18.85174125</v>
      </c>
      <c r="F213">
        <v>18.383488719999999</v>
      </c>
      <c r="G213">
        <v>17.997468690000002</v>
      </c>
      <c r="H213">
        <v>16.876020239999999</v>
      </c>
    </row>
    <row r="214" spans="1:8" hidden="1" x14ac:dyDescent="0.2">
      <c r="A214" t="s">
        <v>841</v>
      </c>
      <c r="B214" t="s">
        <v>352</v>
      </c>
      <c r="C214">
        <v>6.2835354600000004E-7</v>
      </c>
      <c r="D214">
        <v>1.929100010352738</v>
      </c>
      <c r="E214">
        <v>2.13463531428628</v>
      </c>
      <c r="F214">
        <v>1.8789867709999999</v>
      </c>
      <c r="G214">
        <v>1.776836921819406</v>
      </c>
      <c r="H214">
        <v>1.6535692877759001</v>
      </c>
    </row>
    <row r="215" spans="1:8" x14ac:dyDescent="0.2">
      <c r="A215" t="s">
        <v>841</v>
      </c>
      <c r="B215" t="s">
        <v>128</v>
      </c>
      <c r="C215">
        <v>2.5701778999999998E-6</v>
      </c>
      <c r="D215">
        <v>2.958702931E-5</v>
      </c>
      <c r="E215">
        <v>1.0625060630000001E-5</v>
      </c>
      <c r="F215">
        <v>1.2361817439999999E-7</v>
      </c>
      <c r="G215">
        <v>2.5771450570000001E-6</v>
      </c>
      <c r="H215">
        <v>1.195805615E-5</v>
      </c>
    </row>
    <row r="216" spans="1:8" hidden="1" x14ac:dyDescent="0.2">
      <c r="A216" t="s">
        <v>841</v>
      </c>
      <c r="B216" t="s">
        <v>87</v>
      </c>
      <c r="C216">
        <v>4.7762828969999997</v>
      </c>
      <c r="D216">
        <v>2.5513908594000001</v>
      </c>
      <c r="E216">
        <v>2.4023722639999998</v>
      </c>
      <c r="F216">
        <v>2.0701688159999998</v>
      </c>
      <c r="G216">
        <v>1.8392313069999999</v>
      </c>
      <c r="H216">
        <v>1.5910252060000001</v>
      </c>
    </row>
    <row r="217" spans="1:8" hidden="1" x14ac:dyDescent="0.2">
      <c r="A217" t="s">
        <v>901</v>
      </c>
      <c r="B217" t="s">
        <v>3</v>
      </c>
      <c r="C217">
        <v>0.20014615829999999</v>
      </c>
      <c r="D217">
        <v>0.35355507089999999</v>
      </c>
      <c r="E217">
        <v>0</v>
      </c>
      <c r="F217">
        <v>0</v>
      </c>
      <c r="G217">
        <v>0</v>
      </c>
      <c r="H217">
        <v>0</v>
      </c>
    </row>
    <row r="218" spans="1:8" hidden="1" x14ac:dyDescent="0.2">
      <c r="A218" t="s">
        <v>910</v>
      </c>
      <c r="B218" t="s">
        <v>3</v>
      </c>
      <c r="C218">
        <v>18.40000043062</v>
      </c>
      <c r="D218">
        <v>1.2483000259999999</v>
      </c>
      <c r="E218">
        <v>0</v>
      </c>
      <c r="F218">
        <v>0</v>
      </c>
      <c r="G218">
        <v>0</v>
      </c>
      <c r="H218">
        <v>0</v>
      </c>
    </row>
    <row r="219" spans="1:8" hidden="1" x14ac:dyDescent="0.2">
      <c r="A219" t="s">
        <v>902</v>
      </c>
      <c r="B219" t="s">
        <v>3</v>
      </c>
      <c r="C219">
        <v>5.5200041873687304</v>
      </c>
      <c r="D219">
        <v>0.51248703104884596</v>
      </c>
      <c r="E219">
        <v>2.6912664579999999E-5</v>
      </c>
      <c r="F219">
        <v>2.131498333E-6</v>
      </c>
      <c r="G219">
        <v>2.709066302E-5</v>
      </c>
      <c r="H219">
        <v>7.1638663609999994E-5</v>
      </c>
    </row>
    <row r="220" spans="1:8" hidden="1" x14ac:dyDescent="0.2">
      <c r="A220" t="s">
        <v>858</v>
      </c>
      <c r="B220" t="s">
        <v>199</v>
      </c>
      <c r="C220">
        <v>1.664637496564805</v>
      </c>
      <c r="D220">
        <v>2.2567487421E-4</v>
      </c>
      <c r="E220">
        <v>4.3062920076209999E-3</v>
      </c>
      <c r="F220">
        <v>9.633366761E-3</v>
      </c>
      <c r="G220">
        <v>2.29944329E-5</v>
      </c>
      <c r="H220">
        <v>1.1168150622681E-2</v>
      </c>
    </row>
    <row r="221" spans="1:8" hidden="1" x14ac:dyDescent="0.2">
      <c r="A221" t="s">
        <v>858</v>
      </c>
      <c r="B221" t="s">
        <v>3</v>
      </c>
      <c r="C221">
        <v>67.160045617226345</v>
      </c>
      <c r="D221">
        <v>69.696236495367671</v>
      </c>
      <c r="E221">
        <v>60.413335246599686</v>
      </c>
      <c r="F221">
        <v>55.72546141423198</v>
      </c>
      <c r="G221">
        <v>45.605469517159847</v>
      </c>
      <c r="H221">
        <v>85.664107926182297</v>
      </c>
    </row>
    <row r="222" spans="1:8" hidden="1" x14ac:dyDescent="0.2">
      <c r="A222" t="s">
        <v>858</v>
      </c>
      <c r="B222" t="s">
        <v>11</v>
      </c>
      <c r="C222">
        <v>2.1992138130000001E-6</v>
      </c>
      <c r="D222">
        <v>2.6354556779499999E-5</v>
      </c>
      <c r="E222">
        <v>4.1228131719999997E-6</v>
      </c>
      <c r="F222">
        <v>0</v>
      </c>
      <c r="G222">
        <v>0</v>
      </c>
      <c r="H222">
        <v>7.2300741000000001E-6</v>
      </c>
    </row>
    <row r="223" spans="1:8" hidden="1" x14ac:dyDescent="0.2">
      <c r="A223" t="s">
        <v>858</v>
      </c>
      <c r="B223" t="s">
        <v>2</v>
      </c>
      <c r="C223">
        <v>3.4777254187200001E-4</v>
      </c>
      <c r="D223">
        <v>2.6672766464999999E-4</v>
      </c>
      <c r="E223">
        <v>1.281805712092E-3</v>
      </c>
      <c r="F223">
        <v>8.3058531650000004E-4</v>
      </c>
      <c r="G223">
        <v>2.573436249E-5</v>
      </c>
      <c r="H223">
        <v>1.5155792350576999E-2</v>
      </c>
    </row>
    <row r="224" spans="1:8" x14ac:dyDescent="0.2">
      <c r="A224" t="s">
        <v>858</v>
      </c>
      <c r="B224" t="s">
        <v>128</v>
      </c>
      <c r="C224">
        <v>207.25579223645249</v>
      </c>
      <c r="D224">
        <v>68.348953683676129</v>
      </c>
      <c r="E224">
        <v>64.996405639309231</v>
      </c>
      <c r="F224">
        <v>64.378720808540805</v>
      </c>
      <c r="G224">
        <v>61.387846729929812</v>
      </c>
      <c r="H224">
        <v>59.214317035267761</v>
      </c>
    </row>
    <row r="225" spans="1:8" hidden="1" x14ac:dyDescent="0.2">
      <c r="A225" t="s">
        <v>907</v>
      </c>
      <c r="B225">
        <v>0</v>
      </c>
      <c r="C225">
        <v>4.9738121080000003E-2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hidden="1" x14ac:dyDescent="0.2">
      <c r="A226" t="s">
        <v>907</v>
      </c>
      <c r="B226" t="s">
        <v>441</v>
      </c>
      <c r="C226">
        <v>0.15049623240000001</v>
      </c>
      <c r="D226">
        <v>0.105745126915</v>
      </c>
      <c r="E226">
        <v>0.1000185725</v>
      </c>
      <c r="F226">
        <v>0.10000100670000001</v>
      </c>
      <c r="G226">
        <v>0.1000241469</v>
      </c>
      <c r="H226">
        <v>0.10006355760000001</v>
      </c>
    </row>
    <row r="227" spans="1:8" hidden="1" x14ac:dyDescent="0.2">
      <c r="A227" t="s">
        <v>866</v>
      </c>
      <c r="B227" t="s">
        <v>352</v>
      </c>
      <c r="C227">
        <v>3.4011993376983803E-2</v>
      </c>
      <c r="D227">
        <v>2.7232028095667001E-2</v>
      </c>
      <c r="E227">
        <v>2.5929251178053E-2</v>
      </c>
      <c r="F227">
        <v>4.2193290840000001E-2</v>
      </c>
      <c r="G227">
        <v>2.5828454318145001E-2</v>
      </c>
      <c r="H227">
        <v>2.8471139066478E-2</v>
      </c>
    </row>
    <row r="228" spans="1:8" hidden="1" x14ac:dyDescent="0.2">
      <c r="A228" t="s">
        <v>866</v>
      </c>
      <c r="B228" t="s">
        <v>87</v>
      </c>
      <c r="C228">
        <v>6.5988146589999991E-2</v>
      </c>
      <c r="D228">
        <v>7.2825243220000002E-2</v>
      </c>
      <c r="E228">
        <v>7.4095015429999994E-2</v>
      </c>
      <c r="F228">
        <v>5.780685528E-2</v>
      </c>
      <c r="G228">
        <v>7.4176817980000004E-2</v>
      </c>
      <c r="H228">
        <v>7.1548617561999997E-2</v>
      </c>
    </row>
    <row r="229" spans="1:8" hidden="1" x14ac:dyDescent="0.2">
      <c r="A229" t="s">
        <v>842</v>
      </c>
      <c r="B229" t="s">
        <v>3</v>
      </c>
      <c r="C229">
        <v>0.22108452479999999</v>
      </c>
      <c r="D229">
        <v>0.15404890624000001</v>
      </c>
      <c r="E229">
        <v>0.1106797201</v>
      </c>
      <c r="F229">
        <v>0.1106282844</v>
      </c>
      <c r="G229">
        <v>0.15675004049999999</v>
      </c>
      <c r="H229">
        <v>0.1623896473</v>
      </c>
    </row>
    <row r="230" spans="1:8" hidden="1" x14ac:dyDescent="0.2">
      <c r="A230" t="s">
        <v>855</v>
      </c>
      <c r="B230" t="s">
        <v>352</v>
      </c>
      <c r="C230">
        <v>1.8066243161186001E-2</v>
      </c>
      <c r="D230">
        <v>1.7578259861828E-2</v>
      </c>
      <c r="E230">
        <v>1.4804492804622E-2</v>
      </c>
      <c r="F230">
        <v>2.4138127200000001E-2</v>
      </c>
      <c r="G230">
        <v>1.1404145377099999E-5</v>
      </c>
      <c r="H230">
        <v>2.0276582463646001E-2</v>
      </c>
    </row>
    <row r="231" spans="1:8" hidden="1" x14ac:dyDescent="0.2">
      <c r="A231" t="s">
        <v>855</v>
      </c>
      <c r="B231" t="s">
        <v>87</v>
      </c>
      <c r="C231">
        <v>8.1964826054934797E-2</v>
      </c>
      <c r="D231">
        <v>8.1727425326283992E-2</v>
      </c>
      <c r="E231">
        <v>8.5221455444006E-2</v>
      </c>
      <c r="F231">
        <v>7.5862166620000004E-2</v>
      </c>
      <c r="G231">
        <v>0.10000721461934001</v>
      </c>
      <c r="H231">
        <v>7.9768259022338001E-2</v>
      </c>
    </row>
    <row r="232" spans="1:8" hidden="1" x14ac:dyDescent="0.2">
      <c r="A232" t="s">
        <v>852</v>
      </c>
      <c r="B232">
        <v>0</v>
      </c>
      <c r="C232">
        <v>5.0916453309999998E-2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hidden="1" x14ac:dyDescent="0.2">
      <c r="A233" t="s">
        <v>852</v>
      </c>
      <c r="B233" t="s">
        <v>441</v>
      </c>
      <c r="C233">
        <v>4.9059824289999998E-2</v>
      </c>
      <c r="D233">
        <v>9.8799569170000004E-2</v>
      </c>
      <c r="E233">
        <v>9.7344970880000006E-2</v>
      </c>
      <c r="F233">
        <v>2.0333591690000001E-5</v>
      </c>
      <c r="G233">
        <v>0.53226141110000003</v>
      </c>
      <c r="H233">
        <v>1.019326668E-3</v>
      </c>
    </row>
    <row r="234" spans="1:8" hidden="1" x14ac:dyDescent="0.2">
      <c r="A234" t="s">
        <v>852</v>
      </c>
      <c r="B234" t="s">
        <v>352</v>
      </c>
      <c r="C234">
        <v>7.4058598804000001E-6</v>
      </c>
      <c r="D234">
        <v>3.2759136620150002E-4</v>
      </c>
      <c r="E234">
        <v>7.0262294676539999E-4</v>
      </c>
      <c r="F234">
        <v>4.5879130990523001E-2</v>
      </c>
      <c r="G234">
        <v>4.5651048006300002E-4</v>
      </c>
      <c r="H234">
        <v>0.26697181921751328</v>
      </c>
    </row>
    <row r="235" spans="1:8" hidden="1" x14ac:dyDescent="0.2">
      <c r="A235" t="s">
        <v>852</v>
      </c>
      <c r="B235" t="s">
        <v>87</v>
      </c>
      <c r="C235">
        <v>6.1692358616799998E-5</v>
      </c>
      <c r="D235">
        <v>3.3501924036044441E-2</v>
      </c>
      <c r="E235">
        <v>1.748446562975E-3</v>
      </c>
      <c r="F235">
        <v>4.6604546570235703E-2</v>
      </c>
      <c r="G235">
        <v>1.02097328599E-3</v>
      </c>
      <c r="H235">
        <v>0.31395350803990352</v>
      </c>
    </row>
    <row r="236" spans="1:8" hidden="1" x14ac:dyDescent="0.2">
      <c r="A236" t="s">
        <v>852</v>
      </c>
      <c r="B236" t="s">
        <v>318</v>
      </c>
      <c r="C236">
        <v>2.3382535724000001E-6</v>
      </c>
      <c r="D236">
        <v>1.1237818761E-4</v>
      </c>
      <c r="E236">
        <v>2.3710931091E-4</v>
      </c>
      <c r="F236">
        <v>7.4968409131899996E-3</v>
      </c>
      <c r="G236">
        <v>2.1883155509000001E-4</v>
      </c>
      <c r="H236">
        <v>1.8114568893000001E-2</v>
      </c>
    </row>
    <row r="237" spans="1:8" hidden="1" x14ac:dyDescent="0.2">
      <c r="A237" t="s">
        <v>890</v>
      </c>
      <c r="B237">
        <v>0</v>
      </c>
      <c r="C237">
        <v>4.2336554339999999E-2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hidden="1" x14ac:dyDescent="0.2">
      <c r="A238" t="s">
        <v>890</v>
      </c>
      <c r="B238" t="s">
        <v>441</v>
      </c>
      <c r="C238">
        <v>5.7664145940000001E-2</v>
      </c>
      <c r="D238">
        <v>0.10003353080000001</v>
      </c>
      <c r="E238">
        <v>0.10001995430000001</v>
      </c>
      <c r="F238">
        <v>0.1000002608</v>
      </c>
      <c r="G238">
        <v>0.96790267689999998</v>
      </c>
      <c r="H238">
        <v>1.0000001009999999</v>
      </c>
    </row>
    <row r="239" spans="1:8" x14ac:dyDescent="0.2">
      <c r="A239" t="s">
        <v>900</v>
      </c>
      <c r="B239" t="s">
        <v>7</v>
      </c>
      <c r="C239">
        <v>4.7580740039999999E-5</v>
      </c>
      <c r="D239">
        <v>7.6247953170000004E-5</v>
      </c>
      <c r="E239">
        <v>4.668250977E-5</v>
      </c>
      <c r="F239">
        <v>3.27633553E-7</v>
      </c>
      <c r="G239">
        <v>1.914987669E-5</v>
      </c>
      <c r="H239">
        <v>4.4949618219999999E-5</v>
      </c>
    </row>
    <row r="240" spans="1:8" hidden="1" x14ac:dyDescent="0.2">
      <c r="A240" t="s">
        <v>900</v>
      </c>
      <c r="B240" t="s">
        <v>3</v>
      </c>
      <c r="C240">
        <v>9.811606063538699</v>
      </c>
      <c r="D240">
        <v>0.22939369164590001</v>
      </c>
      <c r="E240">
        <v>0.10015142141278</v>
      </c>
      <c r="F240">
        <v>0.1000215731569581</v>
      </c>
      <c r="G240">
        <v>1.1399991846289499</v>
      </c>
      <c r="H240">
        <v>4.6045183886508294</v>
      </c>
    </row>
    <row r="241" spans="1:8" hidden="1" x14ac:dyDescent="0.2">
      <c r="A241" t="s">
        <v>913</v>
      </c>
      <c r="B241" t="s">
        <v>441</v>
      </c>
      <c r="C241">
        <v>0</v>
      </c>
      <c r="D241">
        <v>0.10008777269999999</v>
      </c>
      <c r="E241">
        <v>0.10004099850000001</v>
      </c>
      <c r="F241">
        <v>0.1000007366</v>
      </c>
      <c r="G241">
        <v>0.100028821</v>
      </c>
      <c r="H241">
        <v>0.1001275054</v>
      </c>
    </row>
    <row r="242" spans="1:8" hidden="1" x14ac:dyDescent="0.2">
      <c r="A242" t="s">
        <v>843</v>
      </c>
      <c r="B242" t="s">
        <v>3</v>
      </c>
      <c r="C242">
        <v>9.9999983530000003E-2</v>
      </c>
      <c r="D242">
        <v>0.1000189678</v>
      </c>
      <c r="E242">
        <v>0.10001089019999999</v>
      </c>
      <c r="F242">
        <v>0.100000146</v>
      </c>
      <c r="G242">
        <v>0.53392872755879994</v>
      </c>
      <c r="H242">
        <v>0.60001338106000002</v>
      </c>
    </row>
    <row r="243" spans="1:8" hidden="1" x14ac:dyDescent="0.2">
      <c r="A243" t="s">
        <v>868</v>
      </c>
      <c r="B243" t="s">
        <v>199</v>
      </c>
      <c r="C243">
        <v>0</v>
      </c>
      <c r="D243">
        <v>2.410328244E-6</v>
      </c>
      <c r="E243">
        <v>1.7526850638999999E-6</v>
      </c>
      <c r="F243">
        <v>0</v>
      </c>
      <c r="G243">
        <v>5.2914656629999997E-6</v>
      </c>
      <c r="H243">
        <v>1.9047581374859999E-3</v>
      </c>
    </row>
    <row r="244" spans="1:8" hidden="1" x14ac:dyDescent="0.2">
      <c r="A244" t="s">
        <v>868</v>
      </c>
      <c r="B244" t="s">
        <v>3</v>
      </c>
      <c r="C244">
        <v>3.8230716910000002E-3</v>
      </c>
      <c r="D244">
        <v>2.4279562648500001E-5</v>
      </c>
      <c r="E244">
        <v>1.0917231039E-5</v>
      </c>
      <c r="F244">
        <v>0</v>
      </c>
      <c r="G244">
        <v>6.3307211759999993E-5</v>
      </c>
      <c r="H244">
        <v>7.9507633618510001E-2</v>
      </c>
    </row>
    <row r="245" spans="1:8" hidden="1" x14ac:dyDescent="0.2">
      <c r="A245" t="s">
        <v>868</v>
      </c>
      <c r="B245" t="s">
        <v>11</v>
      </c>
      <c r="C245">
        <v>1.8744342570000001E-6</v>
      </c>
      <c r="D245">
        <v>1.6077560113E-5</v>
      </c>
      <c r="E245">
        <v>2.89492824E-6</v>
      </c>
      <c r="F245">
        <v>0</v>
      </c>
      <c r="G245">
        <v>0</v>
      </c>
      <c r="H245">
        <v>6.3289497469999998E-6</v>
      </c>
    </row>
    <row r="246" spans="1:8" hidden="1" x14ac:dyDescent="0.2">
      <c r="A246" t="s">
        <v>868</v>
      </c>
      <c r="B246" t="s">
        <v>2</v>
      </c>
      <c r="C246">
        <v>0</v>
      </c>
      <c r="D246">
        <v>2.4859946948000002E-6</v>
      </c>
      <c r="E246">
        <v>1.8506919092999999E-6</v>
      </c>
      <c r="F246">
        <v>0</v>
      </c>
      <c r="G246">
        <v>5.2866790739999998E-6</v>
      </c>
      <c r="H246">
        <v>1.9573549153879999E-3</v>
      </c>
    </row>
    <row r="247" spans="1:8" x14ac:dyDescent="0.2">
      <c r="A247" t="s">
        <v>868</v>
      </c>
      <c r="B247" t="s">
        <v>128</v>
      </c>
      <c r="C247">
        <v>3.5579627917413999E-3</v>
      </c>
      <c r="D247">
        <v>1.1196307544E-4</v>
      </c>
      <c r="E247">
        <v>2.4116916440999999E-5</v>
      </c>
      <c r="F247">
        <v>0</v>
      </c>
      <c r="G247">
        <v>2.6541789088000002E-5</v>
      </c>
      <c r="H247">
        <v>2.2567656361262001E-2</v>
      </c>
    </row>
    <row r="248" spans="1:8" x14ac:dyDescent="0.2">
      <c r="A248" t="s">
        <v>891</v>
      </c>
      <c r="B248" t="s">
        <v>405</v>
      </c>
      <c r="C248">
        <v>5.1808248940000003E-6</v>
      </c>
      <c r="D248">
        <v>1.3200094217199999E-4</v>
      </c>
      <c r="E248">
        <v>6.257542319E-5</v>
      </c>
      <c r="F248">
        <v>6.7431846519999995E-7</v>
      </c>
      <c r="G248">
        <v>1.73581216366653</v>
      </c>
      <c r="H248">
        <v>2.0000495416818</v>
      </c>
    </row>
    <row r="249" spans="1:8" hidden="1" x14ac:dyDescent="0.2">
      <c r="A249" t="s">
        <v>889</v>
      </c>
      <c r="B249" t="s">
        <v>20</v>
      </c>
      <c r="C249">
        <v>37.384387340000004</v>
      </c>
      <c r="D249">
        <v>37.112708720000001</v>
      </c>
      <c r="E249">
        <v>37.414295729999999</v>
      </c>
      <c r="F249">
        <v>37.414285679999999</v>
      </c>
      <c r="G249">
        <v>0</v>
      </c>
      <c r="H249">
        <v>0</v>
      </c>
    </row>
    <row r="250" spans="1:8" hidden="1" x14ac:dyDescent="0.2">
      <c r="A250" t="s">
        <v>825</v>
      </c>
      <c r="B250" t="s">
        <v>581</v>
      </c>
      <c r="C250">
        <v>0.64462079800000005</v>
      </c>
      <c r="D250">
        <v>0.55915678700000004</v>
      </c>
      <c r="E250">
        <v>0.5376911419</v>
      </c>
      <c r="F250">
        <v>0.55647407250000003</v>
      </c>
      <c r="G250">
        <v>0.55110859779999999</v>
      </c>
      <c r="H250">
        <v>0.55110859779999999</v>
      </c>
    </row>
    <row r="251" spans="1:8" hidden="1" x14ac:dyDescent="0.2">
      <c r="A251" t="s">
        <v>825</v>
      </c>
      <c r="B251" t="s">
        <v>199</v>
      </c>
      <c r="C251">
        <v>2.4899999990000001</v>
      </c>
      <c r="D251">
        <v>2.2410000179999998</v>
      </c>
      <c r="E251">
        <v>2.1476250010000002</v>
      </c>
      <c r="F251">
        <v>2.0542499849999998</v>
      </c>
      <c r="G251">
        <v>1.9608749679999999</v>
      </c>
      <c r="H251">
        <v>1.867499952</v>
      </c>
    </row>
    <row r="252" spans="1:8" hidden="1" x14ac:dyDescent="0.2">
      <c r="A252" t="s">
        <v>825</v>
      </c>
      <c r="B252" t="s">
        <v>3</v>
      </c>
      <c r="C252">
        <v>1.2422224714999999E-4</v>
      </c>
      <c r="D252">
        <v>9.5959816069999995E-5</v>
      </c>
      <c r="E252">
        <v>1.0899166952E-4</v>
      </c>
      <c r="F252">
        <v>2.0091447927635678E-6</v>
      </c>
      <c r="G252">
        <v>3.7618485609999997E-5</v>
      </c>
      <c r="H252">
        <v>5.8240026049999998E-5</v>
      </c>
    </row>
    <row r="253" spans="1:8" hidden="1" x14ac:dyDescent="0.2">
      <c r="A253" t="s">
        <v>825</v>
      </c>
      <c r="B253" t="s">
        <v>316</v>
      </c>
      <c r="C253">
        <v>27.160003587103219</v>
      </c>
      <c r="D253">
        <v>21.840096393184421</v>
      </c>
      <c r="E253">
        <v>21.112097404009791</v>
      </c>
      <c r="F253">
        <v>21.72800055356506</v>
      </c>
      <c r="G253">
        <v>21.448033794580621</v>
      </c>
      <c r="H253">
        <v>21.392724034621999</v>
      </c>
    </row>
    <row r="254" spans="1:8" hidden="1" x14ac:dyDescent="0.2">
      <c r="A254" t="s">
        <v>825</v>
      </c>
      <c r="B254" t="s">
        <v>113</v>
      </c>
      <c r="C254">
        <v>0</v>
      </c>
      <c r="D254">
        <v>2.2307233829999999E-6</v>
      </c>
      <c r="E254">
        <v>1.2435075090000001E-5</v>
      </c>
      <c r="F254">
        <v>2.5350266150000001E-7</v>
      </c>
      <c r="G254">
        <v>6.6911667080000003E-6</v>
      </c>
      <c r="H254">
        <v>1.541451234E-5</v>
      </c>
    </row>
    <row r="255" spans="1:8" hidden="1" x14ac:dyDescent="0.2">
      <c r="A255" t="s">
        <v>825</v>
      </c>
      <c r="B255" t="s">
        <v>24</v>
      </c>
      <c r="C255">
        <v>82.878891344174249</v>
      </c>
      <c r="D255">
        <v>87.266338502628301</v>
      </c>
      <c r="E255">
        <v>88.226382370864826</v>
      </c>
      <c r="F255">
        <v>82.103765666804918</v>
      </c>
      <c r="G255">
        <v>84.519309535901527</v>
      </c>
      <c r="H255">
        <v>86.833616637912996</v>
      </c>
    </row>
    <row r="256" spans="1:8" hidden="1" x14ac:dyDescent="0.2">
      <c r="A256" t="s">
        <v>825</v>
      </c>
      <c r="B256" t="s">
        <v>16</v>
      </c>
      <c r="C256">
        <v>364.2474296896383</v>
      </c>
      <c r="D256">
        <v>290.81703221542682</v>
      </c>
      <c r="E256">
        <v>289.39161584658387</v>
      </c>
      <c r="F256">
        <v>283.48207701515798</v>
      </c>
      <c r="G256">
        <v>284.54560687798272</v>
      </c>
      <c r="H256">
        <v>307.55875713361348</v>
      </c>
    </row>
    <row r="257" spans="1:8" hidden="1" x14ac:dyDescent="0.2">
      <c r="A257" t="s">
        <v>825</v>
      </c>
      <c r="B257" t="s">
        <v>2</v>
      </c>
      <c r="C257">
        <v>21.81222384503026</v>
      </c>
      <c r="D257">
        <v>21.92525372212037</v>
      </c>
      <c r="E257">
        <v>22.442653692052861</v>
      </c>
      <c r="F257">
        <v>23.571019136155751</v>
      </c>
      <c r="G257">
        <v>22.731173973101772</v>
      </c>
      <c r="H257">
        <v>22.58493749956218</v>
      </c>
    </row>
    <row r="258" spans="1:8" hidden="1" x14ac:dyDescent="0.2">
      <c r="A258" t="s">
        <v>825</v>
      </c>
      <c r="B258" t="s">
        <v>194</v>
      </c>
      <c r="C258">
        <v>7.2859734841883199</v>
      </c>
      <c r="D258">
        <v>1.460717125027744</v>
      </c>
      <c r="E258">
        <v>1.31154654621918</v>
      </c>
      <c r="F258">
        <v>1.1695190446300141</v>
      </c>
      <c r="G258">
        <v>1.0029723366996821</v>
      </c>
      <c r="H258">
        <v>0.82601544640599001</v>
      </c>
    </row>
    <row r="259" spans="1:8" hidden="1" x14ac:dyDescent="0.2">
      <c r="A259" t="s">
        <v>825</v>
      </c>
      <c r="B259" t="s">
        <v>5</v>
      </c>
      <c r="C259">
        <v>80.838455199999999</v>
      </c>
      <c r="D259">
        <v>51.968765169999998</v>
      </c>
      <c r="E259">
        <v>45.570718210000003</v>
      </c>
      <c r="F259">
        <v>46.165667829999997</v>
      </c>
      <c r="G259">
        <v>42.868119630000002</v>
      </c>
      <c r="H259">
        <v>39.570575380000001</v>
      </c>
    </row>
    <row r="260" spans="1:8" x14ac:dyDescent="0.2">
      <c r="A260" t="s">
        <v>825</v>
      </c>
      <c r="B260" t="s">
        <v>128</v>
      </c>
      <c r="C260">
        <v>1.8701353450766999E-5</v>
      </c>
      <c r="D260">
        <v>1.0863439237000001E-4</v>
      </c>
      <c r="E260">
        <v>5.5858057594000003E-5</v>
      </c>
      <c r="F260">
        <v>7.0622705606049997E-7</v>
      </c>
      <c r="G260">
        <v>1.45934620758E-5</v>
      </c>
      <c r="H260">
        <v>3.6245829759999997E-5</v>
      </c>
    </row>
    <row r="261" spans="1:8" hidden="1" x14ac:dyDescent="0.2">
      <c r="A261" t="s">
        <v>825</v>
      </c>
      <c r="B261" t="s">
        <v>87</v>
      </c>
      <c r="C261">
        <v>21.629135130000002</v>
      </c>
      <c r="D261">
        <v>23.983467099999999</v>
      </c>
      <c r="E261">
        <v>23.653917310000001</v>
      </c>
      <c r="F261">
        <v>23.291240689999999</v>
      </c>
      <c r="G261">
        <v>22.986009599999999</v>
      </c>
      <c r="H261">
        <v>22.864225390000001</v>
      </c>
    </row>
    <row r="262" spans="1:8" hidden="1" x14ac:dyDescent="0.2">
      <c r="A262" t="s">
        <v>825</v>
      </c>
      <c r="B262" t="s">
        <v>188</v>
      </c>
      <c r="C262">
        <v>11.7704723961441</v>
      </c>
      <c r="D262">
        <v>14</v>
      </c>
      <c r="E262">
        <v>10.822390459999999</v>
      </c>
      <c r="F262">
        <v>13.447430669999999</v>
      </c>
      <c r="G262">
        <v>19.12707099</v>
      </c>
      <c r="H262">
        <v>23.202045689999999</v>
      </c>
    </row>
    <row r="263" spans="1:8" hidden="1" x14ac:dyDescent="0.2">
      <c r="A263" t="s">
        <v>825</v>
      </c>
      <c r="B263" t="s">
        <v>318</v>
      </c>
      <c r="C263">
        <v>2.4196342710000002E-9</v>
      </c>
      <c r="D263">
        <v>0</v>
      </c>
      <c r="E263">
        <v>0</v>
      </c>
      <c r="F263">
        <v>1.776356839E-15</v>
      </c>
      <c r="G263">
        <v>0</v>
      </c>
      <c r="H263">
        <v>0</v>
      </c>
    </row>
    <row r="264" spans="1:8" hidden="1" x14ac:dyDescent="0.2">
      <c r="A264" t="s">
        <v>878</v>
      </c>
      <c r="B264" t="s">
        <v>20</v>
      </c>
      <c r="C264">
        <v>7.9150114810000001E-6</v>
      </c>
      <c r="D264">
        <v>1.3943299900000001E-4</v>
      </c>
      <c r="E264">
        <v>1.7854501290000001E-5</v>
      </c>
      <c r="F264">
        <v>0</v>
      </c>
      <c r="G264">
        <v>0</v>
      </c>
      <c r="H264">
        <v>3.8711428890000001E-5</v>
      </c>
    </row>
    <row r="265" spans="1:8" hidden="1" x14ac:dyDescent="0.2">
      <c r="A265" t="s">
        <v>824</v>
      </c>
      <c r="B265">
        <v>0</v>
      </c>
      <c r="C265">
        <v>7.2797756569999998E-7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hidden="1" x14ac:dyDescent="0.2">
      <c r="A266" t="s">
        <v>824</v>
      </c>
      <c r="B266" t="s">
        <v>581</v>
      </c>
      <c r="C266">
        <v>3.5749569283248003E-2</v>
      </c>
      <c r="D266">
        <v>6.5539988179999997E-5</v>
      </c>
      <c r="E266">
        <v>4.0670679300000001E-5</v>
      </c>
      <c r="F266">
        <v>4.8040088760000005E-7</v>
      </c>
      <c r="G266">
        <v>1.7121770625000001E-5</v>
      </c>
      <c r="H266">
        <v>5.2545596290000001E-5</v>
      </c>
    </row>
    <row r="267" spans="1:8" hidden="1" x14ac:dyDescent="0.2">
      <c r="A267" t="s">
        <v>824</v>
      </c>
      <c r="B267" t="s">
        <v>199</v>
      </c>
      <c r="C267">
        <v>5.2049362360000013E-6</v>
      </c>
      <c r="D267">
        <v>4.6505882650000001E-5</v>
      </c>
      <c r="E267">
        <v>3.7830235240000001E-5</v>
      </c>
      <c r="F267">
        <v>4.5929607760000002E-7</v>
      </c>
      <c r="G267">
        <v>1.4923997730999999E-5</v>
      </c>
      <c r="H267">
        <v>5.9964303419999992E-5</v>
      </c>
    </row>
    <row r="268" spans="1:8" x14ac:dyDescent="0.2">
      <c r="A268" t="s">
        <v>824</v>
      </c>
      <c r="B268" t="s">
        <v>7</v>
      </c>
      <c r="C268">
        <v>8.205042830606514</v>
      </c>
      <c r="D268">
        <v>4.048573510795543</v>
      </c>
      <c r="E268">
        <v>3.2325499335084231</v>
      </c>
      <c r="F268">
        <v>7.0157692206402062</v>
      </c>
      <c r="G268">
        <v>7.6601505224929243</v>
      </c>
      <c r="H268">
        <v>8.2657505105448337</v>
      </c>
    </row>
    <row r="269" spans="1:8" hidden="1" x14ac:dyDescent="0.2">
      <c r="A269" t="s">
        <v>824</v>
      </c>
      <c r="B269" t="s">
        <v>3</v>
      </c>
      <c r="C269">
        <v>4.5899082387000002E-5</v>
      </c>
      <c r="D269">
        <v>9.1408778836409113</v>
      </c>
      <c r="E269">
        <v>10.6323507948123</v>
      </c>
      <c r="F269">
        <v>12.83351583772709</v>
      </c>
      <c r="G269">
        <v>10.4417675305499</v>
      </c>
      <c r="H269">
        <v>8.711313259736059</v>
      </c>
    </row>
    <row r="270" spans="1:8" x14ac:dyDescent="0.2">
      <c r="A270" t="s">
        <v>824</v>
      </c>
      <c r="B270" t="s">
        <v>405</v>
      </c>
      <c r="C270">
        <v>7.1567840231379014</v>
      </c>
      <c r="D270">
        <v>6.2569363407000004E-4</v>
      </c>
      <c r="E270">
        <v>2.95565632739E-4</v>
      </c>
      <c r="F270">
        <v>2.62035994748E-5</v>
      </c>
      <c r="G270">
        <v>3.3720381376182038</v>
      </c>
      <c r="H270">
        <v>7.9079950017879801</v>
      </c>
    </row>
    <row r="271" spans="1:8" hidden="1" x14ac:dyDescent="0.2">
      <c r="A271" t="s">
        <v>824</v>
      </c>
      <c r="B271" t="s">
        <v>20</v>
      </c>
      <c r="C271">
        <v>0</v>
      </c>
      <c r="D271">
        <v>8.9397182510000004E-5</v>
      </c>
      <c r="E271">
        <v>6.8509648120000001E-5</v>
      </c>
      <c r="F271">
        <v>3.9094113920000002E-7</v>
      </c>
      <c r="G271">
        <v>0</v>
      </c>
      <c r="H271">
        <v>0</v>
      </c>
    </row>
    <row r="272" spans="1:8" hidden="1" x14ac:dyDescent="0.2">
      <c r="A272" t="s">
        <v>824</v>
      </c>
      <c r="B272" t="s">
        <v>316</v>
      </c>
      <c r="C272">
        <v>4.6766419560000004E-6</v>
      </c>
      <c r="D272">
        <v>7.1239306440000003E-5</v>
      </c>
      <c r="E272">
        <v>4.1892811650000002E-5</v>
      </c>
      <c r="F272">
        <v>4.320697563E-7</v>
      </c>
      <c r="G272">
        <v>1.2232225135000001E-5</v>
      </c>
      <c r="H272">
        <v>6.5188773140000005E-5</v>
      </c>
    </row>
    <row r="273" spans="1:8" hidden="1" x14ac:dyDescent="0.2">
      <c r="A273" t="s">
        <v>824</v>
      </c>
      <c r="B273" t="s">
        <v>113</v>
      </c>
      <c r="C273">
        <v>2.9202814709999999E-4</v>
      </c>
      <c r="D273">
        <v>2.8844217720000001E-5</v>
      </c>
      <c r="E273">
        <v>1.876886884E-5</v>
      </c>
      <c r="F273">
        <v>1.1972895610000001E-6</v>
      </c>
      <c r="G273">
        <v>2.905928965E-5</v>
      </c>
      <c r="H273">
        <v>6.9079855269999998E-5</v>
      </c>
    </row>
    <row r="274" spans="1:8" hidden="1" x14ac:dyDescent="0.2">
      <c r="A274" t="s">
        <v>824</v>
      </c>
      <c r="B274" t="s">
        <v>11</v>
      </c>
      <c r="C274">
        <v>1.764126324222685</v>
      </c>
      <c r="D274">
        <v>0.65238109066930006</v>
      </c>
      <c r="E274">
        <v>0.61633793774430001</v>
      </c>
      <c r="F274">
        <v>0.59803045401098398</v>
      </c>
      <c r="G274">
        <v>0.64817450234353247</v>
      </c>
      <c r="H274">
        <v>0.73060321930213168</v>
      </c>
    </row>
    <row r="275" spans="1:8" hidden="1" x14ac:dyDescent="0.2">
      <c r="A275" t="s">
        <v>824</v>
      </c>
      <c r="B275" t="s">
        <v>24</v>
      </c>
      <c r="C275">
        <v>1.6132126549999999E-5</v>
      </c>
      <c r="D275">
        <v>4.2367335450969998E-4</v>
      </c>
      <c r="E275">
        <v>6.8964236275920003E-4</v>
      </c>
      <c r="F275">
        <v>6.7477430760999996E-6</v>
      </c>
      <c r="G275">
        <v>3.92676803559E-4</v>
      </c>
      <c r="H275">
        <v>9.791353354737999E-4</v>
      </c>
    </row>
    <row r="276" spans="1:8" hidden="1" x14ac:dyDescent="0.2">
      <c r="A276" t="s">
        <v>824</v>
      </c>
      <c r="B276" t="s">
        <v>16</v>
      </c>
      <c r="C276">
        <v>1.413453931E-5</v>
      </c>
      <c r="D276">
        <v>9.2463734549801998E-3</v>
      </c>
      <c r="E276">
        <v>3.1531098726225999E-3</v>
      </c>
      <c r="F276">
        <v>4.1052400060000004E-3</v>
      </c>
      <c r="G276">
        <v>4.5379247950959999E-3</v>
      </c>
      <c r="H276">
        <v>3.4472716760670999E-3</v>
      </c>
    </row>
    <row r="277" spans="1:8" hidden="1" x14ac:dyDescent="0.2">
      <c r="A277" t="s">
        <v>824</v>
      </c>
      <c r="B277" t="s">
        <v>2</v>
      </c>
      <c r="C277">
        <v>6.5514873330000004E-6</v>
      </c>
      <c r="D277">
        <v>1.9583446674999999E-4</v>
      </c>
      <c r="E277">
        <v>1.2374592755E-4</v>
      </c>
      <c r="F277">
        <v>1.3104079798E-6</v>
      </c>
      <c r="G277">
        <v>4.7865096233E-5</v>
      </c>
      <c r="H277">
        <v>1.9154623785999999E-4</v>
      </c>
    </row>
    <row r="278" spans="1:8" hidden="1" x14ac:dyDescent="0.2">
      <c r="A278" t="s">
        <v>824</v>
      </c>
      <c r="B278" t="s">
        <v>194</v>
      </c>
      <c r="C278">
        <v>4.9826129350000004E-6</v>
      </c>
      <c r="D278">
        <v>7.1105930430000004E-5</v>
      </c>
      <c r="E278">
        <v>4.0857562290000001E-5</v>
      </c>
      <c r="F278">
        <v>4.5508177119999998E-7</v>
      </c>
      <c r="G278">
        <v>9.6115173499999998E-6</v>
      </c>
      <c r="H278">
        <v>4.0423557030000002E-5</v>
      </c>
    </row>
    <row r="279" spans="1:8" x14ac:dyDescent="0.2">
      <c r="A279" t="s">
        <v>824</v>
      </c>
      <c r="B279" t="s">
        <v>128</v>
      </c>
      <c r="C279">
        <v>58.162312918428121</v>
      </c>
      <c r="D279">
        <v>59.966832249320731</v>
      </c>
      <c r="E279">
        <v>57.722383680465242</v>
      </c>
      <c r="F279">
        <v>52.026292288938471</v>
      </c>
      <c r="G279">
        <v>46.827062041539769</v>
      </c>
      <c r="H279">
        <v>41.627846118183037</v>
      </c>
    </row>
    <row r="280" spans="1:8" hidden="1" x14ac:dyDescent="0.2">
      <c r="A280" t="s">
        <v>824</v>
      </c>
      <c r="B280" t="s">
        <v>87</v>
      </c>
      <c r="C280">
        <v>9.2209072550003776E-6</v>
      </c>
      <c r="D280">
        <v>2.0951110163347039E-2</v>
      </c>
      <c r="E280">
        <v>2.174628194866016E-2</v>
      </c>
      <c r="F280">
        <v>2.1177660995147542E-2</v>
      </c>
      <c r="G280">
        <v>2.1470645060934931E-2</v>
      </c>
      <c r="H280">
        <v>2.173400700108085E-2</v>
      </c>
    </row>
    <row r="281" spans="1:8" hidden="1" x14ac:dyDescent="0.2">
      <c r="A281" t="s">
        <v>824</v>
      </c>
      <c r="B281" t="s">
        <v>188</v>
      </c>
      <c r="C281">
        <v>0.94386914424728297</v>
      </c>
      <c r="D281">
        <v>5.8009975459999999E-5</v>
      </c>
      <c r="E281">
        <v>4.0425610919999999E-5</v>
      </c>
      <c r="F281">
        <v>4.185694776E-7</v>
      </c>
      <c r="G281">
        <v>1.5613110990000002E-5</v>
      </c>
      <c r="H281">
        <v>8.6501209209999995E-5</v>
      </c>
    </row>
    <row r="282" spans="1:8" hidden="1" x14ac:dyDescent="0.2">
      <c r="A282" t="s">
        <v>824</v>
      </c>
      <c r="B282" t="s">
        <v>318</v>
      </c>
      <c r="C282">
        <v>1.4450263489999999E-6</v>
      </c>
      <c r="D282">
        <v>3.3236374559999998E-5</v>
      </c>
      <c r="E282">
        <v>2.1125431150000002E-5</v>
      </c>
      <c r="F282">
        <v>2.1556920869999999E-7</v>
      </c>
      <c r="G282">
        <v>6.0310878979999997E-6</v>
      </c>
      <c r="H282">
        <v>2.9389972390000002E-5</v>
      </c>
    </row>
    <row r="283" spans="1:8" hidden="1" x14ac:dyDescent="0.2">
      <c r="A283" t="s">
        <v>831</v>
      </c>
      <c r="B283" t="s">
        <v>20</v>
      </c>
      <c r="C283">
        <v>135.42509501000001</v>
      </c>
      <c r="D283">
        <v>253.50004734999999</v>
      </c>
      <c r="E283">
        <v>318.60000810000003</v>
      </c>
      <c r="F283">
        <v>318.59999998000001</v>
      </c>
      <c r="G283">
        <v>432.2315049</v>
      </c>
      <c r="H283">
        <v>431.24693850000011</v>
      </c>
    </row>
    <row r="284" spans="1:8" hidden="1" x14ac:dyDescent="0.2">
      <c r="A284" t="s">
        <v>826</v>
      </c>
      <c r="B284" t="s">
        <v>20</v>
      </c>
      <c r="C284">
        <v>15.587855319999999</v>
      </c>
      <c r="D284">
        <v>24.2186022309</v>
      </c>
      <c r="E284">
        <v>29.787610313999998</v>
      </c>
      <c r="F284">
        <v>35.126116728</v>
      </c>
      <c r="G284">
        <v>48.033360153999993</v>
      </c>
      <c r="H284">
        <v>61.310014600000002</v>
      </c>
    </row>
    <row r="285" spans="1:8" hidden="1" x14ac:dyDescent="0.2">
      <c r="A285" t="s">
        <v>826</v>
      </c>
      <c r="B285" t="s">
        <v>11</v>
      </c>
      <c r="C285">
        <v>0</v>
      </c>
      <c r="D285">
        <v>1.4434221410000001E-4</v>
      </c>
      <c r="E285">
        <v>7.2896049759999996E-5</v>
      </c>
      <c r="F285">
        <v>2.882418905E-6</v>
      </c>
      <c r="G285">
        <v>7.4190811989999998E-5</v>
      </c>
      <c r="H285">
        <v>1.8744105979999999E-4</v>
      </c>
    </row>
    <row r="286" spans="1:8" hidden="1" x14ac:dyDescent="0.2">
      <c r="A286" t="s">
        <v>826</v>
      </c>
      <c r="B286" t="s">
        <v>24</v>
      </c>
      <c r="C286">
        <v>17.3786573</v>
      </c>
      <c r="D286">
        <v>18.790893161997399</v>
      </c>
      <c r="E286">
        <v>37.214582737548028</v>
      </c>
      <c r="F286">
        <v>40</v>
      </c>
      <c r="G286">
        <v>49.999999889999998</v>
      </c>
      <c r="H286">
        <v>59.999999670000001</v>
      </c>
    </row>
    <row r="287" spans="1:8" hidden="1" x14ac:dyDescent="0.2">
      <c r="A287" t="s">
        <v>826</v>
      </c>
      <c r="B287" t="s">
        <v>16</v>
      </c>
      <c r="C287">
        <v>37.08036242</v>
      </c>
      <c r="D287">
        <v>29.85976694</v>
      </c>
      <c r="E287">
        <v>30.326279230000001</v>
      </c>
      <c r="F287">
        <v>47.02514051</v>
      </c>
      <c r="G287">
        <v>31.2593979</v>
      </c>
      <c r="H287">
        <v>48.450140840000003</v>
      </c>
    </row>
    <row r="288" spans="1:8" hidden="1" x14ac:dyDescent="0.2">
      <c r="A288" t="s">
        <v>826</v>
      </c>
      <c r="B288" t="s">
        <v>2</v>
      </c>
      <c r="C288">
        <v>5.4638979709999997</v>
      </c>
      <c r="D288">
        <v>2.409913494</v>
      </c>
      <c r="E288">
        <v>4.0741548090000004</v>
      </c>
      <c r="F288">
        <v>5.7884478619999999</v>
      </c>
      <c r="G288">
        <v>8.0069585889999999</v>
      </c>
      <c r="H288">
        <v>10.289072770000001</v>
      </c>
    </row>
    <row r="289" spans="1:8" hidden="1" x14ac:dyDescent="0.2">
      <c r="A289" t="s">
        <v>826</v>
      </c>
      <c r="B289" t="s">
        <v>5</v>
      </c>
      <c r="C289">
        <v>8.4790475870000002</v>
      </c>
      <c r="D289">
        <v>9.0054872790950498</v>
      </c>
      <c r="E289">
        <v>6.9197686363545499</v>
      </c>
      <c r="F289">
        <v>14.99999998649278</v>
      </c>
      <c r="G289">
        <v>10.014782627336711</v>
      </c>
      <c r="H289">
        <v>48.583201298900583</v>
      </c>
    </row>
    <row r="290" spans="1:8" hidden="1" x14ac:dyDescent="0.2">
      <c r="A290" t="s">
        <v>829</v>
      </c>
      <c r="B290" t="s">
        <v>24</v>
      </c>
      <c r="C290">
        <v>5.0431666300000002E-5</v>
      </c>
      <c r="D290">
        <v>1.706970739E-3</v>
      </c>
      <c r="E290">
        <v>1.3633231030000001E-3</v>
      </c>
      <c r="F290">
        <v>9.4373294449999996</v>
      </c>
      <c r="G290">
        <v>14.74170661</v>
      </c>
      <c r="H290">
        <v>17.73252819</v>
      </c>
    </row>
    <row r="291" spans="1:8" hidden="1" x14ac:dyDescent="0.2">
      <c r="A291" t="s">
        <v>829</v>
      </c>
      <c r="B291" t="s">
        <v>16</v>
      </c>
      <c r="C291">
        <v>9.8051132899999992E-5</v>
      </c>
      <c r="D291">
        <v>0.23438195380599999</v>
      </c>
      <c r="E291">
        <v>0.187652611666</v>
      </c>
      <c r="F291">
        <v>0.15237887732300001</v>
      </c>
      <c r="G291">
        <v>5.5317300251000003E-4</v>
      </c>
      <c r="H291">
        <v>4.9446480907579998E-2</v>
      </c>
    </row>
    <row r="292" spans="1:8" hidden="1" x14ac:dyDescent="0.2">
      <c r="A292" t="s">
        <v>829</v>
      </c>
      <c r="B292" t="s">
        <v>2</v>
      </c>
      <c r="C292">
        <v>6.2601923940000002E-7</v>
      </c>
      <c r="D292">
        <v>1.8982898800000002E-5</v>
      </c>
      <c r="E292">
        <v>2.015020922E-5</v>
      </c>
      <c r="F292">
        <v>9.2598296070000002E-7</v>
      </c>
      <c r="G292">
        <v>1.5897918430000001E-5</v>
      </c>
      <c r="H292">
        <v>2.897468949E-5</v>
      </c>
    </row>
    <row r="293" spans="1:8" hidden="1" x14ac:dyDescent="0.2">
      <c r="A293" t="s">
        <v>829</v>
      </c>
      <c r="B293" t="s">
        <v>188</v>
      </c>
      <c r="C293">
        <v>1.466046924E-6</v>
      </c>
      <c r="D293">
        <v>3.546521027E-5</v>
      </c>
      <c r="E293">
        <v>7.2875689190000001E-5</v>
      </c>
      <c r="F293">
        <v>9.7437290570000003E-6</v>
      </c>
      <c r="G293">
        <v>6.5184864679999996E-5</v>
      </c>
      <c r="H293">
        <v>4.8812854930000003E-5</v>
      </c>
    </row>
  </sheetData>
  <autoFilter ref="A1:H293" xr:uid="{00000000-0009-0000-0000-00000B000000}">
    <filterColumn colId="1">
      <filters>
        <filter val="Biofuel"/>
        <filter val="Clean gas"/>
        <filter val="Raffinaderijen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19"/>
  <sheetViews>
    <sheetView tabSelected="1" topLeftCell="B137" zoomScale="136" zoomScaleNormal="100" workbookViewId="0">
      <selection activeCell="H148" sqref="H148:J148"/>
    </sheetView>
  </sheetViews>
  <sheetFormatPr baseColWidth="10" defaultColWidth="8.83203125" defaultRowHeight="15" x14ac:dyDescent="0.2"/>
  <cols>
    <col min="1" max="1" width="25.33203125" style="4" bestFit="1" customWidth="1"/>
    <col min="2" max="2" width="37.1640625" style="4" customWidth="1"/>
    <col min="3" max="3" width="12.5" style="4" customWidth="1"/>
    <col min="4" max="4" width="20" style="4" customWidth="1"/>
    <col min="5" max="5" width="12.5" style="4" bestFit="1" customWidth="1"/>
    <col min="6" max="6" width="12" style="4" customWidth="1"/>
    <col min="7" max="7" width="11.33203125" style="4" customWidth="1"/>
    <col min="8" max="8" width="11.1640625" style="4" customWidth="1"/>
    <col min="9" max="10" width="10.83203125" style="4" customWidth="1"/>
    <col min="11" max="11" width="10.6640625" style="4" customWidth="1"/>
    <col min="12" max="12" width="8.1640625" style="4" customWidth="1"/>
    <col min="13" max="13" width="8.83203125" style="4" customWidth="1"/>
    <col min="14" max="14" width="13" style="4" customWidth="1"/>
    <col min="15" max="15" width="11" style="4" bestFit="1" customWidth="1"/>
    <col min="16" max="16" width="11.1640625" style="4" bestFit="1" customWidth="1"/>
    <col min="17" max="19" width="9.1640625" style="4" bestFit="1" customWidth="1"/>
    <col min="20" max="20" width="8.83203125" style="4" customWidth="1"/>
    <col min="21" max="16384" width="8.83203125" style="4"/>
  </cols>
  <sheetData>
    <row r="1" spans="1:10" x14ac:dyDescent="0.2">
      <c r="A1" s="70" t="s">
        <v>932</v>
      </c>
      <c r="B1" s="70" t="s">
        <v>1</v>
      </c>
      <c r="C1" s="70" t="s">
        <v>933</v>
      </c>
      <c r="D1" s="70"/>
      <c r="E1" s="70">
        <v>2025</v>
      </c>
      <c r="F1" s="70">
        <v>2030</v>
      </c>
      <c r="G1" s="70">
        <v>2035</v>
      </c>
      <c r="H1" s="70">
        <v>2040</v>
      </c>
      <c r="I1" s="70">
        <v>2045</v>
      </c>
      <c r="J1" s="70">
        <v>2050</v>
      </c>
    </row>
    <row r="2" spans="1:10" ht="16" x14ac:dyDescent="0.2">
      <c r="A2" s="16" t="s">
        <v>934</v>
      </c>
      <c r="B2" s="17" t="s">
        <v>938</v>
      </c>
      <c r="C2" s="17" t="s">
        <v>936</v>
      </c>
      <c r="D2" s="18"/>
      <c r="E2" s="86">
        <v>0</v>
      </c>
      <c r="F2" s="86">
        <v>0</v>
      </c>
      <c r="G2" s="86">
        <v>0</v>
      </c>
      <c r="H2" s="86">
        <v>0</v>
      </c>
      <c r="I2" s="86">
        <v>0</v>
      </c>
      <c r="J2" s="87">
        <v>0</v>
      </c>
    </row>
    <row r="3" spans="1:10" ht="16" x14ac:dyDescent="0.2">
      <c r="A3" s="16" t="s">
        <v>934</v>
      </c>
      <c r="B3" s="20" t="s">
        <v>938</v>
      </c>
      <c r="C3" s="20" t="s">
        <v>936</v>
      </c>
      <c r="D3" s="21" t="s">
        <v>940</v>
      </c>
      <c r="E3" s="88">
        <v>0</v>
      </c>
      <c r="F3" s="88">
        <v>0</v>
      </c>
      <c r="G3" s="88">
        <v>0</v>
      </c>
      <c r="H3" s="88">
        <v>0</v>
      </c>
      <c r="I3" s="88">
        <v>0</v>
      </c>
      <c r="J3" s="89">
        <v>0</v>
      </c>
    </row>
    <row r="4" spans="1:10" ht="16" x14ac:dyDescent="0.2">
      <c r="A4" s="69" t="s">
        <v>942</v>
      </c>
      <c r="B4" s="67" t="s">
        <v>938</v>
      </c>
      <c r="C4" s="17" t="s">
        <v>943</v>
      </c>
      <c r="D4" s="18" t="s">
        <v>937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66">
        <v>0</v>
      </c>
    </row>
    <row r="5" spans="1:10" ht="16" x14ac:dyDescent="0.2">
      <c r="A5" s="55" t="s">
        <v>942</v>
      </c>
      <c r="B5" s="67" t="s">
        <v>938</v>
      </c>
      <c r="C5" s="17" t="s">
        <v>943</v>
      </c>
      <c r="D5" s="18" t="s">
        <v>939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22">
        <v>0</v>
      </c>
    </row>
    <row r="6" spans="1:10" ht="16" x14ac:dyDescent="0.2">
      <c r="A6" s="55" t="s">
        <v>942</v>
      </c>
      <c r="B6" s="67" t="s">
        <v>938</v>
      </c>
      <c r="C6" s="17" t="s">
        <v>943</v>
      </c>
      <c r="D6" s="18" t="s">
        <v>941</v>
      </c>
      <c r="E6" s="13">
        <f>'Energy input per carrier'!C183*1000</f>
        <v>11565.271470000002</v>
      </c>
      <c r="F6" s="13">
        <f>'Energy input per carrier'!D183*1000</f>
        <v>4.0648531510000002E-2</v>
      </c>
      <c r="G6" s="13">
        <f>'Energy input per carrier'!E183*1000</f>
        <v>5.4424899059999997E-2</v>
      </c>
      <c r="H6" s="13">
        <f>'Energy input per carrier'!F183*1000</f>
        <v>6.1527494630000002E-4</v>
      </c>
      <c r="I6" s="13">
        <f>'Energy input per carrier'!G183*1000</f>
        <v>1.3188794300000001E-2</v>
      </c>
      <c r="J6" s="22">
        <f>'Energy input per carrier'!H183*1000</f>
        <v>9.339002862000001E-2</v>
      </c>
    </row>
    <row r="7" spans="1:10" ht="16" x14ac:dyDescent="0.2">
      <c r="A7" s="55" t="s">
        <v>942</v>
      </c>
      <c r="B7" s="67" t="s">
        <v>938</v>
      </c>
      <c r="C7" s="17" t="s">
        <v>943</v>
      </c>
      <c r="D7" s="18" t="s">
        <v>944</v>
      </c>
      <c r="E7" s="13">
        <f>'Energy input per carrier'!C13*1000</f>
        <v>82317.620729274946</v>
      </c>
      <c r="F7" s="13">
        <f>'Energy input per carrier'!D13*1000</f>
        <v>58642.398373487122</v>
      </c>
      <c r="G7" s="13">
        <f>'Energy input per carrier'!E13*1000</f>
        <v>20002.626574151767</v>
      </c>
      <c r="H7" s="13">
        <f>'Energy input per carrier'!F13*1000</f>
        <v>18550.035619960181</v>
      </c>
      <c r="I7" s="13">
        <f>'Energy input per carrier'!G13*1000</f>
        <v>12264.38350659087</v>
      </c>
      <c r="J7" s="22">
        <f>'Energy input per carrier'!H13*1000</f>
        <v>1940.12203224533</v>
      </c>
    </row>
    <row r="8" spans="1:10" ht="16" x14ac:dyDescent="0.2">
      <c r="A8" s="55" t="s">
        <v>942</v>
      </c>
      <c r="B8" s="67" t="s">
        <v>938</v>
      </c>
      <c r="C8" s="17" t="s">
        <v>943</v>
      </c>
      <c r="D8" s="18" t="s">
        <v>945</v>
      </c>
      <c r="E8" s="13">
        <f>'Energy input per carrier'!C130*1000</f>
        <v>31671.71129511956</v>
      </c>
      <c r="F8" s="13">
        <f>'Energy input per carrier'!D130*1000</f>
        <v>47417.8501904</v>
      </c>
      <c r="G8" s="13">
        <f>'Energy input per carrier'!E130*1000</f>
        <v>50365.94847960036</v>
      </c>
      <c r="H8" s="13">
        <f>'Energy input per carrier'!F130*1000</f>
        <v>54506.218839399997</v>
      </c>
      <c r="I8" s="13">
        <f>'Energy input per carrier'!G130*1000</f>
        <v>56107.919518199997</v>
      </c>
      <c r="J8" s="22">
        <f>'Energy input per carrier'!H130*1000</f>
        <v>58075.784381171979</v>
      </c>
    </row>
    <row r="9" spans="1:10" ht="16" x14ac:dyDescent="0.2">
      <c r="A9" s="55" t="s">
        <v>942</v>
      </c>
      <c r="B9" s="67" t="s">
        <v>938</v>
      </c>
      <c r="C9" s="17" t="s">
        <v>943</v>
      </c>
      <c r="D9" s="18" t="s">
        <v>946</v>
      </c>
      <c r="E9" s="13">
        <f>('Tech, Carrier &amp; Sector by Year'!D172+'Tech, Carrier &amp; Sector by Year'!D1391+'Tech, Carrier &amp; Sector by Year'!D802+'Tech, Carrier &amp; Sector by Year'!D2069)*1000</f>
        <v>15400.000483160413</v>
      </c>
      <c r="F9" s="13">
        <f>('Tech, Carrier &amp; Sector by Year'!E172+'Tech, Carrier &amp; Sector by Year'!E1391+'Tech, Carrier &amp; Sector by Year'!E802+'Tech, Carrier &amp; Sector by Year'!E2069)*1000</f>
        <v>8800.0557247863198</v>
      </c>
      <c r="G9" s="13">
        <f>('Tech, Carrier &amp; Sector by Year'!F172+'Tech, Carrier &amp; Sector by Year'!F1391+'Tech, Carrier &amp; Sector by Year'!F802+'Tech, Carrier &amp; Sector by Year'!F2069)*1000</f>
        <v>15000.000348529151</v>
      </c>
      <c r="H9" s="13">
        <f>('Tech, Carrier &amp; Sector by Year'!G172+'Tech, Carrier &amp; Sector by Year'!G1391+'Tech, Carrier &amp; Sector by Year'!G802+'Tech, Carrier &amp; Sector by Year'!G2069)*1000</f>
        <v>14999.999995348164</v>
      </c>
      <c r="I9" s="13">
        <f>('Tech, Carrier &amp; Sector by Year'!H172+'Tech, Carrier &amp; Sector by Year'!H1391+'Tech, Carrier &amp; Sector by Year'!H802+'Tech, Carrier &amp; Sector by Year'!H2069)*1000</f>
        <v>14999.999945</v>
      </c>
      <c r="J9" s="13">
        <f>('Tech, Carrier &amp; Sector by Year'!I172+'Tech, Carrier &amp; Sector by Year'!I1391+'Tech, Carrier &amp; Sector by Year'!I802+'Tech, Carrier &amp; Sector by Year'!I2069)*1000</f>
        <v>15000.000505999998</v>
      </c>
    </row>
    <row r="10" spans="1:10" ht="16" x14ac:dyDescent="0.2">
      <c r="A10" s="55" t="s">
        <v>942</v>
      </c>
      <c r="B10" s="67" t="s">
        <v>938</v>
      </c>
      <c r="C10" s="17" t="s">
        <v>943</v>
      </c>
      <c r="D10" s="18" t="s">
        <v>947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22">
        <v>0</v>
      </c>
    </row>
    <row r="11" spans="1:10" ht="16" x14ac:dyDescent="0.2">
      <c r="A11" s="55" t="s">
        <v>942</v>
      </c>
      <c r="B11" s="67" t="s">
        <v>938</v>
      </c>
      <c r="C11" s="17" t="s">
        <v>943</v>
      </c>
      <c r="D11" s="18" t="s">
        <v>948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22">
        <v>0</v>
      </c>
    </row>
    <row r="12" spans="1:10" ht="16" x14ac:dyDescent="0.2">
      <c r="A12" s="55" t="s">
        <v>942</v>
      </c>
      <c r="B12" s="67" t="s">
        <v>938</v>
      </c>
      <c r="C12" s="17" t="s">
        <v>943</v>
      </c>
      <c r="D12" s="18" t="s">
        <v>949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22">
        <v>0</v>
      </c>
    </row>
    <row r="13" spans="1:10" ht="16" x14ac:dyDescent="0.2">
      <c r="A13" s="55" t="s">
        <v>942</v>
      </c>
      <c r="B13" s="67" t="s">
        <v>938</v>
      </c>
      <c r="C13" s="17" t="s">
        <v>943</v>
      </c>
      <c r="D13" s="18" t="s">
        <v>950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22">
        <v>0</v>
      </c>
    </row>
    <row r="14" spans="1:10" ht="16" x14ac:dyDescent="0.2">
      <c r="A14" s="56" t="s">
        <v>942</v>
      </c>
      <c r="B14" s="68" t="s">
        <v>938</v>
      </c>
      <c r="C14" s="20" t="s">
        <v>943</v>
      </c>
      <c r="D14" s="21" t="s">
        <v>951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23">
        <v>0</v>
      </c>
    </row>
    <row r="15" spans="1:10" ht="16" x14ac:dyDescent="0.2">
      <c r="A15" s="101" t="s">
        <v>953</v>
      </c>
      <c r="B15" s="102"/>
      <c r="C15" s="102"/>
      <c r="D15" s="102"/>
      <c r="E15" s="102"/>
      <c r="F15" s="102"/>
      <c r="G15" s="102"/>
      <c r="H15" s="102"/>
      <c r="I15" s="102"/>
      <c r="J15" s="103"/>
    </row>
    <row r="16" spans="1:10" x14ac:dyDescent="0.2">
      <c r="A16" s="71" t="s">
        <v>932</v>
      </c>
      <c r="B16" s="72" t="s">
        <v>1</v>
      </c>
      <c r="C16" s="72" t="s">
        <v>933</v>
      </c>
      <c r="D16" s="72"/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3">
        <v>0</v>
      </c>
    </row>
    <row r="17" spans="1:10" x14ac:dyDescent="0.2">
      <c r="A17" s="74" t="s">
        <v>934</v>
      </c>
      <c r="B17" s="7" t="s">
        <v>954</v>
      </c>
      <c r="C17" s="7" t="s">
        <v>936</v>
      </c>
      <c r="D17" s="7"/>
      <c r="E17" s="90">
        <v>0</v>
      </c>
      <c r="F17" s="90">
        <v>0</v>
      </c>
      <c r="G17" s="90">
        <v>0</v>
      </c>
      <c r="H17" s="90">
        <v>0</v>
      </c>
      <c r="I17" s="90">
        <v>0</v>
      </c>
      <c r="J17" s="91">
        <v>0</v>
      </c>
    </row>
    <row r="18" spans="1:10" x14ac:dyDescent="0.2">
      <c r="A18" s="76" t="s">
        <v>934</v>
      </c>
      <c r="B18" s="59" t="s">
        <v>955</v>
      </c>
      <c r="C18" s="59" t="s">
        <v>936</v>
      </c>
      <c r="D18" s="59"/>
      <c r="E18" s="59">
        <v>0</v>
      </c>
      <c r="F18" s="59">
        <v>0</v>
      </c>
      <c r="G18" s="59">
        <v>0</v>
      </c>
      <c r="H18" s="59">
        <v>0</v>
      </c>
      <c r="I18" s="59">
        <v>0</v>
      </c>
      <c r="J18" s="77">
        <v>0</v>
      </c>
    </row>
    <row r="19" spans="1:10" x14ac:dyDescent="0.2">
      <c r="A19" s="82" t="s">
        <v>942</v>
      </c>
      <c r="B19" s="83" t="s">
        <v>954</v>
      </c>
      <c r="C19" s="84" t="s">
        <v>943</v>
      </c>
      <c r="D19" s="84" t="s">
        <v>937</v>
      </c>
      <c r="E19" s="84">
        <v>0</v>
      </c>
      <c r="F19" s="84">
        <v>0</v>
      </c>
      <c r="G19" s="84">
        <v>0</v>
      </c>
      <c r="H19" s="84">
        <v>0</v>
      </c>
      <c r="I19" s="84">
        <v>0</v>
      </c>
      <c r="J19" s="85">
        <v>0</v>
      </c>
    </row>
    <row r="20" spans="1:10" x14ac:dyDescent="0.2">
      <c r="A20" s="78" t="s">
        <v>942</v>
      </c>
      <c r="B20" s="80" t="s">
        <v>954</v>
      </c>
      <c r="C20" s="7" t="s">
        <v>943</v>
      </c>
      <c r="D20" s="7" t="s">
        <v>939</v>
      </c>
      <c r="E20" s="7">
        <f>'Energy input per carrier'!C191*1000</f>
        <v>1465.019742</v>
      </c>
      <c r="F20" s="7">
        <f>'Energy input per carrier'!D191*1000</f>
        <v>967.71764640000004</v>
      </c>
      <c r="G20" s="7">
        <f>'Energy input per carrier'!E191*1000</f>
        <v>869.80191849999994</v>
      </c>
      <c r="H20" s="7">
        <f>'Energy input per carrier'!F191*1000</f>
        <v>803.23730990000001</v>
      </c>
      <c r="I20" s="7">
        <f>'Energy input per carrier'!G191*1000</f>
        <v>788.76710159999993</v>
      </c>
      <c r="J20" s="75">
        <f>'Energy input per carrier'!H191*1000</f>
        <v>771.83780150000007</v>
      </c>
    </row>
    <row r="21" spans="1:10" x14ac:dyDescent="0.2">
      <c r="A21" s="78" t="s">
        <v>942</v>
      </c>
      <c r="B21" s="80" t="s">
        <v>954</v>
      </c>
      <c r="C21" s="7" t="s">
        <v>943</v>
      </c>
      <c r="D21" s="7" t="s">
        <v>941</v>
      </c>
      <c r="E21" s="7"/>
      <c r="F21" s="7"/>
      <c r="G21" s="7"/>
      <c r="H21" s="7"/>
      <c r="I21" s="7"/>
      <c r="J21" s="75"/>
    </row>
    <row r="22" spans="1:10" x14ac:dyDescent="0.2">
      <c r="A22" s="78" t="s">
        <v>942</v>
      </c>
      <c r="B22" s="80" t="s">
        <v>954</v>
      </c>
      <c r="C22" s="7" t="s">
        <v>943</v>
      </c>
      <c r="D22" s="7" t="s">
        <v>944</v>
      </c>
      <c r="E22" s="7">
        <f>'Energy input per carrier'!C10*1000</f>
        <v>252410.08214381139</v>
      </c>
      <c r="F22" s="7">
        <f>'Energy input per carrier'!D10*1000</f>
        <v>233942.87314031069</v>
      </c>
      <c r="G22" s="7">
        <f>'Energy input per carrier'!E10*1000</f>
        <v>224800.57489386128</v>
      </c>
      <c r="H22" s="7">
        <f>'Energy input per carrier'!F10*1000</f>
        <v>198902.226858982</v>
      </c>
      <c r="I22" s="7">
        <f>'Energy input per carrier'!G10*1000</f>
        <v>177597.10526287809</v>
      </c>
      <c r="J22" s="75">
        <f>'Energy input per carrier'!H10*1000</f>
        <v>156191.33758796091</v>
      </c>
    </row>
    <row r="23" spans="1:10" x14ac:dyDescent="0.2">
      <c r="A23" s="78" t="s">
        <v>942</v>
      </c>
      <c r="B23" s="80" t="s">
        <v>954</v>
      </c>
      <c r="C23" s="7" t="s">
        <v>943</v>
      </c>
      <c r="D23" s="7" t="s">
        <v>945</v>
      </c>
      <c r="E23" s="7">
        <f>('Energy input per carrier'!C127)*1000</f>
        <v>78180.582615091407</v>
      </c>
      <c r="F23" s="7">
        <f>('Energy input per carrier'!D127)*1000</f>
        <v>79385.044212189896</v>
      </c>
      <c r="G23" s="7">
        <f>('Energy input per carrier'!E127)*1000</f>
        <v>85360.59962575158</v>
      </c>
      <c r="H23" s="7">
        <f>('Energy input per carrier'!F127)*1000</f>
        <v>89907.802333657994</v>
      </c>
      <c r="I23" s="7">
        <f>('Energy input per carrier'!G127)*1000</f>
        <v>92458.327226137379</v>
      </c>
      <c r="J23" s="75">
        <f>('Energy input per carrier'!H127)*1000</f>
        <v>101444.5515758043</v>
      </c>
    </row>
    <row r="24" spans="1:10" x14ac:dyDescent="0.2">
      <c r="A24" s="78" t="s">
        <v>942</v>
      </c>
      <c r="B24" s="80" t="s">
        <v>954</v>
      </c>
      <c r="C24" s="7" t="s">
        <v>943</v>
      </c>
      <c r="D24" s="7" t="s">
        <v>946</v>
      </c>
      <c r="E24" s="7">
        <f>'Energy input per carrier'!C80*1000</f>
        <v>16000.000260000001</v>
      </c>
      <c r="F24" s="7">
        <f>'Energy input per carrier'!D80*1000</f>
        <v>11844.510700000001</v>
      </c>
      <c r="G24" s="7">
        <f>'Energy input per carrier'!E80*1000</f>
        <v>11305.710599999999</v>
      </c>
      <c r="H24" s="7">
        <f>'Energy input per carrier'!F80*1000</f>
        <v>11306.959920000001</v>
      </c>
      <c r="I24" s="7">
        <f>'Energy input per carrier'!G80*1000</f>
        <v>11311.851929999999</v>
      </c>
      <c r="J24" s="75">
        <f>'Energy input per carrier'!H80*1000</f>
        <v>11304.31063</v>
      </c>
    </row>
    <row r="25" spans="1:10" x14ac:dyDescent="0.2">
      <c r="A25" s="78" t="s">
        <v>942</v>
      </c>
      <c r="B25" s="80" t="s">
        <v>954</v>
      </c>
      <c r="C25" s="7" t="s">
        <v>943</v>
      </c>
      <c r="D25" s="7" t="s">
        <v>947</v>
      </c>
      <c r="E25" s="7">
        <f>'Energy input per carrier'!C58*1000</f>
        <v>0</v>
      </c>
      <c r="F25" s="7">
        <f>'Energy input per carrier'!D58*1000</f>
        <v>0.19531542339999999</v>
      </c>
      <c r="G25" s="7">
        <f>'Energy input per carrier'!E58*1000</f>
        <v>7.0579573000000007E-2</v>
      </c>
      <c r="H25" s="7">
        <f>'Energy input per carrier'!F58*1000</f>
        <v>0.36566068909999999</v>
      </c>
      <c r="I25" s="7">
        <f>'Energy input per carrier'!G58*1000</f>
        <v>2411.6024640000001</v>
      </c>
      <c r="J25" s="75">
        <f>'Energy input per carrier'!H58*1000</f>
        <v>1776.896029</v>
      </c>
    </row>
    <row r="26" spans="1:10" x14ac:dyDescent="0.2">
      <c r="A26" s="78" t="s">
        <v>942</v>
      </c>
      <c r="B26" s="80" t="s">
        <v>954</v>
      </c>
      <c r="C26" s="7" t="s">
        <v>943</v>
      </c>
      <c r="D26" s="7" t="s">
        <v>948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5">
        <v>0</v>
      </c>
    </row>
    <row r="27" spans="1:10" x14ac:dyDescent="0.2">
      <c r="A27" s="78" t="s">
        <v>942</v>
      </c>
      <c r="B27" s="80" t="s">
        <v>954</v>
      </c>
      <c r="C27" s="7" t="s">
        <v>943</v>
      </c>
      <c r="D27" s="7" t="s">
        <v>949</v>
      </c>
      <c r="E27" s="7">
        <f>'Energy input per carrier'!C276*1000</f>
        <v>1.4134539309999999E-2</v>
      </c>
      <c r="F27" s="7">
        <f>'Energy input per carrier'!D276*1000</f>
        <v>9.2463734549801995</v>
      </c>
      <c r="G27" s="7">
        <f>'Energy input per carrier'!E276*1000</f>
        <v>3.1531098726226001</v>
      </c>
      <c r="H27" s="7">
        <f>'Energy input per carrier'!F276*1000</f>
        <v>4.1052400060000007</v>
      </c>
      <c r="I27" s="7">
        <f>'Energy input per carrier'!G276*1000</f>
        <v>4.537924795096</v>
      </c>
      <c r="J27" s="7">
        <f>'Energy input per carrier'!H276*1000</f>
        <v>3.4472716760670998</v>
      </c>
    </row>
    <row r="28" spans="1:10" x14ac:dyDescent="0.2">
      <c r="A28" s="78" t="s">
        <v>942</v>
      </c>
      <c r="B28" s="80" t="s">
        <v>954</v>
      </c>
      <c r="C28" s="7" t="s">
        <v>943</v>
      </c>
      <c r="D28" s="7" t="s">
        <v>950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5">
        <v>0</v>
      </c>
    </row>
    <row r="29" spans="1:10" x14ac:dyDescent="0.2">
      <c r="A29" s="79" t="s">
        <v>942</v>
      </c>
      <c r="B29" s="81" t="s">
        <v>954</v>
      </c>
      <c r="C29" s="59" t="s">
        <v>943</v>
      </c>
      <c r="D29" s="59" t="s">
        <v>951</v>
      </c>
      <c r="E29" s="59"/>
      <c r="F29" s="59"/>
      <c r="G29" s="59">
        <v>0</v>
      </c>
      <c r="H29" s="59">
        <v>0</v>
      </c>
      <c r="I29" s="59">
        <v>0</v>
      </c>
      <c r="J29" s="77">
        <v>0</v>
      </c>
    </row>
    <row r="34" spans="1:35" x14ac:dyDescent="0.2">
      <c r="A34" s="2" t="s">
        <v>932</v>
      </c>
      <c r="B34" s="2" t="s">
        <v>1</v>
      </c>
      <c r="C34" s="2" t="s">
        <v>933</v>
      </c>
      <c r="D34" s="2"/>
      <c r="E34" s="3">
        <v>2025</v>
      </c>
      <c r="F34" s="3">
        <v>2030</v>
      </c>
      <c r="G34" s="3">
        <v>2035</v>
      </c>
      <c r="H34" s="3">
        <v>2040</v>
      </c>
      <c r="I34" s="3">
        <v>2045</v>
      </c>
      <c r="J34" s="3">
        <v>2050</v>
      </c>
    </row>
    <row r="35" spans="1:35" x14ac:dyDescent="0.2">
      <c r="A35" s="52" t="s">
        <v>942</v>
      </c>
      <c r="B35" s="50" t="s">
        <v>935</v>
      </c>
      <c r="C35" s="5" t="s">
        <v>943</v>
      </c>
      <c r="D35" s="6" t="s">
        <v>937</v>
      </c>
      <c r="E35" s="7">
        <f>'Energy input per carrier'!C176*1000</f>
        <v>119126.3852571578</v>
      </c>
      <c r="F35" s="7">
        <f>('Energy input per carrier'!F176)*1000</f>
        <v>40373.86868</v>
      </c>
      <c r="G35" s="7">
        <f>('Energy input per carrier'!G176)*1000</f>
        <v>47488.936019999994</v>
      </c>
      <c r="H35" s="7">
        <f>('Energy input per carrier'!H176)*1000</f>
        <v>52287.471550000002</v>
      </c>
      <c r="I35" s="7">
        <f>('Energy input per carrier'!I176)*1000</f>
        <v>0</v>
      </c>
      <c r="J35" s="7">
        <f>('Energy input per carrier'!J176)*1000</f>
        <v>0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</row>
    <row r="36" spans="1:35" x14ac:dyDescent="0.2">
      <c r="A36" s="53" t="s">
        <v>942</v>
      </c>
      <c r="B36" s="50" t="s">
        <v>935</v>
      </c>
      <c r="C36" s="8" t="s">
        <v>943</v>
      </c>
      <c r="D36" s="9" t="s">
        <v>939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">
      <c r="A37" s="53" t="s">
        <v>942</v>
      </c>
      <c r="B37" s="50" t="s">
        <v>935</v>
      </c>
      <c r="C37" s="8" t="s">
        <v>943</v>
      </c>
      <c r="D37" s="9" t="s">
        <v>941</v>
      </c>
      <c r="E37" s="7">
        <f>'Energy input per carrier'!C108*1000</f>
        <v>201.59999249999998</v>
      </c>
      <c r="F37" s="7">
        <f>'Energy input per carrier'!D108*1000</f>
        <v>111.46693400000001</v>
      </c>
      <c r="G37" s="7">
        <f>'Energy input per carrier'!E108*1000</f>
        <v>75.880046610000008</v>
      </c>
      <c r="H37" s="7">
        <f>'Energy input per carrier'!F108*1000</f>
        <v>68.320003409999998</v>
      </c>
      <c r="I37" s="7">
        <f>'Energy input per carrier'!G108*1000</f>
        <v>80.36000464</v>
      </c>
      <c r="J37" s="7">
        <f>'Energy input per carrier'!H108*1000</f>
        <v>88.480086710000009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">
      <c r="A38" s="53" t="s">
        <v>942</v>
      </c>
      <c r="B38" s="50" t="s">
        <v>935</v>
      </c>
      <c r="C38" s="8" t="s">
        <v>943</v>
      </c>
      <c r="D38" s="9" t="s">
        <v>944</v>
      </c>
      <c r="E38" s="7">
        <f>'Energy input per carrier'!C3*1000</f>
        <v>0.35888612701729999</v>
      </c>
      <c r="F38" s="7">
        <f>'Energy input per carrier'!D3*1000</f>
        <v>21091.734133367201</v>
      </c>
      <c r="G38" s="7">
        <f>'Energy input per carrier'!E3*1000</f>
        <v>32333.77529613076</v>
      </c>
      <c r="H38" s="7">
        <f>'Energy input per carrier'!F3*1000</f>
        <v>32095.019726095034</v>
      </c>
      <c r="I38" s="7">
        <f>'Energy input per carrier'!G3*1000</f>
        <v>25791.17282439299</v>
      </c>
      <c r="J38" s="7">
        <f>'Energy input per carrier'!H3*1000</f>
        <v>23144.777793594367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 spans="1:35" x14ac:dyDescent="0.2">
      <c r="A39" s="53" t="s">
        <v>942</v>
      </c>
      <c r="B39" s="50" t="s">
        <v>935</v>
      </c>
      <c r="C39" s="8" t="s">
        <v>943</v>
      </c>
      <c r="D39" s="9" t="s">
        <v>945</v>
      </c>
      <c r="E39" s="7">
        <f>'Energy input per carrier'!C118*1000</f>
        <v>10230.569491999651</v>
      </c>
      <c r="F39" s="7">
        <f>'Energy input per carrier'!D118*1000</f>
        <v>10235.432425811849</v>
      </c>
      <c r="G39" s="7">
        <f>'Energy input per carrier'!E118*1000</f>
        <v>11607.619344293929</v>
      </c>
      <c r="H39" s="7">
        <f>'Energy input per carrier'!F118*1000</f>
        <v>11302.932765363152</v>
      </c>
      <c r="I39" s="7">
        <f>'Energy input per carrier'!G118*1000</f>
        <v>10232.74241036694</v>
      </c>
      <c r="J39" s="7">
        <f>'Energy input per carrier'!H118*1000</f>
        <v>11541.047747164879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 spans="1:35" x14ac:dyDescent="0.2">
      <c r="A40" s="53" t="s">
        <v>942</v>
      </c>
      <c r="B40" s="50" t="s">
        <v>935</v>
      </c>
      <c r="C40" s="8" t="s">
        <v>943</v>
      </c>
      <c r="D40" s="9" t="s">
        <v>946</v>
      </c>
      <c r="E40" s="7">
        <f>'Energy input per carrier'!C72*1000</f>
        <v>6083.7090117245834</v>
      </c>
      <c r="F40" s="7">
        <f>'Energy input per carrier'!D72*1000</f>
        <v>5835.3845838038978</v>
      </c>
      <c r="G40" s="7">
        <f>'Energy input per carrier'!E72*1000</f>
        <v>5612.8279592607996</v>
      </c>
      <c r="H40" s="7">
        <f>'Energy input per carrier'!F72*1000</f>
        <v>5711.8852406325868</v>
      </c>
      <c r="I40" s="7">
        <f>'Energy input per carrier'!G72*1000</f>
        <v>5122.178464674681</v>
      </c>
      <c r="J40" s="7">
        <f>'Energy input per carrier'!H72*1000</f>
        <v>0.55305883404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 spans="1:35" x14ac:dyDescent="0.2">
      <c r="A41" s="53" t="s">
        <v>942</v>
      </c>
      <c r="B41" s="50" t="s">
        <v>935</v>
      </c>
      <c r="C41" s="8" t="s">
        <v>943</v>
      </c>
      <c r="D41" s="9" t="s">
        <v>947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">
      <c r="A42" s="53" t="s">
        <v>942</v>
      </c>
      <c r="B42" s="50" t="s">
        <v>935</v>
      </c>
      <c r="C42" s="8" t="s">
        <v>943</v>
      </c>
      <c r="D42" s="9" t="s">
        <v>948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 spans="1:35" x14ac:dyDescent="0.2">
      <c r="A43" s="53" t="s">
        <v>942</v>
      </c>
      <c r="B43" s="50" t="s">
        <v>935</v>
      </c>
      <c r="C43" s="8" t="s">
        <v>943</v>
      </c>
      <c r="D43" s="9" t="s">
        <v>949</v>
      </c>
      <c r="E43" s="7">
        <f>'Energy input per carrier'!C267*1000</f>
        <v>5.2049362360000011E-3</v>
      </c>
      <c r="F43" s="7">
        <f>'Energy input per carrier'!D267*1000</f>
        <v>4.6505882650000004E-2</v>
      </c>
      <c r="G43" s="7">
        <f>'Energy input per carrier'!E267*1000</f>
        <v>3.7830235240000003E-2</v>
      </c>
      <c r="H43" s="7">
        <f>'Energy input per carrier'!F267*1000</f>
        <v>4.5929607760000004E-4</v>
      </c>
      <c r="I43" s="7">
        <f>'Energy input per carrier'!G267*1000</f>
        <v>1.4923997731E-2</v>
      </c>
      <c r="J43" s="7">
        <f>'Energy input per carrier'!H267*1000</f>
        <v>5.996430341999999E-2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 spans="1:35" x14ac:dyDescent="0.2">
      <c r="A44" s="53" t="s">
        <v>942</v>
      </c>
      <c r="B44" s="50" t="s">
        <v>935</v>
      </c>
      <c r="C44" s="8" t="s">
        <v>943</v>
      </c>
      <c r="D44" s="9" t="s">
        <v>950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 spans="1:35" x14ac:dyDescent="0.2">
      <c r="A45" s="54" t="s">
        <v>942</v>
      </c>
      <c r="B45" s="51" t="s">
        <v>935</v>
      </c>
      <c r="C45" s="11" t="s">
        <v>943</v>
      </c>
      <c r="D45" s="9" t="s">
        <v>951</v>
      </c>
      <c r="E45" s="59"/>
      <c r="F45" s="59"/>
      <c r="G45" s="59">
        <v>0</v>
      </c>
      <c r="H45" s="59">
        <v>0</v>
      </c>
      <c r="I45" s="59">
        <v>0</v>
      </c>
      <c r="J45" s="59">
        <v>0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">
      <c r="A46" s="52" t="s">
        <v>942</v>
      </c>
      <c r="B46" s="50" t="s">
        <v>952</v>
      </c>
      <c r="C46" s="5" t="s">
        <v>943</v>
      </c>
      <c r="D46" s="6" t="s">
        <v>937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 spans="1:35" x14ac:dyDescent="0.2">
      <c r="A47" s="53" t="s">
        <v>942</v>
      </c>
      <c r="B47" s="50" t="s">
        <v>952</v>
      </c>
      <c r="C47" s="8" t="s">
        <v>943</v>
      </c>
      <c r="D47" s="9" t="s">
        <v>939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 spans="1:35" x14ac:dyDescent="0.2">
      <c r="A48" s="53" t="s">
        <v>942</v>
      </c>
      <c r="B48" s="50" t="s">
        <v>952</v>
      </c>
      <c r="C48" s="8" t="s">
        <v>943</v>
      </c>
      <c r="D48" s="9" t="s">
        <v>941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 spans="1:35" x14ac:dyDescent="0.2">
      <c r="A49" s="53" t="s">
        <v>942</v>
      </c>
      <c r="B49" s="50" t="s">
        <v>952</v>
      </c>
      <c r="C49" s="8" t="s">
        <v>943</v>
      </c>
      <c r="D49" s="9" t="s">
        <v>944</v>
      </c>
      <c r="E49" s="7">
        <f>'Energy input per carrier'!C2*1000</f>
        <v>572.06719177749994</v>
      </c>
      <c r="F49" s="7">
        <f>'Energy input per carrier'!D2*1000</f>
        <v>705.91184699999997</v>
      </c>
      <c r="G49" s="7">
        <f>'Energy input per carrier'!E2*1000</f>
        <v>629.87195539999993</v>
      </c>
      <c r="H49" s="7">
        <f>'Energy input per carrier'!F2*1000</f>
        <v>702.69746810000004</v>
      </c>
      <c r="I49" s="7">
        <f>'Energy input per carrier'!G2*1000</f>
        <v>315.82183428000002</v>
      </c>
      <c r="J49" s="7">
        <f>'Energy input per carrier'!H2*1000</f>
        <v>337.39368486000001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">
      <c r="A50" s="53" t="s">
        <v>942</v>
      </c>
      <c r="B50" s="50" t="s">
        <v>952</v>
      </c>
      <c r="C50" s="8" t="s">
        <v>943</v>
      </c>
      <c r="D50" s="9" t="s">
        <v>945</v>
      </c>
      <c r="E50" s="7">
        <f>'Energy input per carrier'!C117*1000</f>
        <v>1748.0708719366751</v>
      </c>
      <c r="F50" s="7">
        <f>'Energy input per carrier'!D117*1000</f>
        <v>367.61803006254002</v>
      </c>
      <c r="G50" s="7">
        <f>'Energy input per carrier'!E117*1000</f>
        <v>397.57624711804004</v>
      </c>
      <c r="H50" s="7">
        <f>'Energy input per carrier'!F117*1000</f>
        <v>365.7496027010551</v>
      </c>
      <c r="I50" s="7">
        <f>'Energy input per carrier'!G117*1000</f>
        <v>734.74841635999996</v>
      </c>
      <c r="J50" s="7">
        <f>'Energy input per carrier'!H117*1000</f>
        <v>713.57034839000005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">
      <c r="A51" s="53" t="s">
        <v>942</v>
      </c>
      <c r="B51" s="50" t="s">
        <v>952</v>
      </c>
      <c r="C51" s="8" t="s">
        <v>943</v>
      </c>
      <c r="D51" s="9" t="s">
        <v>946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 spans="1:35" x14ac:dyDescent="0.2">
      <c r="A52" s="53" t="s">
        <v>942</v>
      </c>
      <c r="B52" s="50" t="s">
        <v>952</v>
      </c>
      <c r="C52" s="8" t="s">
        <v>943</v>
      </c>
      <c r="D52" s="9" t="s">
        <v>947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 spans="1:35" x14ac:dyDescent="0.2">
      <c r="A53" s="53" t="s">
        <v>942</v>
      </c>
      <c r="B53" s="50" t="s">
        <v>952</v>
      </c>
      <c r="C53" s="8" t="s">
        <v>943</v>
      </c>
      <c r="D53" s="9" t="s">
        <v>948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 spans="1:35" x14ac:dyDescent="0.2">
      <c r="A54" s="53" t="s">
        <v>942</v>
      </c>
      <c r="B54" s="50" t="s">
        <v>952</v>
      </c>
      <c r="C54" s="8" t="s">
        <v>943</v>
      </c>
      <c r="D54" s="9" t="s">
        <v>949</v>
      </c>
      <c r="E54" s="7">
        <f>'Energy input per carrier'!C266*1000</f>
        <v>35.749569283248</v>
      </c>
      <c r="F54" s="7">
        <f>'Energy input per carrier'!D266*1000</f>
        <v>6.5539988179999994E-2</v>
      </c>
      <c r="G54" s="7">
        <f>'Energy input per carrier'!E266*1000</f>
        <v>4.0670679299999998E-2</v>
      </c>
      <c r="H54" s="7">
        <f>'Energy input per carrier'!F266*1000</f>
        <v>4.8040088760000003E-4</v>
      </c>
      <c r="I54" s="7">
        <f>'Energy input per carrier'!G266*1000</f>
        <v>1.7121770625000001E-2</v>
      </c>
      <c r="J54" s="7">
        <f>'Energy input per carrier'!H266*1000</f>
        <v>5.2545596290000003E-2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">
      <c r="A55" s="53" t="s">
        <v>942</v>
      </c>
      <c r="B55" s="50" t="s">
        <v>952</v>
      </c>
      <c r="C55" s="8" t="s">
        <v>943</v>
      </c>
      <c r="D55" s="9" t="s">
        <v>950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">
      <c r="A56" s="54" t="s">
        <v>942</v>
      </c>
      <c r="B56" s="51" t="s">
        <v>952</v>
      </c>
      <c r="C56" s="11" t="s">
        <v>943</v>
      </c>
      <c r="D56" s="12" t="s">
        <v>951</v>
      </c>
      <c r="E56" s="59"/>
      <c r="F56" s="59"/>
      <c r="G56" s="59">
        <v>0</v>
      </c>
      <c r="H56" s="59">
        <v>0</v>
      </c>
      <c r="I56" s="59">
        <v>0</v>
      </c>
      <c r="J56" s="59">
        <v>0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 spans="1:35" x14ac:dyDescent="0.2">
      <c r="A57" s="52" t="s">
        <v>942</v>
      </c>
      <c r="B57" s="50" t="s">
        <v>957</v>
      </c>
      <c r="C57" s="5" t="s">
        <v>943</v>
      </c>
      <c r="D57" s="6" t="s">
        <v>937</v>
      </c>
      <c r="E57" s="7">
        <f>'Energy input per carrier'!C177*1000</f>
        <v>0</v>
      </c>
      <c r="F57" s="7">
        <f>'Energy input per carrier'!D177*1000</f>
        <v>1.3386558400000001E-3</v>
      </c>
      <c r="G57" s="7">
        <f>'Energy input per carrier'!E177*1000</f>
        <v>7.874830057E-4</v>
      </c>
      <c r="H57" s="7">
        <f>'Energy input per carrier'!F177*1000</f>
        <v>0</v>
      </c>
      <c r="I57" s="7">
        <f>'Energy input per carrier'!G177*1000</f>
        <v>2.2412586250000001E-4</v>
      </c>
      <c r="J57" s="7">
        <f>'Energy input per carrier'!H177*1000</f>
        <v>6.8020057110000003E-4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 spans="1:35" x14ac:dyDescent="0.2">
      <c r="A58" s="53" t="s">
        <v>942</v>
      </c>
      <c r="B58" s="50" t="s">
        <v>957</v>
      </c>
      <c r="C58" s="8" t="s">
        <v>943</v>
      </c>
      <c r="D58" s="9" t="s">
        <v>939</v>
      </c>
      <c r="E58" s="7">
        <f>('Energy input per carrier'!C190)*1000</f>
        <v>15428.938678</v>
      </c>
      <c r="F58" s="7">
        <f>('Energy input per carrier'!D190)*1000</f>
        <v>0</v>
      </c>
      <c r="G58" s="7">
        <f>('Energy input per carrier'!E190)*1000</f>
        <v>0</v>
      </c>
      <c r="H58" s="7">
        <f>('Energy input per carrier'!F190)*1000</f>
        <v>0</v>
      </c>
      <c r="I58" s="7">
        <f>('Energy input per carrier'!G190)*1000</f>
        <v>0</v>
      </c>
      <c r="J58" s="7">
        <f>('Energy input per carrier'!H190)*1000</f>
        <v>0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 spans="1:35" x14ac:dyDescent="0.2">
      <c r="A59" s="53" t="s">
        <v>942</v>
      </c>
      <c r="B59" s="50" t="s">
        <v>957</v>
      </c>
      <c r="C59" s="8" t="s">
        <v>943</v>
      </c>
      <c r="D59" s="9" t="s">
        <v>941</v>
      </c>
      <c r="E59" s="7">
        <f>('Energy input per carrier'!C28+'Energy input per carrier'!C187+'Energy input per carrier'!C189+'Energy input per carrier'!C218+'Energy input per carrier'!C217+'Energy input per carrier'!C212+'Energy input per carrier'!C27+'Energy input per carrier'!C182)*1000</f>
        <v>642589.95289027703</v>
      </c>
      <c r="F59" s="7">
        <f>('Energy input per carrier'!D28+'Energy input per carrier'!D187+'Energy input per carrier'!D189+'Energy input per carrier'!D218+'Energy input per carrier'!D217+'Energy input per carrier'!D212+'Energy input per carrier'!D27+'Energy input per carrier'!D182)*1000</f>
        <v>662530.46627964929</v>
      </c>
      <c r="G59" s="7">
        <f>('Energy input per carrier'!E28+'Energy input per carrier'!E187+'Energy input per carrier'!E189+'Energy input per carrier'!E218+'Energy input per carrier'!E217+'Energy input per carrier'!E212+'Energy input per carrier'!E27+'Energy input per carrier'!E182)*1000</f>
        <v>654034.5063670543</v>
      </c>
      <c r="H59" s="7">
        <f>('Energy input per carrier'!F28+'Energy input per carrier'!F187+'Energy input per carrier'!F189+'Energy input per carrier'!F218+'Energy input per carrier'!F217+'Energy input per carrier'!F212+'Energy input per carrier'!F27+'Energy input per carrier'!F182)*1000</f>
        <v>649224.10409571114</v>
      </c>
      <c r="I59" s="7">
        <f>('Energy input per carrier'!G28+'Energy input per carrier'!G187+'Energy input per carrier'!G189+'Energy input per carrier'!G218+'Energy input per carrier'!G217+'Energy input per carrier'!G212+'Energy input per carrier'!G27+'Energy input per carrier'!G182)*1000</f>
        <v>584465.29482494807</v>
      </c>
      <c r="J59" s="7">
        <f>('Energy input per carrier'!H28+'Energy input per carrier'!H187+'Energy input per carrier'!H189+'Energy input per carrier'!H218+'Energy input per carrier'!H217+'Energy input per carrier'!H212+'Energy input per carrier'!H27+'Energy input per carrier'!H182)*1000</f>
        <v>527174.19913969096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">
      <c r="A60" s="53" t="s">
        <v>942</v>
      </c>
      <c r="B60" s="50" t="s">
        <v>957</v>
      </c>
      <c r="C60" s="8" t="s">
        <v>943</v>
      </c>
      <c r="D60" s="9" t="s">
        <v>944</v>
      </c>
      <c r="E60" s="7">
        <f>('Energy input per carrier'!C4+'Energy input per carrier'!C12+'Energy input per carrier'!C18)*1000</f>
        <v>184507.83474869654</v>
      </c>
      <c r="F60" s="7">
        <f>('Energy input per carrier'!D4+'Energy input per carrier'!D12+'Energy input per carrier'!D18)*1000</f>
        <v>153632.74594340738</v>
      </c>
      <c r="G60" s="7">
        <f>('Energy input per carrier'!E4+'Energy input per carrier'!E12+'Energy input per carrier'!E18)*1000</f>
        <v>134208.88768889802</v>
      </c>
      <c r="H60" s="7">
        <f>('Energy input per carrier'!F4+'Energy input per carrier'!F12+'Energy input per carrier'!F18)*1000</f>
        <v>114965.98366269324</v>
      </c>
      <c r="I60" s="7">
        <f>('Energy input per carrier'!G4+'Energy input per carrier'!G12+'Energy input per carrier'!G18)*1000</f>
        <v>92841.59733221418</v>
      </c>
      <c r="J60" s="7">
        <f>('Energy input per carrier'!H4+'Energy input per carrier'!H12+'Energy input per carrier'!H18)*1000</f>
        <v>77312.942925995492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 spans="1:35" x14ac:dyDescent="0.2">
      <c r="A61" s="53" t="s">
        <v>942</v>
      </c>
      <c r="B61" s="50" t="s">
        <v>957</v>
      </c>
      <c r="C61" s="8" t="s">
        <v>943</v>
      </c>
      <c r="D61" s="9" t="s">
        <v>945</v>
      </c>
      <c r="E61" s="7">
        <f>('Energy input per carrier'!C120+'Energy input per carrier'!C129+'Energy input per carrier'!C200+'Energy input per carrier'!C195)*1000</f>
        <v>64468.816732156229</v>
      </c>
      <c r="F61" s="7">
        <f>('Energy input per carrier'!D120+'Energy input per carrier'!D129+'Energy input per carrier'!D200+'Energy input per carrier'!D195)*1000</f>
        <v>63498.694686677714</v>
      </c>
      <c r="G61" s="7">
        <f>('Energy input per carrier'!E120+'Energy input per carrier'!E129+'Energy input per carrier'!E200+'Energy input per carrier'!E195)*1000</f>
        <v>63837.643610200372</v>
      </c>
      <c r="H61" s="7">
        <f>('Energy input per carrier'!F120+'Energy input per carrier'!F129+'Energy input per carrier'!F200+'Energy input per carrier'!F195)*1000</f>
        <v>53703.481988130145</v>
      </c>
      <c r="I61" s="7">
        <f>('Energy input per carrier'!G120+'Energy input per carrier'!G129+'Energy input per carrier'!G200+'Energy input per carrier'!G195)*1000</f>
        <v>57691.8324066735</v>
      </c>
      <c r="J61" s="7">
        <f>('Energy input per carrier'!H120+'Energy input per carrier'!H129+'Energy input per carrier'!H200+'Energy input per carrier'!H195)*1000</f>
        <v>101983.95808335823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 spans="1:35" x14ac:dyDescent="0.2">
      <c r="A62" s="53" t="s">
        <v>942</v>
      </c>
      <c r="B62" s="50" t="s">
        <v>957</v>
      </c>
      <c r="C62" s="8" t="s">
        <v>943</v>
      </c>
      <c r="D62" s="9" t="s">
        <v>946</v>
      </c>
      <c r="E62" s="7">
        <f>('Energy input per carrier'!C74+'Energy input per carrier'!C82)*1000</f>
        <v>11569.567275772042</v>
      </c>
      <c r="F62" s="7">
        <f>('Energy input per carrier'!D74+'Energy input per carrier'!D82)*1000</f>
        <v>8455.5913167645886</v>
      </c>
      <c r="G62" s="7">
        <f>('Energy input per carrier'!E74+'Energy input per carrier'!E82)*1000</f>
        <v>6930.0184407527695</v>
      </c>
      <c r="H62" s="7">
        <f>('Energy input per carrier'!F74+'Energy input per carrier'!F82)*1000</f>
        <v>7612.6733689357443</v>
      </c>
      <c r="I62" s="7">
        <f>('Energy input per carrier'!G74+'Energy input per carrier'!G82)*1000</f>
        <v>5327.4290793026103</v>
      </c>
      <c r="J62" s="7">
        <f>('Energy input per carrier'!H74+'Energy input per carrier'!H82)*1000</f>
        <v>1123.913530091568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 spans="1:35" x14ac:dyDescent="0.2">
      <c r="A63" s="53" t="s">
        <v>942</v>
      </c>
      <c r="B63" s="50" t="s">
        <v>957</v>
      </c>
      <c r="C63" s="8" t="s">
        <v>943</v>
      </c>
      <c r="D63" s="9" t="s">
        <v>947</v>
      </c>
      <c r="E63" s="7">
        <f>('Energy input per carrier'!C37+'Energy input per carrier'!C39+'Energy input per carrier'!C43+'Energy input per carrier'!C89+'Energy input per carrier'!C207)*1000</f>
        <v>3558.8138322382156</v>
      </c>
      <c r="F63" s="7">
        <f>('Energy input per carrier'!D37+'Energy input per carrier'!D39+'Energy input per carrier'!D43+'Energy input per carrier'!D89+'Energy input per carrier'!D207)*1000</f>
        <v>1231.3025289256607</v>
      </c>
      <c r="G63" s="7">
        <f>('Energy input per carrier'!E37+'Energy input per carrier'!E39+'Energy input per carrier'!E43+'Energy input per carrier'!E89+'Energy input per carrier'!E207)*1000</f>
        <v>993.54473973530003</v>
      </c>
      <c r="H63" s="7">
        <f>('Energy input per carrier'!F37+'Energy input per carrier'!F39+'Energy input per carrier'!F43+'Energy input per carrier'!F89+'Energy input per carrier'!F207)*1000</f>
        <v>9559.0283621785329</v>
      </c>
      <c r="I63" s="7">
        <f>('Energy input per carrier'!G37+'Energy input per carrier'!G39+'Energy input per carrier'!G43+'Energy input per carrier'!G89+'Energy input per carrier'!G207)*1000</f>
        <v>8355.8577143698622</v>
      </c>
      <c r="J63" s="7">
        <f>('Energy input per carrier'!H37+'Energy input per carrier'!H39+'Energy input per carrier'!H43+'Energy input per carrier'!H89+'Energy input per carrier'!H207)*1000</f>
        <v>7897.8244499103002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">
      <c r="A64" s="53" t="s">
        <v>942</v>
      </c>
      <c r="B64" s="50" t="s">
        <v>957</v>
      </c>
      <c r="C64" s="8" t="s">
        <v>943</v>
      </c>
      <c r="D64" s="9" t="s">
        <v>948</v>
      </c>
      <c r="E64" s="7">
        <f>('Energy input per carrier'!C229+'Energy input per carrier'!C240+'Energy input per carrier'!C242+'Energy input per carrier'!C244)*1000</f>
        <v>10136.5136435597</v>
      </c>
      <c r="F64" s="7">
        <f>('Energy input per carrier'!D229+'Energy input per carrier'!D240+'Energy input per carrier'!D242+'Energy input per carrier'!D244)*1000</f>
        <v>483.48584524854851</v>
      </c>
      <c r="G64" s="7">
        <f>('Energy input per carrier'!E229+'Energy input per carrier'!E240+'Energy input per carrier'!E242+'Energy input per carrier'!E244)*1000</f>
        <v>310.852948943819</v>
      </c>
      <c r="H64" s="7">
        <f>('Energy input per carrier'!F229+'Energy input per carrier'!F240+'Energy input per carrier'!F242+'Energy input per carrier'!F244)*1000</f>
        <v>310.6500035569581</v>
      </c>
      <c r="I64" s="7">
        <f>('Energy input per carrier'!G229+'Energy input per carrier'!G240+'Energy input per carrier'!G242+'Energy input per carrier'!G244)*1000</f>
        <v>1830.7412598995097</v>
      </c>
      <c r="J64" s="7">
        <f>('Energy input per carrier'!H229+'Energy input per carrier'!H240+'Energy input per carrier'!H242+'Energy input per carrier'!H244)*1000</f>
        <v>5446.4290506293401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 spans="1:35" ht="16" customHeight="1" x14ac:dyDescent="0.2">
      <c r="A65" s="53" t="s">
        <v>942</v>
      </c>
      <c r="B65" s="50" t="s">
        <v>957</v>
      </c>
      <c r="C65" s="8" t="s">
        <v>943</v>
      </c>
      <c r="D65" s="9" t="s">
        <v>949</v>
      </c>
      <c r="E65">
        <f>('Energy input per carrier'!C269+'Energy input per carrier'!C278)*1000</f>
        <v>5.0881695322000001E-2</v>
      </c>
      <c r="F65">
        <f>('Energy input per carrier'!D269+'Energy input per carrier'!D278)*1000</f>
        <v>9140.9489895713414</v>
      </c>
      <c r="G65">
        <f>('Energy input per carrier'!E269+'Energy input per carrier'!E278)*1000</f>
        <v>10632.39165237459</v>
      </c>
      <c r="H65">
        <f>('Energy input per carrier'!F269+'Energy input per carrier'!F278)*1000</f>
        <v>12833.516292808861</v>
      </c>
      <c r="I65">
        <f>('Energy input per carrier'!G269+'Energy input per carrier'!G278)*1000</f>
        <v>10441.777142067249</v>
      </c>
      <c r="J65">
        <f>('Energy input per carrier'!H269+'Energy input per carrier'!H278)*1000</f>
        <v>8711.3536832930895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ht="16" customHeight="1" x14ac:dyDescent="0.2">
      <c r="A66" s="53" t="s">
        <v>942</v>
      </c>
      <c r="B66" s="50" t="s">
        <v>957</v>
      </c>
      <c r="C66" s="8" t="s">
        <v>943</v>
      </c>
      <c r="D66" s="9" t="s">
        <v>950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 spans="1:35" x14ac:dyDescent="0.2">
      <c r="A67" s="54" t="s">
        <v>942</v>
      </c>
      <c r="B67" s="51" t="s">
        <v>957</v>
      </c>
      <c r="C67" s="11" t="s">
        <v>943</v>
      </c>
      <c r="D67" s="9" t="s">
        <v>951</v>
      </c>
      <c r="E67" s="59">
        <v>0</v>
      </c>
      <c r="F67" s="59"/>
      <c r="G67" s="59">
        <v>0</v>
      </c>
      <c r="H67" s="59">
        <v>0</v>
      </c>
      <c r="I67" s="59">
        <v>0</v>
      </c>
      <c r="J67" s="59">
        <v>0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">
      <c r="A68" s="52" t="s">
        <v>942</v>
      </c>
      <c r="B68" s="50" t="s">
        <v>958</v>
      </c>
      <c r="C68" s="5" t="s">
        <v>943</v>
      </c>
      <c r="D68" s="6" t="s">
        <v>937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/>
      <c r="L68" s="7"/>
      <c r="M68" s="7"/>
      <c r="N68" s="7"/>
      <c r="O68" s="7"/>
      <c r="P68" s="7"/>
    </row>
    <row r="69" spans="1:35" x14ac:dyDescent="0.2">
      <c r="A69" s="53" t="s">
        <v>942</v>
      </c>
      <c r="B69" s="50" t="s">
        <v>958</v>
      </c>
      <c r="C69" s="8" t="s">
        <v>943</v>
      </c>
      <c r="D69" s="9" t="s">
        <v>939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/>
      <c r="L69" s="7"/>
      <c r="M69" s="7"/>
      <c r="N69" s="7"/>
      <c r="O69" s="7"/>
      <c r="P69" s="7"/>
    </row>
    <row r="70" spans="1:35" x14ac:dyDescent="0.2">
      <c r="A70" s="53" t="s">
        <v>942</v>
      </c>
      <c r="B70" s="50" t="s">
        <v>958</v>
      </c>
      <c r="C70" s="8" t="s">
        <v>943</v>
      </c>
      <c r="D70" s="9" t="s">
        <v>941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/>
      <c r="L70" s="7"/>
      <c r="M70" s="7"/>
      <c r="N70" s="7"/>
      <c r="O70" s="7"/>
      <c r="P70" s="7"/>
    </row>
    <row r="71" spans="1:35" x14ac:dyDescent="0.2">
      <c r="A71" s="53" t="s">
        <v>942</v>
      </c>
      <c r="B71" s="50" t="s">
        <v>958</v>
      </c>
      <c r="C71" s="8" t="s">
        <v>943</v>
      </c>
      <c r="D71" s="9" t="s">
        <v>944</v>
      </c>
      <c r="E71" s="7">
        <f>('Tech, Carrier &amp; Sector by Year'!D1730+'Tech, Carrier &amp; Sector by Year'!D1732+'Tech, Carrier &amp; Sector by Year'!D1734+'Tech, Carrier &amp; Sector by Year'!D1736)*1000</f>
        <v>14494.583970185155</v>
      </c>
      <c r="F71" s="7">
        <f>('Tech, Carrier &amp; Sector by Year'!E1730+'Tech, Carrier &amp; Sector by Year'!E1732+'Tech, Carrier &amp; Sector by Year'!E1734+'Tech, Carrier &amp; Sector by Year'!E1736)*1000</f>
        <v>8388.2948644754651</v>
      </c>
      <c r="G71" s="7">
        <f>('Tech, Carrier &amp; Sector by Year'!F1730+'Tech, Carrier &amp; Sector by Year'!F1732+'Tech, Carrier &amp; Sector by Year'!F1734+'Tech, Carrier &amp; Sector by Year'!F1736)*1000</f>
        <v>8161.1085223539867</v>
      </c>
      <c r="H71" s="7">
        <f>('Tech, Carrier &amp; Sector by Year'!G1730+'Tech, Carrier &amp; Sector by Year'!G1732+'Tech, Carrier &amp; Sector by Year'!G1734+'Tech, Carrier &amp; Sector by Year'!G1736)*1000</f>
        <v>7893.7433869999995</v>
      </c>
      <c r="I71" s="7">
        <f>('Tech, Carrier &amp; Sector by Year'!H1730+'Tech, Carrier &amp; Sector by Year'!H1732+'Tech, Carrier &amp; Sector by Year'!H1734+'Tech, Carrier &amp; Sector by Year'!H1736)*1000</f>
        <v>7819.0258027976133</v>
      </c>
      <c r="J71" s="7">
        <f>('Tech, Carrier &amp; Sector by Year'!I1730+'Tech, Carrier &amp; Sector by Year'!I1732+'Tech, Carrier &amp; Sector by Year'!I1734+'Tech, Carrier &amp; Sector by Year'!I1736)*1000</f>
        <v>7744.3153890553058</v>
      </c>
      <c r="K71" s="7"/>
      <c r="L71" s="7"/>
      <c r="M71" s="7"/>
      <c r="N71" s="7"/>
      <c r="O71" s="7"/>
      <c r="P71" s="7"/>
    </row>
    <row r="72" spans="1:35" x14ac:dyDescent="0.2">
      <c r="A72" s="53" t="s">
        <v>942</v>
      </c>
      <c r="B72" s="50" t="s">
        <v>958</v>
      </c>
      <c r="C72" s="8" t="s">
        <v>943</v>
      </c>
      <c r="D72" s="9" t="s">
        <v>945</v>
      </c>
      <c r="E72" s="7">
        <f>('Tech, Carrier &amp; Sector by Year'!D1731+'Tech, Carrier &amp; Sector by Year'!D1733+'Tech, Carrier &amp; Sector by Year'!D1735+'Tech, Carrier &amp; Sector by Year'!D1737+'Tech, Carrier &amp; Sector by Year'!D1738)*1000</f>
        <v>7469.1063767074629</v>
      </c>
      <c r="F72" s="7">
        <f>('Tech, Carrier &amp; Sector by Year'!E1731+'Tech, Carrier &amp; Sector by Year'!E1733+'Tech, Carrier &amp; Sector by Year'!E1735+'Tech, Carrier &amp; Sector by Year'!E1737+'Tech, Carrier &amp; Sector by Year'!E1738)*1000</f>
        <v>1128.140969628291</v>
      </c>
      <c r="G72" s="7">
        <f>('Tech, Carrier &amp; Sector by Year'!F1731+'Tech, Carrier &amp; Sector by Year'!F1733+'Tech, Carrier &amp; Sector by Year'!F1735+'Tech, Carrier &amp; Sector by Year'!F1737+'Tech, Carrier &amp; Sector by Year'!F1738)*1000</f>
        <v>1102.28976142941</v>
      </c>
      <c r="H72" s="7">
        <f>('Tech, Carrier &amp; Sector by Year'!G1731+'Tech, Carrier &amp; Sector by Year'!G1733+'Tech, Carrier &amp; Sector by Year'!G1735+'Tech, Carrier &amp; Sector by Year'!G1737+'Tech, Carrier &amp; Sector by Year'!G1738)*1000</f>
        <v>1069.20106508924</v>
      </c>
      <c r="I72" s="7">
        <f>('Tech, Carrier &amp; Sector by Year'!H1731+'Tech, Carrier &amp; Sector by Year'!H1733+'Tech, Carrier &amp; Sector by Year'!H1735+'Tech, Carrier &amp; Sector by Year'!H1737+'Tech, Carrier &amp; Sector by Year'!H1738)*1000</f>
        <v>1062.8159646105719</v>
      </c>
      <c r="J72" s="7">
        <f>('Tech, Carrier &amp; Sector by Year'!I1731+'Tech, Carrier &amp; Sector by Year'!I1733+'Tech, Carrier &amp; Sector by Year'!I1735+'Tech, Carrier &amp; Sector by Year'!I1737+'Tech, Carrier &amp; Sector by Year'!I1738)*1000</f>
        <v>1056.422925351713</v>
      </c>
      <c r="K72" s="7"/>
      <c r="L72" s="7"/>
      <c r="M72" s="7"/>
      <c r="N72" s="7"/>
      <c r="O72" s="7"/>
      <c r="P72" s="7"/>
    </row>
    <row r="73" spans="1:35" x14ac:dyDescent="0.2">
      <c r="A73" s="53" t="s">
        <v>942</v>
      </c>
      <c r="B73" s="50" t="s">
        <v>958</v>
      </c>
      <c r="C73" s="8" t="s">
        <v>943</v>
      </c>
      <c r="D73" s="9" t="s">
        <v>946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/>
      <c r="L73" s="7"/>
      <c r="M73" s="7"/>
      <c r="N73" s="7"/>
      <c r="O73" s="7"/>
      <c r="P73" s="7"/>
    </row>
    <row r="74" spans="1:35" x14ac:dyDescent="0.2">
      <c r="A74" s="53" t="s">
        <v>942</v>
      </c>
      <c r="B74" s="50" t="s">
        <v>958</v>
      </c>
      <c r="C74" s="8" t="s">
        <v>943</v>
      </c>
      <c r="D74" s="9" t="s">
        <v>947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/>
      <c r="L74" s="7"/>
      <c r="M74" s="7"/>
      <c r="N74" s="7"/>
      <c r="O74" s="7"/>
      <c r="P74" s="7"/>
    </row>
    <row r="75" spans="1:35" x14ac:dyDescent="0.2">
      <c r="A75" s="53" t="s">
        <v>942</v>
      </c>
      <c r="B75" s="50" t="s">
        <v>958</v>
      </c>
      <c r="C75" s="8" t="s">
        <v>943</v>
      </c>
      <c r="D75" s="9" t="s">
        <v>948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/>
      <c r="L75" s="7"/>
      <c r="M75" s="7"/>
      <c r="N75" s="7"/>
      <c r="O75" s="7"/>
      <c r="P75" s="7"/>
    </row>
    <row r="76" spans="1:35" x14ac:dyDescent="0.2">
      <c r="A76" s="53" t="s">
        <v>942</v>
      </c>
      <c r="B76" s="50" t="s">
        <v>958</v>
      </c>
      <c r="C76" s="8" t="s">
        <v>943</v>
      </c>
      <c r="D76" s="9" t="s">
        <v>949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/>
      <c r="L76" s="7"/>
      <c r="M76" s="7"/>
      <c r="N76" s="7"/>
      <c r="O76" s="7"/>
      <c r="P76" s="7"/>
    </row>
    <row r="77" spans="1:35" x14ac:dyDescent="0.2">
      <c r="A77" s="53" t="s">
        <v>942</v>
      </c>
      <c r="B77" s="50" t="s">
        <v>958</v>
      </c>
      <c r="C77" s="8" t="s">
        <v>943</v>
      </c>
      <c r="D77" s="9" t="s">
        <v>950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/>
      <c r="L77" s="7"/>
      <c r="M77" s="7"/>
      <c r="N77" s="7"/>
      <c r="O77" s="7"/>
      <c r="P77" s="7"/>
    </row>
    <row r="78" spans="1:35" x14ac:dyDescent="0.2">
      <c r="A78" s="54" t="s">
        <v>942</v>
      </c>
      <c r="B78" s="51" t="s">
        <v>958</v>
      </c>
      <c r="C78" s="11" t="s">
        <v>943</v>
      </c>
      <c r="D78" s="9" t="s">
        <v>951</v>
      </c>
      <c r="E78" s="59">
        <v>0</v>
      </c>
      <c r="F78" s="59">
        <v>0</v>
      </c>
      <c r="G78" s="59">
        <v>0</v>
      </c>
      <c r="H78" s="59">
        <v>0</v>
      </c>
      <c r="I78" s="59">
        <v>0</v>
      </c>
      <c r="J78" s="59">
        <v>0</v>
      </c>
      <c r="K78" s="7"/>
      <c r="L78" s="7"/>
      <c r="M78" s="7"/>
      <c r="N78" s="7"/>
      <c r="O78" s="7"/>
      <c r="P78" s="7"/>
    </row>
    <row r="79" spans="1:35" x14ac:dyDescent="0.2">
      <c r="A79" s="52" t="s">
        <v>942</v>
      </c>
      <c r="B79" s="50" t="s">
        <v>959</v>
      </c>
      <c r="C79" s="5" t="s">
        <v>943</v>
      </c>
      <c r="D79" s="6" t="s">
        <v>937</v>
      </c>
      <c r="E79" s="7">
        <f>'Energy input per carrier'!C179*1000</f>
        <v>1113.881502</v>
      </c>
      <c r="F79" s="7">
        <f>'Energy input per carrier'!D179*1000</f>
        <v>506.09398590000001</v>
      </c>
      <c r="G79" s="7">
        <f>'Energy input per carrier'!E179*1000</f>
        <v>433.52100300000001</v>
      </c>
      <c r="H79" s="7">
        <f>'Energy input per carrier'!F179*1000</f>
        <v>416.11991669999998</v>
      </c>
      <c r="I79" s="7">
        <f>'Energy input per carrier'!G179*1000</f>
        <v>427.32736170000004</v>
      </c>
      <c r="J79" s="7">
        <f>'Energy input per carrier'!H179*1000</f>
        <v>438.5268403</v>
      </c>
      <c r="K79" s="7"/>
      <c r="L79" s="7"/>
      <c r="M79" s="7"/>
      <c r="N79" s="7"/>
      <c r="O79" s="7"/>
      <c r="P79" s="7"/>
    </row>
    <row r="80" spans="1:35" x14ac:dyDescent="0.2">
      <c r="A80" s="53" t="s">
        <v>942</v>
      </c>
      <c r="B80" s="50" t="s">
        <v>959</v>
      </c>
      <c r="C80" s="8" t="s">
        <v>943</v>
      </c>
      <c r="D80" s="9" t="s">
        <v>939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/>
      <c r="L80" s="7"/>
      <c r="M80" s="7"/>
      <c r="N80" s="7"/>
      <c r="O80" s="7"/>
      <c r="P80" s="7"/>
    </row>
    <row r="81" spans="1:16" x14ac:dyDescent="0.2">
      <c r="A81" s="53" t="s">
        <v>942</v>
      </c>
      <c r="B81" s="50" t="s">
        <v>959</v>
      </c>
      <c r="C81" s="8" t="s">
        <v>943</v>
      </c>
      <c r="D81" s="9" t="s">
        <v>941</v>
      </c>
      <c r="E81" s="7">
        <f>'Energy input per carrier'!C109*1000</f>
        <v>101.41924110000001</v>
      </c>
      <c r="F81" s="7">
        <f>'Energy input per carrier'!D109*1000</f>
        <v>54.756335019999995</v>
      </c>
      <c r="G81" s="7">
        <f>'Energy input per carrier'!E109*1000</f>
        <v>49.127885089999999</v>
      </c>
      <c r="H81" s="7">
        <f>'Energy input per carrier'!F109*1000</f>
        <v>47.859990419999995</v>
      </c>
      <c r="I81" s="7">
        <f>'Energy input per carrier'!G109*1000</f>
        <v>49.149013509999996</v>
      </c>
      <c r="J81" s="7">
        <f>'Energy input per carrier'!H109*1000</f>
        <v>50.437189850000003</v>
      </c>
      <c r="K81" s="7"/>
      <c r="L81" s="7"/>
      <c r="M81" s="7"/>
      <c r="N81" s="7"/>
      <c r="O81" s="7"/>
      <c r="P81" s="7"/>
    </row>
    <row r="82" spans="1:16" x14ac:dyDescent="0.2">
      <c r="A82" s="53" t="s">
        <v>942</v>
      </c>
      <c r="B82" s="50" t="s">
        <v>959</v>
      </c>
      <c r="C82" s="8" t="s">
        <v>943</v>
      </c>
      <c r="D82" s="9" t="s">
        <v>944</v>
      </c>
      <c r="E82" s="7">
        <f>'Energy input per carrier'!C6*1000</f>
        <v>62511.430854134</v>
      </c>
      <c r="F82" s="7">
        <f>'Energy input per carrier'!D6*1000</f>
        <v>19648.8047343</v>
      </c>
      <c r="G82" s="7">
        <f>'Energy input per carrier'!E6*1000</f>
        <v>7172.2836690999993</v>
      </c>
      <c r="H82" s="7">
        <f>'Energy input per carrier'!F6*1000</f>
        <v>5403.2304169644012</v>
      </c>
      <c r="I82" s="7">
        <f>'Energy input per carrier'!G6*1000</f>
        <v>3650.7080525993997</v>
      </c>
      <c r="J82" s="7">
        <f>'Energy input per carrier'!H6*1000</f>
        <v>20225.697818010001</v>
      </c>
      <c r="K82" s="7"/>
      <c r="L82" s="7"/>
      <c r="M82" s="7"/>
      <c r="N82" s="7"/>
      <c r="O82" s="7"/>
      <c r="P82" s="7"/>
    </row>
    <row r="83" spans="1:16" x14ac:dyDescent="0.2">
      <c r="A83" s="53" t="s">
        <v>942</v>
      </c>
      <c r="B83" s="50" t="s">
        <v>959</v>
      </c>
      <c r="C83" s="8" t="s">
        <v>943</v>
      </c>
      <c r="D83" s="9" t="s">
        <v>945</v>
      </c>
      <c r="E83" s="7">
        <f>'Energy input per carrier'!C123*1000</f>
        <v>25986.900499690328</v>
      </c>
      <c r="F83" s="7">
        <f>'Energy input per carrier'!D123*1000</f>
        <v>40752.029077213156</v>
      </c>
      <c r="G83" s="7">
        <f>'Energy input per carrier'!E123*1000</f>
        <v>38522.415258860121</v>
      </c>
      <c r="H83" s="7">
        <f>'Energy input per carrier'!F123*1000</f>
        <v>39940.095059220752</v>
      </c>
      <c r="I83" s="7">
        <f>'Energy input per carrier'!G123*1000</f>
        <v>40538.741330830366</v>
      </c>
      <c r="J83" s="7">
        <f>'Energy input per carrier'!H123*1000</f>
        <v>40210.623694530899</v>
      </c>
      <c r="K83" s="7"/>
      <c r="L83" s="7"/>
      <c r="M83" s="7"/>
      <c r="N83" s="7"/>
      <c r="O83" s="7"/>
      <c r="P83" s="7"/>
    </row>
    <row r="84" spans="1:16" x14ac:dyDescent="0.2">
      <c r="A84" s="53" t="s">
        <v>942</v>
      </c>
      <c r="B84" s="50" t="s">
        <v>959</v>
      </c>
      <c r="C84" s="8" t="s">
        <v>943</v>
      </c>
      <c r="D84" s="9" t="s">
        <v>946</v>
      </c>
      <c r="E84" s="7">
        <f>('Energy input per carrier'!C76+'Energy input per carrier'!C64)*1000</f>
        <v>9509.3099930886856</v>
      </c>
      <c r="F84" s="7">
        <f>('Energy input per carrier'!D76+'Energy input per carrier'!D64)*1000</f>
        <v>17707.193855817801</v>
      </c>
      <c r="G84" s="7">
        <f>('Energy input per carrier'!E76+'Energy input per carrier'!E64)*1000</f>
        <v>34569.117068881962</v>
      </c>
      <c r="H84" s="7">
        <f>('Energy input per carrier'!F76+'Energy input per carrier'!F64)*1000</f>
        <v>34913.8075799</v>
      </c>
      <c r="I84" s="7">
        <f>('Energy input per carrier'!G76+'Energy input per carrier'!G64)*1000</f>
        <v>34484.306797000005</v>
      </c>
      <c r="J84" s="7">
        <f>('Energy input per carrier'!H76+'Energy input per carrier'!H64)*1000</f>
        <v>17700.041248467951</v>
      </c>
      <c r="K84" s="7"/>
      <c r="L84" s="7"/>
      <c r="M84" s="7"/>
      <c r="N84" s="7"/>
      <c r="O84" s="7"/>
      <c r="P84" s="7"/>
    </row>
    <row r="85" spans="1:16" x14ac:dyDescent="0.2">
      <c r="A85" s="53" t="s">
        <v>942</v>
      </c>
      <c r="B85" s="50" t="s">
        <v>959</v>
      </c>
      <c r="C85" s="8" t="s">
        <v>943</v>
      </c>
      <c r="D85" s="9" t="s">
        <v>947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/>
      <c r="L85" s="7"/>
      <c r="M85" s="7"/>
      <c r="N85" s="7"/>
      <c r="O85" s="7"/>
      <c r="P85" s="7"/>
    </row>
    <row r="86" spans="1:16" x14ac:dyDescent="0.2">
      <c r="A86" s="53" t="s">
        <v>942</v>
      </c>
      <c r="B86" s="50" t="s">
        <v>959</v>
      </c>
      <c r="C86" s="8" t="s">
        <v>943</v>
      </c>
      <c r="D86" s="9" t="s">
        <v>948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/>
      <c r="L86" s="7"/>
      <c r="M86" s="7"/>
      <c r="N86" s="7"/>
      <c r="O86" s="7"/>
      <c r="P86" s="7"/>
    </row>
    <row r="87" spans="1:16" x14ac:dyDescent="0.2">
      <c r="A87" s="53" t="s">
        <v>942</v>
      </c>
      <c r="B87" s="50" t="s">
        <v>959</v>
      </c>
      <c r="C87" s="8" t="s">
        <v>943</v>
      </c>
      <c r="D87" s="9" t="s">
        <v>949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/>
      <c r="L87" s="7"/>
      <c r="M87" s="7"/>
      <c r="N87" s="7"/>
      <c r="O87" s="7"/>
      <c r="P87" s="7"/>
    </row>
    <row r="88" spans="1:16" x14ac:dyDescent="0.2">
      <c r="A88" s="53" t="s">
        <v>942</v>
      </c>
      <c r="B88" s="50" t="s">
        <v>959</v>
      </c>
      <c r="C88" s="8" t="s">
        <v>943</v>
      </c>
      <c r="D88" s="9" t="s">
        <v>950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/>
      <c r="L88" s="7"/>
      <c r="M88" s="7"/>
      <c r="N88" s="7"/>
      <c r="O88" s="7"/>
      <c r="P88" s="7"/>
    </row>
    <row r="89" spans="1:16" x14ac:dyDescent="0.2">
      <c r="A89" s="54" t="s">
        <v>942</v>
      </c>
      <c r="B89" s="51" t="s">
        <v>959</v>
      </c>
      <c r="C89" s="11" t="s">
        <v>943</v>
      </c>
      <c r="D89" s="9" t="s">
        <v>951</v>
      </c>
      <c r="E89" s="7">
        <v>0</v>
      </c>
      <c r="F89" s="7"/>
      <c r="G89" s="7">
        <v>0</v>
      </c>
      <c r="H89" s="7">
        <v>0</v>
      </c>
      <c r="I89" s="7">
        <v>0</v>
      </c>
      <c r="J89" s="7">
        <v>0</v>
      </c>
      <c r="K89" s="7"/>
      <c r="L89" s="7"/>
      <c r="M89" s="7"/>
      <c r="N89" s="7"/>
      <c r="O89" s="7"/>
      <c r="P89" s="7"/>
    </row>
    <row r="90" spans="1:16" x14ac:dyDescent="0.2">
      <c r="A90" s="53" t="s">
        <v>942</v>
      </c>
      <c r="B90" s="61" t="s">
        <v>960</v>
      </c>
      <c r="C90" s="8" t="s">
        <v>943</v>
      </c>
      <c r="D90" s="6" t="s">
        <v>937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/>
      <c r="L90" s="7"/>
      <c r="M90" s="7"/>
      <c r="N90" s="7"/>
      <c r="O90" s="7"/>
      <c r="P90" s="7"/>
    </row>
    <row r="91" spans="1:16" x14ac:dyDescent="0.2">
      <c r="A91" s="53" t="s">
        <v>942</v>
      </c>
      <c r="B91" s="61" t="s">
        <v>960</v>
      </c>
      <c r="C91" s="8" t="s">
        <v>943</v>
      </c>
      <c r="D91" s="9" t="s">
        <v>939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/>
      <c r="L91" s="7"/>
      <c r="M91" s="7"/>
      <c r="N91" s="7"/>
      <c r="O91" s="7"/>
      <c r="P91" s="7"/>
    </row>
    <row r="92" spans="1:16" x14ac:dyDescent="0.2">
      <c r="A92" s="53" t="s">
        <v>942</v>
      </c>
      <c r="B92" s="61" t="s">
        <v>960</v>
      </c>
      <c r="C92" s="8" t="s">
        <v>943</v>
      </c>
      <c r="D92" s="9" t="s">
        <v>941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/>
      <c r="L92" s="7"/>
      <c r="M92" s="7"/>
      <c r="N92" s="7"/>
      <c r="O92" s="7"/>
      <c r="P92" s="7"/>
    </row>
    <row r="93" spans="1:16" x14ac:dyDescent="0.2">
      <c r="A93" s="53" t="s">
        <v>942</v>
      </c>
      <c r="B93" s="61" t="s">
        <v>960</v>
      </c>
      <c r="C93" s="8" t="s">
        <v>943</v>
      </c>
      <c r="D93" s="9" t="s">
        <v>944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/>
      <c r="L93" s="7"/>
      <c r="M93" s="7"/>
      <c r="N93" s="7"/>
      <c r="O93" s="7"/>
      <c r="P93" s="7"/>
    </row>
    <row r="94" spans="1:16" x14ac:dyDescent="0.2">
      <c r="A94" s="53" t="s">
        <v>942</v>
      </c>
      <c r="B94" s="61" t="s">
        <v>960</v>
      </c>
      <c r="C94" s="8" t="s">
        <v>943</v>
      </c>
      <c r="D94" s="9" t="s">
        <v>945</v>
      </c>
      <c r="E94" s="7">
        <f>('Tech, Carrier &amp; Sector by Year'!D291+'Tech, Carrier &amp; Sector by Year'!D295)*1000</f>
        <v>6.9127790929999992E-3</v>
      </c>
      <c r="F94" s="7">
        <f>('Tech, Carrier &amp; Sector by Year'!E291+'Tech, Carrier &amp; Sector by Year'!E295)*1000</f>
        <v>1.8988065763000002</v>
      </c>
      <c r="G94" s="7">
        <f>('Tech, Carrier &amp; Sector by Year'!F291+'Tech, Carrier &amp; Sector by Year'!F295)*1000</f>
        <v>2.1076254950000001E-2</v>
      </c>
      <c r="H94" s="7">
        <f>('Tech, Carrier &amp; Sector by Year'!G291+'Tech, Carrier &amp; Sector by Year'!G295)*1000</f>
        <v>2.5980856389999998E-4</v>
      </c>
      <c r="I94" s="7">
        <f>('Tech, Carrier &amp; Sector by Year'!H291+'Tech, Carrier &amp; Sector by Year'!H295)*1000</f>
        <v>8.733382978E-3</v>
      </c>
      <c r="J94" s="7">
        <f>('Tech, Carrier &amp; Sector by Year'!I291+'Tech, Carrier &amp; Sector by Year'!I295)*1000</f>
        <v>5.9566542870000003E-2</v>
      </c>
      <c r="K94" s="7"/>
      <c r="L94" s="7"/>
      <c r="M94" s="7"/>
      <c r="N94" s="7"/>
      <c r="O94" s="7"/>
      <c r="P94" s="7"/>
    </row>
    <row r="95" spans="1:16" x14ac:dyDescent="0.2">
      <c r="A95" s="53" t="s">
        <v>942</v>
      </c>
      <c r="B95" s="61" t="s">
        <v>960</v>
      </c>
      <c r="C95" s="8" t="s">
        <v>943</v>
      </c>
      <c r="D95" s="9" t="s">
        <v>946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/>
      <c r="L95" s="7"/>
      <c r="M95" s="7"/>
      <c r="N95" s="7"/>
      <c r="O95" s="7"/>
      <c r="P95" s="7"/>
    </row>
    <row r="96" spans="1:16" x14ac:dyDescent="0.2">
      <c r="A96" s="53" t="s">
        <v>942</v>
      </c>
      <c r="B96" s="61" t="s">
        <v>960</v>
      </c>
      <c r="C96" s="8" t="s">
        <v>943</v>
      </c>
      <c r="D96" s="9" t="s">
        <v>947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/>
      <c r="L96" s="7"/>
      <c r="M96" s="7"/>
      <c r="N96" s="7"/>
      <c r="O96" s="7"/>
      <c r="P96" s="7"/>
    </row>
    <row r="97" spans="1:16" x14ac:dyDescent="0.2">
      <c r="A97" s="53" t="s">
        <v>942</v>
      </c>
      <c r="B97" s="61" t="s">
        <v>960</v>
      </c>
      <c r="C97" s="8" t="s">
        <v>943</v>
      </c>
      <c r="D97" s="9" t="s">
        <v>948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/>
      <c r="L97" s="7"/>
      <c r="M97" s="7"/>
      <c r="N97" s="7"/>
      <c r="O97" s="7"/>
      <c r="P97" s="7"/>
    </row>
    <row r="98" spans="1:16" x14ac:dyDescent="0.2">
      <c r="A98" s="53" t="s">
        <v>942</v>
      </c>
      <c r="B98" s="61" t="s">
        <v>960</v>
      </c>
      <c r="C98" s="8" t="s">
        <v>943</v>
      </c>
      <c r="D98" s="9" t="s">
        <v>949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/>
      <c r="L98" s="7"/>
      <c r="M98" s="7"/>
      <c r="N98" s="7"/>
      <c r="O98" s="7"/>
      <c r="P98" s="7"/>
    </row>
    <row r="99" spans="1:16" x14ac:dyDescent="0.2">
      <c r="A99" s="53" t="s">
        <v>942</v>
      </c>
      <c r="B99" s="61" t="s">
        <v>960</v>
      </c>
      <c r="C99" s="8" t="s">
        <v>943</v>
      </c>
      <c r="D99" s="9" t="s">
        <v>950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/>
      <c r="L99" s="7"/>
      <c r="M99" s="7"/>
      <c r="N99" s="7"/>
      <c r="O99" s="7"/>
      <c r="P99" s="7"/>
    </row>
    <row r="100" spans="1:16" x14ac:dyDescent="0.2">
      <c r="A100" s="54" t="s">
        <v>942</v>
      </c>
      <c r="B100" s="62" t="s">
        <v>960</v>
      </c>
      <c r="C100" s="11" t="s">
        <v>943</v>
      </c>
      <c r="D100" s="9" t="s">
        <v>951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/>
      <c r="L100" s="7"/>
      <c r="M100" s="7"/>
      <c r="N100" s="7"/>
      <c r="O100" s="7"/>
      <c r="P100" s="7"/>
    </row>
    <row r="101" spans="1:16" ht="16" customHeight="1" x14ac:dyDescent="0.2">
      <c r="A101" s="55" t="s">
        <v>961</v>
      </c>
      <c r="B101" s="60" t="s">
        <v>947</v>
      </c>
      <c r="C101" s="18" t="s">
        <v>943</v>
      </c>
      <c r="D101" s="18" t="s">
        <v>937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/>
      <c r="L101" s="7"/>
      <c r="M101" s="7"/>
      <c r="N101" s="7"/>
      <c r="O101" s="7"/>
      <c r="P101" s="7"/>
    </row>
    <row r="102" spans="1:16" ht="16" customHeight="1" x14ac:dyDescent="0.2">
      <c r="A102" s="55" t="s">
        <v>961</v>
      </c>
      <c r="B102" s="60" t="s">
        <v>947</v>
      </c>
      <c r="C102" s="18" t="s">
        <v>943</v>
      </c>
      <c r="D102" s="18" t="s">
        <v>939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/>
      <c r="L102" s="7"/>
      <c r="M102" s="7"/>
      <c r="N102" s="7"/>
      <c r="O102" s="7"/>
      <c r="P102" s="7"/>
    </row>
    <row r="103" spans="1:16" ht="18" customHeight="1" x14ac:dyDescent="0.2">
      <c r="A103" s="55" t="s">
        <v>961</v>
      </c>
      <c r="B103" s="60" t="s">
        <v>947</v>
      </c>
      <c r="C103" s="18" t="s">
        <v>943</v>
      </c>
      <c r="D103" s="18" t="s">
        <v>941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/>
      <c r="L103" s="7"/>
      <c r="M103" s="7"/>
      <c r="N103" s="7"/>
      <c r="O103" s="7"/>
      <c r="P103" s="7"/>
    </row>
    <row r="104" spans="1:16" ht="16" customHeight="1" x14ac:dyDescent="0.2">
      <c r="A104" s="55" t="s">
        <v>961</v>
      </c>
      <c r="B104" s="60" t="s">
        <v>947</v>
      </c>
      <c r="C104" s="18" t="s">
        <v>943</v>
      </c>
      <c r="D104" s="18" t="s">
        <v>944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/>
      <c r="L104" s="7"/>
      <c r="M104" s="7"/>
      <c r="N104" s="7"/>
      <c r="O104" s="7"/>
      <c r="P104" s="7"/>
    </row>
    <row r="105" spans="1:16" ht="16" customHeight="1" x14ac:dyDescent="0.2">
      <c r="A105" s="55" t="s">
        <v>961</v>
      </c>
      <c r="B105" s="60" t="s">
        <v>947</v>
      </c>
      <c r="C105" s="18" t="s">
        <v>943</v>
      </c>
      <c r="D105" s="18" t="s">
        <v>945</v>
      </c>
      <c r="E105" s="7">
        <f>'Energy input per carrier'!C119*1000</f>
        <v>377.4563786025318</v>
      </c>
      <c r="F105" s="7">
        <f>'Energy input per carrier'!D119*1000</f>
        <v>213.48999762679671</v>
      </c>
      <c r="G105" s="7">
        <f>'Energy input per carrier'!E119*1000</f>
        <v>170.37975519602642</v>
      </c>
      <c r="H105" s="7">
        <f>'Energy input per carrier'!F119*1000</f>
        <v>276.91476856123347</v>
      </c>
      <c r="I105" s="7">
        <f>'Energy input per carrier'!G119*1000</f>
        <v>466.80427206019442</v>
      </c>
      <c r="J105" s="7">
        <f>'Energy input per carrier'!H119*1000</f>
        <v>633.94174394099434</v>
      </c>
      <c r="K105" s="7"/>
      <c r="L105" s="7"/>
      <c r="M105" s="7"/>
      <c r="N105" s="7"/>
      <c r="O105" s="7"/>
      <c r="P105" s="7"/>
    </row>
    <row r="106" spans="1:16" ht="16" customHeight="1" x14ac:dyDescent="0.2">
      <c r="A106" s="55" t="s">
        <v>961</v>
      </c>
      <c r="B106" s="60" t="s">
        <v>947</v>
      </c>
      <c r="C106" s="18" t="s">
        <v>943</v>
      </c>
      <c r="D106" s="18" t="s">
        <v>946</v>
      </c>
      <c r="E106" s="7">
        <f>('Energy input per carrier'!C62+'Energy input per carrier'!C67+'Energy input per carrier'!C73+'Energy input per carrier'!C87)*1000</f>
        <v>61896.848609712993</v>
      </c>
      <c r="F106" s="7">
        <f>('Energy input per carrier'!D62+'Energy input per carrier'!D67+'Energy input per carrier'!D73+'Energy input per carrier'!D87)*1000</f>
        <v>35636.636250909207</v>
      </c>
      <c r="G106" s="7">
        <f>('Energy input per carrier'!E62+'Energy input per carrier'!E67+'Energy input per carrier'!E73+'Energy input per carrier'!E87)*1000</f>
        <v>23506.427850131793</v>
      </c>
      <c r="H106" s="7">
        <f>('Energy input per carrier'!F62+'Energy input per carrier'!F67+'Energy input per carrier'!F73+'Energy input per carrier'!F87)*1000</f>
        <v>63886.924289751194</v>
      </c>
      <c r="I106" s="7">
        <f>('Energy input per carrier'!G62+'Energy input per carrier'!G67+'Energy input per carrier'!G73+'Energy input per carrier'!G87)*1000</f>
        <v>90557.459569463099</v>
      </c>
      <c r="J106" s="7">
        <f>('Energy input per carrier'!H62+'Energy input per carrier'!H67+'Energy input per carrier'!H73+'Energy input per carrier'!H87)*1000</f>
        <v>137124.40405769474</v>
      </c>
      <c r="K106" s="7"/>
      <c r="L106" s="7"/>
      <c r="M106" s="7"/>
      <c r="N106" s="7"/>
      <c r="O106" s="7"/>
      <c r="P106" s="7"/>
    </row>
    <row r="107" spans="1:16" ht="16" customHeight="1" x14ac:dyDescent="0.2">
      <c r="A107" s="55" t="s">
        <v>961</v>
      </c>
      <c r="B107" s="60" t="s">
        <v>947</v>
      </c>
      <c r="C107" s="18" t="s">
        <v>943</v>
      </c>
      <c r="D107" s="18" t="s">
        <v>947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/>
      <c r="L107" s="7"/>
      <c r="M107" s="7"/>
      <c r="N107" s="7"/>
      <c r="O107" s="7"/>
      <c r="P107" s="7"/>
    </row>
    <row r="108" spans="1:16" ht="16" customHeight="1" x14ac:dyDescent="0.2">
      <c r="A108" s="55" t="s">
        <v>961</v>
      </c>
      <c r="B108" s="60" t="s">
        <v>947</v>
      </c>
      <c r="C108" s="18" t="s">
        <v>943</v>
      </c>
      <c r="D108" s="18" t="s">
        <v>948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/>
      <c r="L108" s="7"/>
      <c r="M108" s="7"/>
      <c r="N108" s="7"/>
      <c r="O108" s="7"/>
      <c r="P108" s="7"/>
    </row>
    <row r="109" spans="1:16" ht="16" customHeight="1" x14ac:dyDescent="0.2">
      <c r="A109" s="55" t="s">
        <v>961</v>
      </c>
      <c r="B109" s="60" t="s">
        <v>947</v>
      </c>
      <c r="C109" s="18" t="s">
        <v>943</v>
      </c>
      <c r="D109" s="18" t="s">
        <v>949</v>
      </c>
      <c r="E109" s="7">
        <f>'Energy input per carrier'!C268*1000</f>
        <v>8205.0428306065132</v>
      </c>
      <c r="F109" s="7">
        <f>'Energy input per carrier'!D268*1000</f>
        <v>4048.5735107955429</v>
      </c>
      <c r="G109" s="7">
        <f>'Energy input per carrier'!E268*1000</f>
        <v>3232.5499335084232</v>
      </c>
      <c r="H109" s="7">
        <f>'Energy input per carrier'!F268*1000</f>
        <v>7015.7692206402062</v>
      </c>
      <c r="I109" s="7">
        <f>'Energy input per carrier'!G268*1000</f>
        <v>7660.1505224929242</v>
      </c>
      <c r="J109" s="7">
        <f>'Energy input per carrier'!H268*1000</f>
        <v>8265.7505105448345</v>
      </c>
      <c r="K109" s="7"/>
      <c r="L109" s="7"/>
      <c r="M109" s="7"/>
      <c r="N109" s="7"/>
      <c r="O109" s="7"/>
      <c r="P109" s="7"/>
    </row>
    <row r="110" spans="1:16" ht="16" customHeight="1" x14ac:dyDescent="0.2">
      <c r="A110" s="55" t="s">
        <v>961</v>
      </c>
      <c r="B110" s="60" t="s">
        <v>947</v>
      </c>
      <c r="C110" s="18" t="s">
        <v>943</v>
      </c>
      <c r="D110" s="18" t="s">
        <v>950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/>
      <c r="L110" s="7"/>
      <c r="M110" s="7"/>
      <c r="N110" s="7"/>
      <c r="O110" s="7"/>
      <c r="P110" s="7"/>
    </row>
    <row r="111" spans="1:16" ht="16" customHeight="1" x14ac:dyDescent="0.2">
      <c r="A111" s="56" t="s">
        <v>961</v>
      </c>
      <c r="B111" s="63" t="s">
        <v>947</v>
      </c>
      <c r="C111" s="21" t="s">
        <v>943</v>
      </c>
      <c r="D111" s="21" t="s">
        <v>951</v>
      </c>
      <c r="E111" s="59">
        <v>0</v>
      </c>
      <c r="F111" s="59"/>
      <c r="G111" s="59">
        <v>0</v>
      </c>
      <c r="H111" s="59">
        <v>0</v>
      </c>
      <c r="I111" s="59">
        <v>0</v>
      </c>
      <c r="J111" s="59">
        <v>0</v>
      </c>
    </row>
    <row r="112" spans="1:16" x14ac:dyDescent="0.2">
      <c r="A112" s="57" t="s">
        <v>961</v>
      </c>
      <c r="B112" s="64" t="s">
        <v>948</v>
      </c>
      <c r="C112" s="24" t="s">
        <v>943</v>
      </c>
      <c r="D112" s="25" t="s">
        <v>937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</row>
    <row r="113" spans="1:10" x14ac:dyDescent="0.2">
      <c r="A113" s="57" t="s">
        <v>961</v>
      </c>
      <c r="B113" s="64" t="s">
        <v>948</v>
      </c>
      <c r="C113" s="24" t="s">
        <v>943</v>
      </c>
      <c r="D113" s="25" t="s">
        <v>939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</row>
    <row r="114" spans="1:10" x14ac:dyDescent="0.2">
      <c r="A114" s="57" t="s">
        <v>961</v>
      </c>
      <c r="B114" s="64" t="s">
        <v>948</v>
      </c>
      <c r="C114" s="24" t="s">
        <v>943</v>
      </c>
      <c r="D114" s="25" t="s">
        <v>941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</row>
    <row r="115" spans="1:10" x14ac:dyDescent="0.2">
      <c r="A115" s="57" t="s">
        <v>961</v>
      </c>
      <c r="B115" s="64" t="s">
        <v>948</v>
      </c>
      <c r="C115" s="24" t="s">
        <v>943</v>
      </c>
      <c r="D115" s="25" t="s">
        <v>944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</row>
    <row r="116" spans="1:10" x14ac:dyDescent="0.2">
      <c r="A116" s="57" t="s">
        <v>961</v>
      </c>
      <c r="B116" s="64" t="s">
        <v>948</v>
      </c>
      <c r="C116" s="24" t="s">
        <v>943</v>
      </c>
      <c r="D116" s="25" t="s">
        <v>945</v>
      </c>
      <c r="E116" s="7">
        <f>'Energy input per carrier'!C121*1000</f>
        <v>315.91661876756001</v>
      </c>
      <c r="F116" s="7">
        <f>'Energy input per carrier'!D121*1000</f>
        <v>0.19003984498000001</v>
      </c>
      <c r="G116" s="7">
        <f>'Energy input per carrier'!E121*1000</f>
        <v>9.8002660591000004E-2</v>
      </c>
      <c r="H116" s="7">
        <f>'Energy input per carrier'!F121*1000</f>
        <v>2.1140960026999997E-3</v>
      </c>
      <c r="I116" s="7">
        <f>'Energy input per carrier'!G121*1000</f>
        <v>453.90523327466798</v>
      </c>
      <c r="J116" s="7">
        <f>'Energy input per carrier'!H121*1000</f>
        <v>596.79711520724993</v>
      </c>
    </row>
    <row r="117" spans="1:10" ht="16" customHeight="1" x14ac:dyDescent="0.2">
      <c r="A117" s="57" t="s">
        <v>961</v>
      </c>
      <c r="B117" s="64" t="s">
        <v>948</v>
      </c>
      <c r="C117" s="24" t="s">
        <v>943</v>
      </c>
      <c r="D117" s="25" t="s">
        <v>946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</row>
    <row r="118" spans="1:10" ht="16" customHeight="1" x14ac:dyDescent="0.2">
      <c r="A118" s="57" t="s">
        <v>961</v>
      </c>
      <c r="B118" s="64" t="s">
        <v>948</v>
      </c>
      <c r="C118" s="24" t="s">
        <v>943</v>
      </c>
      <c r="D118" s="25" t="s">
        <v>947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</row>
    <row r="119" spans="1:10" ht="16" customHeight="1" x14ac:dyDescent="0.2">
      <c r="A119" s="57" t="s">
        <v>961</v>
      </c>
      <c r="B119" s="64" t="s">
        <v>948</v>
      </c>
      <c r="C119" s="24" t="s">
        <v>943</v>
      </c>
      <c r="D119" s="25" t="s">
        <v>948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</row>
    <row r="120" spans="1:10" x14ac:dyDescent="0.2">
      <c r="A120" s="57" t="s">
        <v>961</v>
      </c>
      <c r="B120" s="64" t="s">
        <v>948</v>
      </c>
      <c r="C120" s="24" t="s">
        <v>943</v>
      </c>
      <c r="D120" s="25" t="s">
        <v>949</v>
      </c>
      <c r="E120" s="7">
        <f>'Energy input per carrier'!C270*1000</f>
        <v>7156.7840231379014</v>
      </c>
      <c r="F120" s="7">
        <f>'Energy input per carrier'!D270*1000</f>
        <v>0.62569363407</v>
      </c>
      <c r="G120" s="7">
        <f>'Energy input per carrier'!E270*1000</f>
        <v>0.29556563273899999</v>
      </c>
      <c r="H120" s="7">
        <f>'Energy input per carrier'!F270*1000</f>
        <v>2.6203599474799999E-2</v>
      </c>
      <c r="I120" s="7">
        <f>'Energy input per carrier'!G270*1000</f>
        <v>3372.038137618204</v>
      </c>
      <c r="J120" s="7">
        <f>'Energy input per carrier'!H270*1000</f>
        <v>7907.9950017879801</v>
      </c>
    </row>
    <row r="121" spans="1:10" x14ac:dyDescent="0.2">
      <c r="A121" s="57" t="s">
        <v>961</v>
      </c>
      <c r="B121" s="64" t="s">
        <v>948</v>
      </c>
      <c r="C121" s="24" t="s">
        <v>943</v>
      </c>
      <c r="D121" s="25" t="s">
        <v>950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</row>
    <row r="122" spans="1:10" x14ac:dyDescent="0.2">
      <c r="A122" s="58" t="s">
        <v>961</v>
      </c>
      <c r="B122" s="65" t="s">
        <v>948</v>
      </c>
      <c r="C122" s="26" t="s">
        <v>943</v>
      </c>
      <c r="D122" s="27" t="s">
        <v>951</v>
      </c>
      <c r="E122" s="59">
        <v>0</v>
      </c>
      <c r="F122" s="59"/>
      <c r="G122" s="59">
        <v>0</v>
      </c>
      <c r="H122" s="59">
        <v>0</v>
      </c>
      <c r="I122" s="59">
        <v>0</v>
      </c>
      <c r="J122" s="59">
        <v>0</v>
      </c>
    </row>
    <row r="123" spans="1:10" ht="16" customHeight="1" x14ac:dyDescent="0.2">
      <c r="A123" s="57" t="s">
        <v>961</v>
      </c>
      <c r="B123" s="64" t="s">
        <v>941</v>
      </c>
      <c r="C123" s="24" t="s">
        <v>943</v>
      </c>
      <c r="D123" s="25" t="s">
        <v>937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</row>
    <row r="124" spans="1:10" ht="16" customHeight="1" x14ac:dyDescent="0.2">
      <c r="A124" s="57" t="s">
        <v>961</v>
      </c>
      <c r="B124" s="64" t="s">
        <v>941</v>
      </c>
      <c r="C124" s="24" t="s">
        <v>943</v>
      </c>
      <c r="D124" s="25" t="s">
        <v>939</v>
      </c>
      <c r="E124" s="7">
        <f>'Energy input per carrier'!C192*1000</f>
        <v>1947447.5160000001</v>
      </c>
      <c r="F124" s="7">
        <f>'Energy input per carrier'!D192*1000</f>
        <v>1787355.4129999999</v>
      </c>
      <c r="G124" s="7">
        <f>'Energy input per carrier'!E192*1000</f>
        <v>1637843.2660000001</v>
      </c>
      <c r="H124" s="7">
        <f>'Energy input per carrier'!F192*1000</f>
        <v>1486562.3250000002</v>
      </c>
      <c r="I124" s="7">
        <f>'Energy input per carrier'!G192*1000</f>
        <v>1338003.0349999999</v>
      </c>
      <c r="J124" s="7">
        <f>'Energy input per carrier'!H192*1000</f>
        <v>1189443.7519999999</v>
      </c>
    </row>
    <row r="125" spans="1:10" ht="16" customHeight="1" x14ac:dyDescent="0.2">
      <c r="A125" s="57" t="s">
        <v>961</v>
      </c>
      <c r="B125" s="64" t="s">
        <v>941</v>
      </c>
      <c r="C125" s="24" t="s">
        <v>943</v>
      </c>
      <c r="D125" s="25" t="s">
        <v>941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</row>
    <row r="126" spans="1:10" ht="16" customHeight="1" x14ac:dyDescent="0.2">
      <c r="A126" s="57" t="s">
        <v>961</v>
      </c>
      <c r="B126" s="64" t="s">
        <v>941</v>
      </c>
      <c r="C126" s="24" t="s">
        <v>943</v>
      </c>
      <c r="D126" s="25" t="s">
        <v>944</v>
      </c>
      <c r="E126" s="7">
        <f>('Energy input per carrier'!C14+'Energy input per carrier'!C279)*1000</f>
        <v>80983.164589010732</v>
      </c>
      <c r="F126" s="7">
        <f>('Energy input per carrier'!D14+'Energy input per carrier'!D279)*1000</f>
        <v>83713.138630294998</v>
      </c>
      <c r="G126" s="7">
        <f>('Energy input per carrier'!E14+'Energy input per carrier'!E279)*1000</f>
        <v>68774.627854105391</v>
      </c>
      <c r="H126" s="7">
        <f>('Energy input per carrier'!F14+'Energy input per carrier'!F279)*1000</f>
        <v>63848.223630444663</v>
      </c>
      <c r="I126" s="7">
        <f>('Energy input per carrier'!G14+'Energy input per carrier'!G279)*1000</f>
        <v>46980.732197836762</v>
      </c>
      <c r="J126" s="7">
        <f>('Energy input per carrier'!H14+'Energy input per carrier'!H279)*1000</f>
        <v>45621.302943814284</v>
      </c>
    </row>
    <row r="127" spans="1:10" ht="16" customHeight="1" x14ac:dyDescent="0.2">
      <c r="A127" s="57" t="s">
        <v>961</v>
      </c>
      <c r="B127" s="64" t="s">
        <v>941</v>
      </c>
      <c r="C127" s="24" t="s">
        <v>943</v>
      </c>
      <c r="D127" s="25" t="s">
        <v>945</v>
      </c>
      <c r="E127" s="7">
        <f>'Energy input per carrier'!C132*1000</f>
        <v>10579.707729686201</v>
      </c>
      <c r="F127" s="7">
        <f>'Energy input per carrier'!D132*1000</f>
        <v>9089.0215232722621</v>
      </c>
      <c r="G127" s="7">
        <f>'Energy input per carrier'!E132*1000</f>
        <v>12586.23338080314</v>
      </c>
      <c r="H127" s="7">
        <f>'Energy input per carrier'!F132*1000</f>
        <v>7511.7610087131698</v>
      </c>
      <c r="I127" s="7">
        <f>'Energy input per carrier'!G132*1000</f>
        <v>10572.76988600997</v>
      </c>
      <c r="J127" s="7">
        <f>'Energy input per carrier'!H132*1000</f>
        <v>8307.1100912678903</v>
      </c>
    </row>
    <row r="128" spans="1:10" ht="16" customHeight="1" x14ac:dyDescent="0.2">
      <c r="A128" s="57" t="s">
        <v>961</v>
      </c>
      <c r="B128" s="64" t="s">
        <v>941</v>
      </c>
      <c r="C128" s="24" t="s">
        <v>943</v>
      </c>
      <c r="D128" s="25" t="s">
        <v>946</v>
      </c>
      <c r="E128" s="7">
        <f>'Energy input per carrier'!C84*1000</f>
        <v>6810.0107434605579</v>
      </c>
      <c r="F128" s="7">
        <f>'Energy input per carrier'!D84*1000</f>
        <v>18233.268330041799</v>
      </c>
      <c r="G128" s="7">
        <f>'Energy input per carrier'!E84*1000</f>
        <v>14586.05303955731</v>
      </c>
      <c r="H128" s="7">
        <f>'Energy input per carrier'!F84*1000</f>
        <v>14585.4092074285</v>
      </c>
      <c r="I128" s="7">
        <f>'Energy input per carrier'!G84*1000</f>
        <v>11171.19990242781</v>
      </c>
      <c r="J128" s="7">
        <f>'Energy input per carrier'!H84*1000</f>
        <v>1106.2026803865601</v>
      </c>
    </row>
    <row r="129" spans="1:10" ht="16" customHeight="1" x14ac:dyDescent="0.2">
      <c r="A129" s="57" t="s">
        <v>961</v>
      </c>
      <c r="B129" s="64" t="s">
        <v>941</v>
      </c>
      <c r="C129" s="24" t="s">
        <v>943</v>
      </c>
      <c r="D129" s="25" t="s">
        <v>947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</row>
    <row r="130" spans="1:10" ht="16" customHeight="1" x14ac:dyDescent="0.2">
      <c r="A130" s="57" t="s">
        <v>961</v>
      </c>
      <c r="B130" s="64" t="s">
        <v>941</v>
      </c>
      <c r="C130" s="24" t="s">
        <v>943</v>
      </c>
      <c r="D130" s="25" t="s">
        <v>948</v>
      </c>
      <c r="E130" s="7">
        <f>'Energy input per carrier'!C247*1000</f>
        <v>3.5579627917413998</v>
      </c>
      <c r="F130" s="7">
        <f>'Energy input per carrier'!D247*1000</f>
        <v>0.11196307544</v>
      </c>
      <c r="G130" s="7">
        <f>'Energy input per carrier'!E247*1000</f>
        <v>2.4116916440999999E-2</v>
      </c>
      <c r="H130" s="7">
        <f>'Energy input per carrier'!F247*1000</f>
        <v>0</v>
      </c>
      <c r="I130" s="7">
        <f>'Energy input per carrier'!G247*1000</f>
        <v>2.6541789088000003E-2</v>
      </c>
      <c r="J130" s="7">
        <f>'Energy input per carrier'!H247*1000</f>
        <v>22.567656361262003</v>
      </c>
    </row>
    <row r="131" spans="1:10" ht="16" customHeight="1" x14ac:dyDescent="0.2">
      <c r="A131" s="57" t="s">
        <v>961</v>
      </c>
      <c r="B131" s="64" t="s">
        <v>941</v>
      </c>
      <c r="C131" s="24" t="s">
        <v>943</v>
      </c>
      <c r="D131" s="25" t="s">
        <v>949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</row>
    <row r="132" spans="1:10" ht="16" customHeight="1" x14ac:dyDescent="0.2">
      <c r="A132" s="57" t="s">
        <v>961</v>
      </c>
      <c r="B132" s="64" t="s">
        <v>941</v>
      </c>
      <c r="C132" s="24" t="s">
        <v>943</v>
      </c>
      <c r="D132" s="25" t="s">
        <v>950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</row>
    <row r="133" spans="1:10" ht="16" customHeight="1" x14ac:dyDescent="0.2">
      <c r="A133" s="58" t="s">
        <v>961</v>
      </c>
      <c r="B133" s="64" t="s">
        <v>941</v>
      </c>
      <c r="C133" s="26" t="s">
        <v>943</v>
      </c>
      <c r="D133" s="27" t="s">
        <v>951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</row>
    <row r="134" spans="1:10" x14ac:dyDescent="0.2">
      <c r="A134" s="28" t="s">
        <v>962</v>
      </c>
      <c r="B134" s="14" t="s">
        <v>935</v>
      </c>
      <c r="C134" s="29" t="s">
        <v>963</v>
      </c>
      <c r="D134" s="30" t="s">
        <v>964</v>
      </c>
      <c r="E134" s="31">
        <v>0</v>
      </c>
      <c r="F134" s="31">
        <v>0</v>
      </c>
      <c r="G134" s="31">
        <v>0</v>
      </c>
      <c r="H134" s="31">
        <v>0</v>
      </c>
      <c r="I134" s="31">
        <v>0</v>
      </c>
      <c r="J134" s="32">
        <v>0</v>
      </c>
    </row>
    <row r="135" spans="1:10" x14ac:dyDescent="0.2">
      <c r="A135" s="33" t="s">
        <v>962</v>
      </c>
      <c r="B135" s="14" t="s">
        <v>952</v>
      </c>
      <c r="C135" s="29" t="s">
        <v>963</v>
      </c>
      <c r="D135" s="30" t="s">
        <v>965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5">
        <v>0</v>
      </c>
    </row>
    <row r="136" spans="1:10" ht="48" customHeight="1" x14ac:dyDescent="0.2">
      <c r="A136" s="34" t="s">
        <v>962</v>
      </c>
      <c r="B136" s="35" t="s">
        <v>957</v>
      </c>
      <c r="C136" s="36" t="s">
        <v>963</v>
      </c>
      <c r="D136" s="37" t="s">
        <v>966</v>
      </c>
      <c r="E136" s="38">
        <v>0</v>
      </c>
      <c r="F136" s="39">
        <v>0</v>
      </c>
      <c r="G136" s="39">
        <v>0</v>
      </c>
      <c r="H136" s="39">
        <v>0</v>
      </c>
      <c r="I136" s="39">
        <v>0</v>
      </c>
      <c r="J136" s="40">
        <v>0</v>
      </c>
    </row>
    <row r="137" spans="1:10" x14ac:dyDescent="0.2">
      <c r="A137" s="41" t="s">
        <v>962</v>
      </c>
      <c r="B137" s="10" t="s">
        <v>957</v>
      </c>
      <c r="C137" s="11" t="s">
        <v>943</v>
      </c>
      <c r="D137" s="11" t="s">
        <v>967</v>
      </c>
      <c r="E137" s="38">
        <v>0</v>
      </c>
      <c r="F137" s="42">
        <v>0</v>
      </c>
      <c r="G137" s="42">
        <v>0</v>
      </c>
      <c r="H137" s="42">
        <v>0</v>
      </c>
      <c r="I137" s="42">
        <v>0</v>
      </c>
      <c r="J137" s="43">
        <v>0</v>
      </c>
    </row>
    <row r="138" spans="1:10" x14ac:dyDescent="0.2">
      <c r="A138" s="33" t="s">
        <v>962</v>
      </c>
      <c r="B138" s="14" t="s">
        <v>958</v>
      </c>
      <c r="C138" s="29" t="s">
        <v>963</v>
      </c>
      <c r="D138" s="29" t="s">
        <v>968</v>
      </c>
      <c r="E138" s="44">
        <v>0</v>
      </c>
      <c r="F138" s="45">
        <v>0</v>
      </c>
      <c r="G138" s="45">
        <v>0</v>
      </c>
      <c r="H138" s="45">
        <v>0</v>
      </c>
      <c r="I138" s="45">
        <v>0</v>
      </c>
      <c r="J138" s="46">
        <v>0</v>
      </c>
    </row>
    <row r="140" spans="1:10" x14ac:dyDescent="0.2">
      <c r="D140" s="7"/>
      <c r="E140" s="7"/>
      <c r="F140" s="7"/>
      <c r="G140" s="7"/>
      <c r="H140" s="7"/>
      <c r="I140" s="7"/>
      <c r="J140" s="7"/>
    </row>
    <row r="141" spans="1:10" x14ac:dyDescent="0.2">
      <c r="D141" s="7"/>
    </row>
    <row r="142" spans="1:10" x14ac:dyDescent="0.2">
      <c r="D142" s="7"/>
      <c r="E142" s="7"/>
      <c r="F142" s="7"/>
      <c r="G142" s="7"/>
      <c r="H142" s="7"/>
      <c r="I142" s="7"/>
      <c r="J142" s="7"/>
    </row>
    <row r="143" spans="1:10" x14ac:dyDescent="0.2">
      <c r="B143" s="92"/>
      <c r="C143" s="92"/>
      <c r="D143" s="92"/>
      <c r="E143" s="92"/>
      <c r="F143" s="92"/>
      <c r="G143" s="92"/>
      <c r="H143" s="92"/>
      <c r="I143" s="92"/>
    </row>
    <row r="144" spans="1:10" ht="16" customHeight="1" x14ac:dyDescent="0.2">
      <c r="B144" s="98" t="s">
        <v>969</v>
      </c>
      <c r="C144" s="72" t="s">
        <v>933</v>
      </c>
      <c r="D144" s="99" t="s">
        <v>1000</v>
      </c>
      <c r="E144" s="3">
        <v>2025</v>
      </c>
      <c r="F144" s="3">
        <v>2030</v>
      </c>
      <c r="G144" s="3">
        <v>2035</v>
      </c>
      <c r="H144" s="3">
        <v>2040</v>
      </c>
      <c r="I144" s="3">
        <v>2045</v>
      </c>
      <c r="J144" s="3">
        <v>2050</v>
      </c>
    </row>
    <row r="145" spans="1:10" x14ac:dyDescent="0.2">
      <c r="A145" s="4" t="s">
        <v>969</v>
      </c>
      <c r="B145" s="6" t="s">
        <v>970</v>
      </c>
      <c r="C145" s="24" t="s">
        <v>943</v>
      </c>
      <c r="D145" s="6" t="s">
        <v>971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</row>
    <row r="146" spans="1:10" x14ac:dyDescent="0.2">
      <c r="A146" s="4" t="s">
        <v>969</v>
      </c>
      <c r="B146" s="9" t="s">
        <v>972</v>
      </c>
      <c r="C146" s="24" t="s">
        <v>943</v>
      </c>
      <c r="D146" s="9" t="s">
        <v>973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</row>
    <row r="147" spans="1:10" x14ac:dyDescent="0.2">
      <c r="A147" s="4" t="s">
        <v>969</v>
      </c>
      <c r="B147" s="9" t="s">
        <v>974</v>
      </c>
      <c r="C147" s="24" t="s">
        <v>943</v>
      </c>
      <c r="D147" s="9" t="s">
        <v>975</v>
      </c>
      <c r="E147" s="9">
        <f>('Tech, Carrier &amp; Sector by Year'!D164+'Tech, Carrier &amp; Sector by Year'!D233+'Tech, Carrier &amp; Sector by Year'!D603+'Tech, Carrier &amp; Sector by Year'!D1170+'Tech, Carrier &amp; Sector by Year'!D1482+'Tech, Carrier &amp; Sector by Year'!D1627)*-1000</f>
        <v>108126.20568493825</v>
      </c>
      <c r="F147" s="9">
        <f>('Tech, Carrier &amp; Sector by Year'!E164+'Tech, Carrier &amp; Sector by Year'!E233+'Tech, Carrier &amp; Sector by Year'!E603+'Tech, Carrier &amp; Sector by Year'!E1170+'Tech, Carrier &amp; Sector by Year'!E1482+'Tech, Carrier &amp; Sector by Year'!E1627)*-1000</f>
        <v>123917.39160578171</v>
      </c>
      <c r="G147" s="9">
        <f>('Tech, Carrier &amp; Sector by Year'!F164+'Tech, Carrier &amp; Sector by Year'!F233+'Tech, Carrier &amp; Sector by Year'!F603+'Tech, Carrier &amp; Sector by Year'!F1170+'Tech, Carrier &amp; Sector by Year'!F1482+'Tech, Carrier &amp; Sector by Year'!F1627)*-1000</f>
        <v>58413.773743268757</v>
      </c>
      <c r="H147" s="9">
        <f>('Tech, Carrier &amp; Sector by Year'!G164+'Tech, Carrier &amp; Sector by Year'!G233+'Tech, Carrier &amp; Sector by Year'!G603+'Tech, Carrier &amp; Sector by Year'!G1170+'Tech, Carrier &amp; Sector by Year'!G1482+'Tech, Carrier &amp; Sector by Year'!G1627)*-1000</f>
        <v>40803.174786763448</v>
      </c>
      <c r="I147" s="9">
        <f>('Tech, Carrier &amp; Sector by Year'!H164+'Tech, Carrier &amp; Sector by Year'!H233+'Tech, Carrier &amp; Sector by Year'!H603+'Tech, Carrier &amp; Sector by Year'!H1170+'Tech, Carrier &amp; Sector by Year'!H1482+'Tech, Carrier &amp; Sector by Year'!H1627)*-1000</f>
        <v>40364.639408351046</v>
      </c>
      <c r="J147" s="9">
        <f>('Tech, Carrier &amp; Sector by Year'!I164+'Tech, Carrier &amp; Sector by Year'!I233+'Tech, Carrier &amp; Sector by Year'!I603+'Tech, Carrier &amp; Sector by Year'!I1170+'Tech, Carrier &amp; Sector by Year'!I1482+'Tech, Carrier &amp; Sector by Year'!I1627)*-1000</f>
        <v>41141.019497999754</v>
      </c>
    </row>
    <row r="148" spans="1:10" x14ac:dyDescent="0.2">
      <c r="A148" s="4" t="s">
        <v>969</v>
      </c>
      <c r="B148" s="9" t="s">
        <v>976</v>
      </c>
      <c r="C148" s="24" t="s">
        <v>943</v>
      </c>
      <c r="D148" s="9" t="s">
        <v>977</v>
      </c>
      <c r="E148" s="9">
        <f>('Tech, Carrier &amp; Sector by Year'!D988+'Tech, Carrier &amp; Sector by Year'!D2022+'Tech, Carrier &amp; Sector by Year'!D2017+'Tech, Carrier &amp; Sector by Year'!D990+'Tech, Carrier &amp; Sector by Year'!D1866)*-1000</f>
        <v>13054.932369999999</v>
      </c>
      <c r="F148" s="9">
        <f>('Tech, Carrier &amp; Sector by Year'!E988+'Tech, Carrier &amp; Sector by Year'!E2022+'Tech, Carrier &amp; Sector by Year'!E2017+'Tech, Carrier &amp; Sector by Year'!E990+'Tech, Carrier &amp; Sector by Year'!E1866)*-1000</f>
        <v>12960.00029</v>
      </c>
      <c r="G148" s="9">
        <f>('Tech, Carrier &amp; Sector by Year'!F988+'Tech, Carrier &amp; Sector by Year'!F2022+'Tech, Carrier &amp; Sector by Year'!F2017+'Tech, Carrier &amp; Sector by Year'!F990+'Tech, Carrier &amp; Sector by Year'!F1866)*-1000</f>
        <v>13094.999830000001</v>
      </c>
      <c r="H148" s="9">
        <f>('Tech, Carrier &amp; Sector by Year'!G988+'Tech, Carrier &amp; Sector by Year'!G2022+'Tech, Carrier &amp; Sector by Year'!G2017+'Tech, Carrier &amp; Sector by Year'!G990+'Tech, Carrier &amp; Sector by Year'!G1866)*-1000</f>
        <v>13094.99999</v>
      </c>
      <c r="I148" s="9">
        <f>('Tech, Carrier &amp; Sector by Year'!H988+'Tech, Carrier &amp; Sector by Year'!H2022+'Tech, Carrier &amp; Sector by Year'!H2017+'Tech, Carrier &amp; Sector by Year'!H990+'Tech, Carrier &amp; Sector by Year'!H1866)*-1000</f>
        <v>0</v>
      </c>
      <c r="J148" s="9">
        <f>('Tech, Carrier &amp; Sector by Year'!I988+'Tech, Carrier &amp; Sector by Year'!I2022+'Tech, Carrier &amp; Sector by Year'!I2017+'Tech, Carrier &amp; Sector by Year'!I990+'Tech, Carrier &amp; Sector by Year'!I1866)*-1000</f>
        <v>0</v>
      </c>
    </row>
    <row r="149" spans="1:10" x14ac:dyDescent="0.2">
      <c r="A149" s="4" t="s">
        <v>969</v>
      </c>
      <c r="B149" s="9" t="s">
        <v>978</v>
      </c>
      <c r="C149" s="24" t="s">
        <v>943</v>
      </c>
      <c r="D149" s="9" t="s">
        <v>979</v>
      </c>
      <c r="E149" s="9">
        <f>('Tech, Carrier &amp; Sector by Year'!D779)*-1000</f>
        <v>8936.6627239999998</v>
      </c>
      <c r="F149" s="9">
        <f>('Tech, Carrier &amp; Sector by Year'!E779)*-1000</f>
        <v>8936.656524</v>
      </c>
      <c r="G149" s="9">
        <f>('Tech, Carrier &amp; Sector by Year'!F779)*-1000</f>
        <v>397.87758150000002</v>
      </c>
      <c r="H149" s="9">
        <f>('Tech, Carrier &amp; Sector by Year'!G779)*-1000</f>
        <v>6697.9480349999994</v>
      </c>
      <c r="I149" s="9">
        <f>('Tech, Carrier &amp; Sector by Year'!H779)*-1000</f>
        <v>4631.6462339999998</v>
      </c>
      <c r="J149" s="9">
        <f>('Tech, Carrier &amp; Sector by Year'!I779)*-1000</f>
        <v>3830.0165480000001</v>
      </c>
    </row>
    <row r="150" spans="1:10" x14ac:dyDescent="0.2">
      <c r="A150" s="4" t="s">
        <v>969</v>
      </c>
      <c r="B150" s="9" t="s">
        <v>980</v>
      </c>
      <c r="C150" s="24" t="s">
        <v>943</v>
      </c>
      <c r="D150" s="9" t="s">
        <v>981</v>
      </c>
      <c r="E150" s="9">
        <f>('Tech, Carrier &amp; Sector by Year'!D742)*-1000</f>
        <v>7.9150114809999998E-3</v>
      </c>
      <c r="F150" s="9">
        <f>('Tech, Carrier &amp; Sector by Year'!E742)*-1000</f>
        <v>0.11840384819999999</v>
      </c>
      <c r="G150" s="9">
        <f>('Tech, Carrier &amp; Sector by Year'!F742)*-1000</f>
        <v>1.426542127E-2</v>
      </c>
      <c r="H150" s="9">
        <f>('Tech, Carrier &amp; Sector by Year'!G742)*-1000</f>
        <v>0</v>
      </c>
      <c r="I150" s="9">
        <f>('Tech, Carrier &amp; Sector by Year'!H742)*-1000</f>
        <v>0</v>
      </c>
      <c r="J150" s="9">
        <f>('Tech, Carrier &amp; Sector by Year'!I742)*-1000</f>
        <v>3.2099032550000003E-2</v>
      </c>
    </row>
    <row r="151" spans="1:10" x14ac:dyDescent="0.2">
      <c r="A151" s="4" t="s">
        <v>969</v>
      </c>
      <c r="B151" s="47" t="s">
        <v>831</v>
      </c>
      <c r="C151" s="24" t="s">
        <v>943</v>
      </c>
      <c r="D151" s="47" t="s">
        <v>982</v>
      </c>
      <c r="E151" s="9">
        <f>('Tech, Carrier &amp; Sector by Year'!D46+'Tech, Carrier &amp; Sector by Year'!D141)*-1000</f>
        <v>135425.09491000001</v>
      </c>
      <c r="F151" s="9">
        <f>('Tech, Carrier &amp; Sector by Year'!E46+'Tech, Carrier &amp; Sector by Year'!E141)*-1000</f>
        <v>253500.02528999999</v>
      </c>
      <c r="G151" s="9">
        <f>('Tech, Carrier &amp; Sector by Year'!F46+'Tech, Carrier &amp; Sector by Year'!F141)*-1000</f>
        <v>318600.00425</v>
      </c>
      <c r="H151" s="9">
        <f>('Tech, Carrier &amp; Sector by Year'!G46+'Tech, Carrier &amp; Sector by Year'!G141)*-1000</f>
        <v>318599.99998000002</v>
      </c>
      <c r="I151" s="9">
        <f>('Tech, Carrier &amp; Sector by Year'!H46+'Tech, Carrier &amp; Sector by Year'!H141)*-1000</f>
        <v>432231.5049</v>
      </c>
      <c r="J151" s="9">
        <f>('Tech, Carrier &amp; Sector by Year'!I46+'Tech, Carrier &amp; Sector by Year'!I141)*-1000</f>
        <v>431246.9314</v>
      </c>
    </row>
    <row r="152" spans="1:10" x14ac:dyDescent="0.2">
      <c r="A152" s="4" t="s">
        <v>969</v>
      </c>
      <c r="B152" s="47" t="s">
        <v>955</v>
      </c>
      <c r="C152" s="24" t="s">
        <v>943</v>
      </c>
      <c r="D152" s="47" t="s">
        <v>983</v>
      </c>
      <c r="E152" s="9">
        <f>('Tech, Carrier &amp; Sector by Year'!D8+'Tech, Carrier &amp; Sector by Year'!D569+'Tech, Carrier &amp; Sector by Year'!D571+'Tech, Carrier &amp; Sector by Year'!D573+'Tech, Carrier &amp; Sector by Year'!D575)*-1000</f>
        <v>70046.874770000009</v>
      </c>
      <c r="F152" s="9">
        <f>('Tech, Carrier &amp; Sector by Year'!E8+'Tech, Carrier &amp; Sector by Year'!E569+'Tech, Carrier &amp; Sector by Year'!E571+'Tech, Carrier &amp; Sector by Year'!E573+'Tech, Carrier &amp; Sector by Year'!E575)*-1000</f>
        <v>72128.875709092448</v>
      </c>
      <c r="G152" s="9">
        <f>('Tech, Carrier &amp; Sector by Year'!F8+'Tech, Carrier &amp; Sector by Year'!F569+'Tech, Carrier &amp; Sector by Year'!F571+'Tech, Carrier &amp; Sector by Year'!F573+'Tech, Carrier &amp; Sector by Year'!F575)*-1000</f>
        <v>95613.521432902577</v>
      </c>
      <c r="H152" s="9">
        <f>('Tech, Carrier &amp; Sector by Year'!G8+'Tech, Carrier &amp; Sector by Year'!G569+'Tech, Carrier &amp; Sector by Year'!G571+'Tech, Carrier &amp; Sector by Year'!G573+'Tech, Carrier &amp; Sector by Year'!G575)*-1000</f>
        <v>119432.07578649279</v>
      </c>
      <c r="I152" s="9">
        <f>('Tech, Carrier &amp; Sector by Year'!H8+'Tech, Carrier &amp; Sector by Year'!H569+'Tech, Carrier &amp; Sector by Year'!H571+'Tech, Carrier &amp; Sector by Year'!H573+'Tech, Carrier &amp; Sector by Year'!H575)*-1000</f>
        <v>125249.6518073367</v>
      </c>
      <c r="J152" s="9">
        <f>('Tech, Carrier &amp; Sector by Year'!I8+'Tech, Carrier &amp; Sector by Year'!I569+'Tech, Carrier &amp; Sector by Year'!I571+'Tech, Carrier &amp; Sector by Year'!I573+'Tech, Carrier &amp; Sector by Year'!I575)*-1000</f>
        <v>164354.8243089006</v>
      </c>
    </row>
    <row r="153" spans="1:10" x14ac:dyDescent="0.2">
      <c r="A153" s="4" t="s">
        <v>969</v>
      </c>
      <c r="B153" s="9" t="s">
        <v>956</v>
      </c>
      <c r="C153" s="24" t="s">
        <v>943</v>
      </c>
      <c r="D153" s="9" t="s">
        <v>940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</row>
    <row r="154" spans="1:10" x14ac:dyDescent="0.2">
      <c r="A154" s="4" t="s">
        <v>969</v>
      </c>
      <c r="B154" s="9" t="s">
        <v>984</v>
      </c>
      <c r="C154" s="24" t="s">
        <v>943</v>
      </c>
      <c r="D154" s="9" t="s">
        <v>985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</row>
    <row r="155" spans="1:10" x14ac:dyDescent="0.2">
      <c r="A155" s="4" t="s">
        <v>969</v>
      </c>
      <c r="B155" s="9" t="s">
        <v>986</v>
      </c>
      <c r="C155" s="26" t="s">
        <v>943</v>
      </c>
      <c r="D155" s="9" t="s">
        <v>987</v>
      </c>
      <c r="E155" s="9">
        <f>('Tech, Carrier &amp; Sector by Year'!D633+'Tech, Carrier &amp; Sector by Year'!D684)*-1000</f>
        <v>5.0205695506999999E-2</v>
      </c>
      <c r="F155" s="9">
        <f>('Tech, Carrier &amp; Sector by Year'!E633+'Tech, Carrier &amp; Sector by Year'!E684)*-1000</f>
        <v>0.10822484415000001</v>
      </c>
      <c r="G155" s="9">
        <f>('Tech, Carrier &amp; Sector by Year'!F633+'Tech, Carrier &amp; Sector by Year'!F684)*-1000</f>
        <v>0.21857335412999998</v>
      </c>
      <c r="H155" s="9">
        <f>('Tech, Carrier &amp; Sector by Year'!G633+'Tech, Carrier &amp; Sector by Year'!G684)*-1000</f>
        <v>1.3949836274999999E-3</v>
      </c>
      <c r="I155" s="9">
        <f>('Tech, Carrier &amp; Sector by Year'!H633+'Tech, Carrier &amp; Sector by Year'!H684)*-1000</f>
        <v>2.8436302577000003E-2</v>
      </c>
      <c r="J155" s="9">
        <f>('Tech, Carrier &amp; Sector by Year'!I633+'Tech, Carrier &amp; Sector by Year'!I684)*-1000</f>
        <v>0.1125194724</v>
      </c>
    </row>
    <row r="156" spans="1:10" x14ac:dyDescent="0.2">
      <c r="A156" s="4" t="s">
        <v>969</v>
      </c>
      <c r="B156" s="12" t="s">
        <v>988</v>
      </c>
      <c r="C156" s="24" t="s">
        <v>943</v>
      </c>
      <c r="D156" s="12" t="s">
        <v>989</v>
      </c>
      <c r="E156" s="9">
        <f>'Tech, Carrier &amp; Sector by Year'!D943*-1000</f>
        <v>3.054454623E-3</v>
      </c>
      <c r="F156" s="9">
        <f>'Tech, Carrier &amp; Sector by Year'!E943*-1000</f>
        <v>6.6091386269999993E-3</v>
      </c>
      <c r="G156" s="9">
        <f>'Tech, Carrier &amp; Sector by Year'!F943*-1000</f>
        <v>4062.6248130000004</v>
      </c>
      <c r="H156" s="9">
        <f>'Tech, Carrier &amp; Sector by Year'!G943*-1000</f>
        <v>2.492119615</v>
      </c>
      <c r="I156" s="9">
        <f>'Tech, Carrier &amp; Sector by Year'!H943*-1000</f>
        <v>522.09201569999993</v>
      </c>
      <c r="J156" s="9">
        <f>'Tech, Carrier &amp; Sector by Year'!I943*-1000</f>
        <v>349.41353379999998</v>
      </c>
    </row>
    <row r="157" spans="1:10" ht="16" customHeight="1" x14ac:dyDescent="0.2">
      <c r="B157" s="100" t="s">
        <v>990</v>
      </c>
      <c r="C157" s="72" t="s">
        <v>933</v>
      </c>
      <c r="D157" s="97"/>
      <c r="E157" s="93">
        <v>0</v>
      </c>
      <c r="F157" s="93">
        <v>0</v>
      </c>
      <c r="G157" s="93">
        <v>0</v>
      </c>
      <c r="H157" s="93">
        <v>0</v>
      </c>
      <c r="I157" s="93">
        <v>0</v>
      </c>
      <c r="J157" s="93">
        <v>0</v>
      </c>
    </row>
    <row r="158" spans="1:10" x14ac:dyDescent="0.2">
      <c r="A158" s="4" t="s">
        <v>990</v>
      </c>
      <c r="B158" s="6" t="s">
        <v>970</v>
      </c>
      <c r="C158" s="24" t="s">
        <v>943</v>
      </c>
      <c r="D158" s="6" t="s">
        <v>971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</row>
    <row r="159" spans="1:10" x14ac:dyDescent="0.2">
      <c r="A159" s="4" t="s">
        <v>990</v>
      </c>
      <c r="B159" s="9" t="s">
        <v>972</v>
      </c>
      <c r="C159" s="24" t="s">
        <v>943</v>
      </c>
      <c r="D159" s="9" t="s">
        <v>973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</row>
    <row r="160" spans="1:10" x14ac:dyDescent="0.2">
      <c r="A160" s="4" t="s">
        <v>990</v>
      </c>
      <c r="B160" s="9" t="s">
        <v>974</v>
      </c>
      <c r="C160" s="24" t="s">
        <v>943</v>
      </c>
      <c r="D160" s="9" t="s">
        <v>975</v>
      </c>
      <c r="E160" s="9">
        <f>('Tech, Carrier &amp; Sector by Year'!D1628+'Tech, Carrier &amp; Sector by Year'!D1171+'Tech, Carrier &amp; Sector by Year'!D234+'Tech, Carrier &amp; Sector by Year'!D1483)*-1000</f>
        <v>60095.344212417287</v>
      </c>
      <c r="F160" s="9">
        <f>('Tech, Carrier &amp; Sector by Year'!E1628+'Tech, Carrier &amp; Sector by Year'!E1171+'Tech, Carrier &amp; Sector by Year'!E234+'Tech, Carrier &amp; Sector by Year'!E1483)*-1000</f>
        <v>31478.809786807</v>
      </c>
      <c r="G160" s="9">
        <f>('Tech, Carrier &amp; Sector by Year'!F1628+'Tech, Carrier &amp; Sector by Year'!F1171+'Tech, Carrier &amp; Sector by Year'!F234+'Tech, Carrier &amp; Sector by Year'!F1483)*-1000</f>
        <v>4275.9884603089604</v>
      </c>
      <c r="H160" s="9">
        <f>('Tech, Carrier &amp; Sector by Year'!G1628+'Tech, Carrier &amp; Sector by Year'!G1171+'Tech, Carrier &amp; Sector by Year'!G234+'Tech, Carrier &amp; Sector by Year'!G1483)*-1000</f>
        <v>3358.2345361611915</v>
      </c>
      <c r="I160" s="9">
        <f>('Tech, Carrier &amp; Sector by Year'!H1628+'Tech, Carrier &amp; Sector by Year'!H1171+'Tech, Carrier &amp; Sector by Year'!H234+'Tech, Carrier &amp; Sector by Year'!H1483)*-1000</f>
        <v>2322.4191318862459</v>
      </c>
      <c r="J160" s="9">
        <f>('Tech, Carrier &amp; Sector by Year'!I1628+'Tech, Carrier &amp; Sector by Year'!I1171+'Tech, Carrier &amp; Sector by Year'!I234+'Tech, Carrier &amp; Sector by Year'!I1483)*-1000</f>
        <v>2617.486750992945</v>
      </c>
    </row>
    <row r="161" spans="1:10" x14ac:dyDescent="0.2">
      <c r="A161" s="4" t="s">
        <v>990</v>
      </c>
      <c r="B161" s="9" t="s">
        <v>976</v>
      </c>
      <c r="C161" s="24" t="s">
        <v>943</v>
      </c>
      <c r="D161" s="9" t="s">
        <v>977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</row>
    <row r="162" spans="1:10" x14ac:dyDescent="0.2">
      <c r="A162" s="4" t="s">
        <v>990</v>
      </c>
      <c r="B162" s="9" t="s">
        <v>978</v>
      </c>
      <c r="C162" s="24" t="s">
        <v>943</v>
      </c>
      <c r="D162" s="9" t="s">
        <v>979</v>
      </c>
      <c r="E162" s="9">
        <f>'Electricity &amp; Heat'!C31*-1000</f>
        <v>13221.228379999999</v>
      </c>
      <c r="F162" s="9">
        <f>'Electricity &amp; Heat'!D31*-1000</f>
        <v>13221.236429999999</v>
      </c>
      <c r="G162" s="9">
        <f>'Electricity &amp; Heat'!E31*-1000</f>
        <v>588.63763979999999</v>
      </c>
      <c r="H162" s="9">
        <f>'Electricity &amp; Heat'!F31*-1000</f>
        <v>9909.1913010000007</v>
      </c>
      <c r="I162" s="9">
        <f>'Electricity &amp; Heat'!G31*-1000</f>
        <v>6852.2282310000001</v>
      </c>
      <c r="J162" s="9">
        <f>'Electricity &amp; Heat'!H31*-1000</f>
        <v>5666.2729829999998</v>
      </c>
    </row>
    <row r="163" spans="1:10" x14ac:dyDescent="0.2">
      <c r="A163" s="4" t="s">
        <v>990</v>
      </c>
      <c r="B163" s="9" t="s">
        <v>980</v>
      </c>
      <c r="C163" s="24" t="s">
        <v>943</v>
      </c>
      <c r="D163" s="9" t="s">
        <v>981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</row>
    <row r="164" spans="1:10" x14ac:dyDescent="0.2">
      <c r="A164" s="4" t="s">
        <v>990</v>
      </c>
      <c r="B164" s="9" t="s">
        <v>831</v>
      </c>
      <c r="C164" s="24" t="s">
        <v>943</v>
      </c>
      <c r="D164" s="9" t="s">
        <v>982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</row>
    <row r="165" spans="1:10" x14ac:dyDescent="0.2">
      <c r="A165" s="4" t="s">
        <v>990</v>
      </c>
      <c r="B165" s="9" t="s">
        <v>955</v>
      </c>
      <c r="C165" s="24" t="s">
        <v>943</v>
      </c>
      <c r="D165" s="9" t="s">
        <v>983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</row>
    <row r="166" spans="1:10" x14ac:dyDescent="0.2">
      <c r="A166" s="4" t="s">
        <v>990</v>
      </c>
      <c r="B166" s="9" t="s">
        <v>956</v>
      </c>
      <c r="C166" s="26" t="s">
        <v>943</v>
      </c>
      <c r="D166" s="9" t="s">
        <v>940</v>
      </c>
      <c r="E166" s="9">
        <f>('Tech, Carrier &amp; Sector by Year'!D169+'Tech, Carrier &amp; Sector by Year'!D788+'Tech, Carrier &amp; Sector by Year'!D830+'Tech, Carrier &amp; Sector by Year'!D1363+'Tech, Carrier &amp; Sector by Year'!D1492+'Tech, Carrier &amp; Sector by Year'!D1538)*1000</f>
        <v>16574.609090482722</v>
      </c>
      <c r="F166" s="9">
        <f>('Tech, Carrier &amp; Sector by Year'!E169+'Tech, Carrier &amp; Sector by Year'!E788+'Tech, Carrier &amp; Sector by Year'!E830+'Tech, Carrier &amp; Sector by Year'!E1363+'Tech, Carrier &amp; Sector by Year'!E1492+'Tech, Carrier &amp; Sector by Year'!E1538)*1000</f>
        <v>17000.001182838001</v>
      </c>
      <c r="G166" s="9">
        <f>('Tech, Carrier &amp; Sector by Year'!F169+'Tech, Carrier &amp; Sector by Year'!F788+'Tech, Carrier &amp; Sector by Year'!F830+'Tech, Carrier &amp; Sector by Year'!F1363+'Tech, Carrier &amp; Sector by Year'!F1492+'Tech, Carrier &amp; Sector by Year'!F1538)*1000</f>
        <v>25200.024908510626</v>
      </c>
      <c r="H166" s="9">
        <f>('Tech, Carrier &amp; Sector by Year'!G169+'Tech, Carrier &amp; Sector by Year'!G788+'Tech, Carrier &amp; Sector by Year'!G830+'Tech, Carrier &amp; Sector by Year'!G1363+'Tech, Carrier &amp; Sector by Year'!G1492+'Tech, Carrier &amp; Sector by Year'!G1538)*1000</f>
        <v>27360.040940741492</v>
      </c>
      <c r="I166" s="9">
        <f>('Tech, Carrier &amp; Sector by Year'!H169+'Tech, Carrier &amp; Sector by Year'!H788+'Tech, Carrier &amp; Sector by Year'!H830+'Tech, Carrier &amp; Sector by Year'!H1363+'Tech, Carrier &amp; Sector by Year'!H1492+'Tech, Carrier &amp; Sector by Year'!H1538)*1000</f>
        <v>25488.01782865628</v>
      </c>
      <c r="J166" s="9">
        <f>('Tech, Carrier &amp; Sector by Year'!I169+'Tech, Carrier &amp; Sector by Year'!I788+'Tech, Carrier &amp; Sector by Year'!I830+'Tech, Carrier &amp; Sector by Year'!I1363+'Tech, Carrier &amp; Sector by Year'!I1492+'Tech, Carrier &amp; Sector by Year'!I1538)*1000</f>
        <v>29590.391390039858</v>
      </c>
    </row>
    <row r="167" spans="1:10" x14ac:dyDescent="0.2">
      <c r="A167" s="4" t="s">
        <v>990</v>
      </c>
      <c r="B167" s="9" t="s">
        <v>984</v>
      </c>
      <c r="C167" s="26" t="s">
        <v>943</v>
      </c>
      <c r="D167" s="9" t="s">
        <v>985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</row>
    <row r="168" spans="1:10" x14ac:dyDescent="0.2">
      <c r="A168" s="4" t="s">
        <v>990</v>
      </c>
      <c r="B168" s="9" t="s">
        <v>986</v>
      </c>
      <c r="C168" s="26" t="s">
        <v>943</v>
      </c>
      <c r="D168" s="9" t="s">
        <v>987</v>
      </c>
      <c r="E168" s="9">
        <f>('Tech, Carrier &amp; Sector by Year'!D634)*-1000</f>
        <v>3.8307373459999995E-2</v>
      </c>
      <c r="F168" s="9">
        <f>('Tech, Carrier &amp; Sector by Year'!E634)*-1000</f>
        <v>9.453336356E-2</v>
      </c>
      <c r="G168" s="9">
        <f>('Tech, Carrier &amp; Sector by Year'!F634)*-1000</f>
        <v>0.2463694682</v>
      </c>
      <c r="H168" s="9">
        <f>('Tech, Carrier &amp; Sector by Year'!G634)*-1000</f>
        <v>2.3235464269999997E-3</v>
      </c>
      <c r="I168" s="9">
        <f>('Tech, Carrier &amp; Sector by Year'!H634)*-1000</f>
        <v>2.7612454250000001E-2</v>
      </c>
      <c r="J168" s="9">
        <f>('Tech, Carrier &amp; Sector by Year'!I634)*-1000</f>
        <v>6.1223800259999996E-2</v>
      </c>
    </row>
    <row r="169" spans="1:10" x14ac:dyDescent="0.2">
      <c r="A169" s="4" t="s">
        <v>990</v>
      </c>
      <c r="B169" s="12" t="s">
        <v>988</v>
      </c>
      <c r="C169" s="26" t="s">
        <v>943</v>
      </c>
      <c r="D169" s="12" t="s">
        <v>989</v>
      </c>
      <c r="E169" s="12">
        <f>'Tech, Carrier &amp; Sector by Year'!D945*-1000</f>
        <v>7.8235003380000003E-4</v>
      </c>
      <c r="F169" s="12">
        <f>'Tech, Carrier &amp; Sector by Year'!E945*-1000</f>
        <v>3.4383363460000001E-3</v>
      </c>
      <c r="G169" s="12">
        <f>'Tech, Carrier &amp; Sector by Year'!F945*-1000</f>
        <v>1073.123255</v>
      </c>
      <c r="H169" s="12">
        <f>'Tech, Carrier &amp; Sector by Year'!G945*-1000</f>
        <v>0.65828155150000001</v>
      </c>
      <c r="I169" s="12">
        <f>'Tech, Carrier &amp; Sector by Year'!H945*-1000</f>
        <v>137.90811720000002</v>
      </c>
      <c r="J169" s="12">
        <f>'Tech, Carrier &amp; Sector by Year'!I945*-1000</f>
        <v>92.296438850000001</v>
      </c>
    </row>
    <row r="170" spans="1:10" ht="16" x14ac:dyDescent="0.2">
      <c r="A170"/>
      <c r="B170" s="98" t="s">
        <v>1005</v>
      </c>
      <c r="C170" s="72" t="s">
        <v>933</v>
      </c>
      <c r="D170" s="99" t="s">
        <v>1000</v>
      </c>
    </row>
    <row r="171" spans="1:10" ht="16" x14ac:dyDescent="0.2">
      <c r="A171" s="4" t="s">
        <v>1004</v>
      </c>
      <c r="B171" s="12" t="s">
        <v>994</v>
      </c>
      <c r="C171" s="26" t="s">
        <v>943</v>
      </c>
      <c r="D171" s="12" t="s">
        <v>1002</v>
      </c>
      <c r="E171">
        <f>('Tech, Carrier &amp; Sector by Year'!D16+'Tech, Carrier &amp; Sector by Year'!D49+'Tech, Carrier &amp; Sector by Year'!D669+'Tech, Carrier &amp; Sector by Year'!D1030+'Tech, Carrier &amp; Sector by Year'!D1034+'Tech, Carrier &amp; Sector by Year'!D1038+'Tech, Carrier &amp; Sector by Year'!D1046+'Tech, Carrier &amp; Sector by Year'!D1858+'Tech, Carrier &amp; Sector by Year'!D1974)*-1000</f>
        <v>54163.086714659039</v>
      </c>
      <c r="F171">
        <f>('Tech, Carrier &amp; Sector by Year'!E16+'Tech, Carrier &amp; Sector by Year'!E49+'Tech, Carrier &amp; Sector by Year'!E669+'Tech, Carrier &amp; Sector by Year'!E1030+'Tech, Carrier &amp; Sector by Year'!E1034+'Tech, Carrier &amp; Sector by Year'!E1038+'Tech, Carrier &amp; Sector by Year'!E1046+'Tech, Carrier &amp; Sector by Year'!E1858+'Tech, Carrier &amp; Sector by Year'!E1974)*-1000</f>
        <v>60006.615232972239</v>
      </c>
      <c r="G171">
        <f>('Tech, Carrier &amp; Sector by Year'!F16+'Tech, Carrier &amp; Sector by Year'!F49+'Tech, Carrier &amp; Sector by Year'!F669+'Tech, Carrier &amp; Sector by Year'!F1030+'Tech, Carrier &amp; Sector by Year'!F1034+'Tech, Carrier &amp; Sector by Year'!F1038+'Tech, Carrier &amp; Sector by Year'!F1046+'Tech, Carrier &amp; Sector by Year'!F1858+'Tech, Carrier &amp; Sector by Year'!F1974)*-1000</f>
        <v>58965.857889257255</v>
      </c>
      <c r="H171">
        <f>('Tech, Carrier &amp; Sector by Year'!G16+'Tech, Carrier &amp; Sector by Year'!G49+'Tech, Carrier &amp; Sector by Year'!G669+'Tech, Carrier &amp; Sector by Year'!G1030+'Tech, Carrier &amp; Sector by Year'!G1034+'Tech, Carrier &amp; Sector by Year'!G1038+'Tech, Carrier &amp; Sector by Year'!G1046+'Tech, Carrier &amp; Sector by Year'!G1858+'Tech, Carrier &amp; Sector by Year'!G1974)*-1000</f>
        <v>59768.268644310723</v>
      </c>
      <c r="I171">
        <f>('Tech, Carrier &amp; Sector by Year'!H16+'Tech, Carrier &amp; Sector by Year'!H49+'Tech, Carrier &amp; Sector by Year'!H669+'Tech, Carrier &amp; Sector by Year'!H1030+'Tech, Carrier &amp; Sector by Year'!H1034+'Tech, Carrier &amp; Sector by Year'!H1038+'Tech, Carrier &amp; Sector by Year'!H1046+'Tech, Carrier &amp; Sector by Year'!H1858+'Tech, Carrier &amp; Sector by Year'!H1974)*-1000</f>
        <v>28526.564340600115</v>
      </c>
      <c r="J171">
        <f>('Tech, Carrier &amp; Sector by Year'!I16+'Tech, Carrier &amp; Sector by Year'!I49+'Tech, Carrier &amp; Sector by Year'!I669+'Tech, Carrier &amp; Sector by Year'!I1030+'Tech, Carrier &amp; Sector by Year'!I1034+'Tech, Carrier &amp; Sector by Year'!I1038+'Tech, Carrier &amp; Sector by Year'!I1046+'Tech, Carrier &amp; Sector by Year'!I1858+'Tech, Carrier &amp; Sector by Year'!I1974)*-1000</f>
        <v>17527.385868805024</v>
      </c>
    </row>
    <row r="172" spans="1:10" ht="16" x14ac:dyDescent="0.2">
      <c r="A172" t="s">
        <v>1004</v>
      </c>
      <c r="B172" t="s">
        <v>995</v>
      </c>
      <c r="C172" s="26" t="s">
        <v>943</v>
      </c>
      <c r="D172" t="s">
        <v>1001</v>
      </c>
      <c r="E172">
        <f>('Tech, Carrier &amp; Sector by Year'!D1356+'Tech, Carrier &amp; Sector by Year'!D1358+'Tech, Carrier &amp; Sector by Year'!D1360+'Tech, Carrier &amp; Sector by Year'!D1377)*-1000</f>
        <v>0</v>
      </c>
      <c r="F172">
        <f>('Tech, Carrier &amp; Sector by Year'!E1356+'Tech, Carrier &amp; Sector by Year'!E1358+'Tech, Carrier &amp; Sector by Year'!E1360+'Tech, Carrier &amp; Sector by Year'!E1377)*-1000</f>
        <v>9.2496428544000003E-2</v>
      </c>
      <c r="G172">
        <f>('Tech, Carrier &amp; Sector by Year'!F1356+'Tech, Carrier &amp; Sector by Year'!F1358+'Tech, Carrier &amp; Sector by Year'!F1360+'Tech, Carrier &amp; Sector by Year'!F1377)*-1000</f>
        <v>8.8846420251999986E-2</v>
      </c>
      <c r="H172">
        <f>('Tech, Carrier &amp; Sector by Year'!G1356+'Tech, Carrier &amp; Sector by Year'!G1358+'Tech, Carrier &amp; Sector by Year'!G1360+'Tech, Carrier &amp; Sector by Year'!G1377)*-1000</f>
        <v>1.6307926202000001E-3</v>
      </c>
      <c r="I172">
        <f>('Tech, Carrier &amp; Sector by Year'!H1356+'Tech, Carrier &amp; Sector by Year'!H1358+'Tech, Carrier &amp; Sector by Year'!H1360+'Tech, Carrier &amp; Sector by Year'!H1377)*-1000</f>
        <v>28373.362842692928</v>
      </c>
      <c r="J172">
        <f>('Tech, Carrier &amp; Sector by Year'!I1356+'Tech, Carrier &amp; Sector by Year'!I1358+'Tech, Carrier &amp; Sector by Year'!I1360+'Tech, Carrier &amp; Sector by Year'!I1377)*-1000</f>
        <v>38458.968799639799</v>
      </c>
    </row>
    <row r="173" spans="1:10" ht="16" x14ac:dyDescent="0.2">
      <c r="A173" t="s">
        <v>1004</v>
      </c>
      <c r="B173" t="s">
        <v>997</v>
      </c>
      <c r="C173" s="26" t="s">
        <v>943</v>
      </c>
      <c r="D173" t="s">
        <v>1003</v>
      </c>
      <c r="E173" s="4">
        <f>E171+E172</f>
        <v>54163.086714659039</v>
      </c>
      <c r="F173" s="4">
        <f t="shared" ref="F173:I173" si="0">F171+F172</f>
        <v>60006.707729400783</v>
      </c>
      <c r="G173" s="4">
        <f t="shared" si="0"/>
        <v>58965.946735677506</v>
      </c>
      <c r="H173" s="4">
        <f t="shared" si="0"/>
        <v>59768.270275103343</v>
      </c>
      <c r="I173" s="4">
        <f t="shared" si="0"/>
        <v>56899.927183293039</v>
      </c>
      <c r="J173" s="4">
        <f>J171+J172</f>
        <v>55986.354668444823</v>
      </c>
    </row>
    <row r="176" spans="1:10" x14ac:dyDescent="0.2">
      <c r="A176" s="58" t="s">
        <v>961</v>
      </c>
      <c r="B176" s="9" t="s">
        <v>974</v>
      </c>
      <c r="C176" s="26" t="s">
        <v>943</v>
      </c>
      <c r="D176" s="25" t="s">
        <v>937</v>
      </c>
    </row>
    <row r="177" spans="1:10" x14ac:dyDescent="0.2">
      <c r="A177" s="58" t="s">
        <v>961</v>
      </c>
      <c r="B177" s="9" t="s">
        <v>974</v>
      </c>
      <c r="C177" s="26" t="s">
        <v>943</v>
      </c>
      <c r="D177" s="25" t="s">
        <v>939</v>
      </c>
    </row>
    <row r="178" spans="1:10" x14ac:dyDescent="0.2">
      <c r="A178" s="58" t="s">
        <v>961</v>
      </c>
      <c r="B178" s="9" t="s">
        <v>974</v>
      </c>
      <c r="C178" s="26" t="s">
        <v>943</v>
      </c>
      <c r="D178" s="25" t="s">
        <v>941</v>
      </c>
    </row>
    <row r="179" spans="1:10" x14ac:dyDescent="0.2">
      <c r="A179" s="58" t="s">
        <v>961</v>
      </c>
      <c r="B179" s="9" t="s">
        <v>974</v>
      </c>
      <c r="C179" s="26" t="s">
        <v>943</v>
      </c>
      <c r="D179" s="25" t="s">
        <v>944</v>
      </c>
      <c r="E179" s="4">
        <f>('Tech, Carrier &amp; Sector by Year'!D163+'Tech, Carrier &amp; Sector by Year'!D232+'Tech, Carrier &amp; Sector by Year'!D1626+'Tech, Carrier &amp; Sector by Year'!D1169+'Tech, Carrier &amp; Sector by Year'!D1173+'Tech, Carrier &amp; Sector by Year'!D1481)*1000</f>
        <v>227308.39619323766</v>
      </c>
      <c r="F179" s="4">
        <f>('Tech, Carrier &amp; Sector by Year'!E163+'Tech, Carrier &amp; Sector by Year'!E232+'Tech, Carrier &amp; Sector by Year'!E1626+'Tech, Carrier &amp; Sector by Year'!E1169+'Tech, Carrier &amp; Sector by Year'!E1173+'Tech, Carrier &amp; Sector by Year'!E1481)*1000</f>
        <v>220584.61700450053</v>
      </c>
      <c r="G179" s="4">
        <f>('Tech, Carrier &amp; Sector by Year'!F163+'Tech, Carrier &amp; Sector by Year'!F232+'Tech, Carrier &amp; Sector by Year'!F1626+'Tech, Carrier &amp; Sector by Year'!F1169+'Tech, Carrier &amp; Sector by Year'!F1173+'Tech, Carrier &amp; Sector by Year'!F1481)*1000</f>
        <v>97366.847303482558</v>
      </c>
      <c r="H179" s="4">
        <f>('Tech, Carrier &amp; Sector by Year'!G163+'Tech, Carrier &amp; Sector by Year'!G232+'Tech, Carrier &amp; Sector by Year'!G1626+'Tech, Carrier &amp; Sector by Year'!G1169+'Tech, Carrier &amp; Sector by Year'!G1173+'Tech, Carrier &amp; Sector by Year'!G1481)*1000</f>
        <v>68542.187959757168</v>
      </c>
      <c r="I179" s="4">
        <f>('Tech, Carrier &amp; Sector by Year'!H163+'Tech, Carrier &amp; Sector by Year'!H232+'Tech, Carrier &amp; Sector by Year'!H1626+'Tech, Carrier &amp; Sector by Year'!H1169+'Tech, Carrier &amp; Sector by Year'!H1173+'Tech, Carrier &amp; Sector by Year'!H1481)*1000</f>
        <v>66830.664214698059</v>
      </c>
      <c r="J179" s="4">
        <f>('Tech, Carrier &amp; Sector by Year'!I163+'Tech, Carrier &amp; Sector by Year'!I232+'Tech, Carrier &amp; Sector by Year'!I1626+'Tech, Carrier &amp; Sector by Year'!I1169+'Tech, Carrier &amp; Sector by Year'!I1173+'Tech, Carrier &amp; Sector by Year'!I1481)*1000</f>
        <v>68411.812497699837</v>
      </c>
    </row>
    <row r="180" spans="1:10" x14ac:dyDescent="0.2">
      <c r="A180" s="58" t="s">
        <v>961</v>
      </c>
      <c r="B180" s="9" t="s">
        <v>974</v>
      </c>
      <c r="C180" s="26" t="s">
        <v>943</v>
      </c>
      <c r="D180" s="25" t="s">
        <v>945</v>
      </c>
    </row>
    <row r="181" spans="1:10" x14ac:dyDescent="0.2">
      <c r="A181" s="58" t="s">
        <v>961</v>
      </c>
      <c r="B181" s="9" t="s">
        <v>974</v>
      </c>
      <c r="C181" s="26" t="s">
        <v>943</v>
      </c>
      <c r="D181" s="25" t="s">
        <v>946</v>
      </c>
    </row>
    <row r="182" spans="1:10" x14ac:dyDescent="0.2">
      <c r="A182" s="58" t="s">
        <v>961</v>
      </c>
      <c r="B182" s="9" t="s">
        <v>974</v>
      </c>
      <c r="C182" s="26" t="s">
        <v>943</v>
      </c>
      <c r="D182" s="25" t="s">
        <v>947</v>
      </c>
    </row>
    <row r="183" spans="1:10" x14ac:dyDescent="0.2">
      <c r="A183" s="58" t="s">
        <v>961</v>
      </c>
      <c r="B183" s="9" t="s">
        <v>974</v>
      </c>
      <c r="C183" s="26" t="s">
        <v>943</v>
      </c>
      <c r="D183" s="25" t="s">
        <v>948</v>
      </c>
    </row>
    <row r="184" spans="1:10" x14ac:dyDescent="0.2">
      <c r="A184" s="58" t="s">
        <v>961</v>
      </c>
      <c r="B184" s="9" t="s">
        <v>974</v>
      </c>
      <c r="C184" s="26" t="s">
        <v>943</v>
      </c>
      <c r="D184" s="25" t="s">
        <v>949</v>
      </c>
    </row>
    <row r="185" spans="1:10" x14ac:dyDescent="0.2">
      <c r="A185" s="58" t="s">
        <v>961</v>
      </c>
      <c r="B185" s="9" t="s">
        <v>974</v>
      </c>
      <c r="C185" s="26" t="s">
        <v>943</v>
      </c>
      <c r="D185" s="25" t="s">
        <v>950</v>
      </c>
    </row>
    <row r="186" spans="1:10" x14ac:dyDescent="0.2">
      <c r="A186" s="58" t="s">
        <v>961</v>
      </c>
      <c r="B186" s="9" t="s">
        <v>974</v>
      </c>
      <c r="C186" s="26" t="s">
        <v>943</v>
      </c>
      <c r="D186" s="27" t="s">
        <v>951</v>
      </c>
      <c r="E186" s="4">
        <f>'Tech, Carrier &amp; Sector by Year'!D604*1000</f>
        <v>0</v>
      </c>
      <c r="F186" s="4">
        <f>'Tech, Carrier &amp; Sector by Year'!E604*1000</f>
        <v>8.9397182510000006E-2</v>
      </c>
      <c r="G186" s="4">
        <f>'Tech, Carrier &amp; Sector by Year'!F604*1000</f>
        <v>6.8509648120000002E-2</v>
      </c>
      <c r="H186" s="4">
        <f>'Tech, Carrier &amp; Sector by Year'!G604*1000</f>
        <v>3.9094113920000001E-4</v>
      </c>
      <c r="I186" s="4">
        <f>'Tech, Carrier &amp; Sector by Year'!H604*1000</f>
        <v>0</v>
      </c>
      <c r="J186" s="4">
        <f>'Tech, Carrier &amp; Sector by Year'!I604*1000</f>
        <v>0</v>
      </c>
    </row>
    <row r="187" spans="1:10" x14ac:dyDescent="0.2">
      <c r="A187" s="58" t="s">
        <v>961</v>
      </c>
      <c r="B187" s="9" t="s">
        <v>978</v>
      </c>
      <c r="C187" s="26" t="s">
        <v>943</v>
      </c>
      <c r="D187" s="25" t="s">
        <v>937</v>
      </c>
    </row>
    <row r="188" spans="1:10" x14ac:dyDescent="0.2">
      <c r="A188" s="58" t="s">
        <v>961</v>
      </c>
      <c r="B188" s="9" t="s">
        <v>978</v>
      </c>
      <c r="C188" s="26" t="s">
        <v>943</v>
      </c>
      <c r="D188" s="25" t="s">
        <v>939</v>
      </c>
    </row>
    <row r="189" spans="1:10" x14ac:dyDescent="0.2">
      <c r="A189" s="58" t="s">
        <v>961</v>
      </c>
      <c r="B189" s="9" t="s">
        <v>978</v>
      </c>
      <c r="C189" s="26" t="s">
        <v>943</v>
      </c>
      <c r="D189" s="25" t="s">
        <v>941</v>
      </c>
    </row>
    <row r="190" spans="1:10" x14ac:dyDescent="0.2">
      <c r="A190" s="58" t="s">
        <v>961</v>
      </c>
      <c r="B190" s="9" t="s">
        <v>978</v>
      </c>
      <c r="C190" s="26" t="s">
        <v>943</v>
      </c>
      <c r="D190" s="25" t="s">
        <v>944</v>
      </c>
    </row>
    <row r="191" spans="1:10" x14ac:dyDescent="0.2">
      <c r="A191" s="58" t="s">
        <v>961</v>
      </c>
      <c r="B191" s="9" t="s">
        <v>978</v>
      </c>
      <c r="C191" s="26" t="s">
        <v>943</v>
      </c>
      <c r="D191" s="25" t="s">
        <v>945</v>
      </c>
    </row>
    <row r="192" spans="1:10" x14ac:dyDescent="0.2">
      <c r="A192" s="58" t="s">
        <v>961</v>
      </c>
      <c r="B192" s="9" t="s">
        <v>978</v>
      </c>
      <c r="C192" s="26" t="s">
        <v>943</v>
      </c>
      <c r="D192" s="25" t="s">
        <v>946</v>
      </c>
      <c r="E192" s="4">
        <f>('Tech, Carrier &amp; Sector by Year'!D777)*1000</f>
        <v>33118.381829999998</v>
      </c>
      <c r="F192" s="4">
        <f>('Tech, Carrier &amp; Sector by Year'!E777)*1000</f>
        <v>33118.402130000002</v>
      </c>
      <c r="G192" s="4">
        <f>('Tech, Carrier &amp; Sector by Year'!F777)*1000</f>
        <v>1474.5018869999999</v>
      </c>
      <c r="H192" s="4">
        <f>('Tech, Carrier &amp; Sector by Year'!G777)*1000</f>
        <v>24821.92827</v>
      </c>
      <c r="I192" s="4">
        <f>('Tech, Carrier &amp; Sector by Year'!H777)*1000</f>
        <v>17164.419620000001</v>
      </c>
      <c r="J192" s="4">
        <f>('Tech, Carrier &amp; Sector by Year'!I777)*1000</f>
        <v>14193.673049999999</v>
      </c>
    </row>
    <row r="193" spans="1:10" x14ac:dyDescent="0.2">
      <c r="A193" s="58" t="s">
        <v>961</v>
      </c>
      <c r="B193" s="9" t="s">
        <v>978</v>
      </c>
      <c r="C193" s="26" t="s">
        <v>943</v>
      </c>
      <c r="D193" s="25" t="s">
        <v>947</v>
      </c>
    </row>
    <row r="194" spans="1:10" x14ac:dyDescent="0.2">
      <c r="A194" s="58" t="s">
        <v>961</v>
      </c>
      <c r="B194" s="9" t="s">
        <v>978</v>
      </c>
      <c r="C194" s="26" t="s">
        <v>943</v>
      </c>
      <c r="D194" s="25" t="s">
        <v>948</v>
      </c>
    </row>
    <row r="195" spans="1:10" x14ac:dyDescent="0.2">
      <c r="A195" s="58" t="s">
        <v>961</v>
      </c>
      <c r="B195" s="9" t="s">
        <v>978</v>
      </c>
      <c r="C195" s="26" t="s">
        <v>943</v>
      </c>
      <c r="D195" s="25" t="s">
        <v>949</v>
      </c>
    </row>
    <row r="196" spans="1:10" x14ac:dyDescent="0.2">
      <c r="A196" s="58" t="s">
        <v>961</v>
      </c>
      <c r="B196" s="9" t="s">
        <v>978</v>
      </c>
      <c r="C196" s="26" t="s">
        <v>943</v>
      </c>
      <c r="D196" s="25" t="s">
        <v>950</v>
      </c>
    </row>
    <row r="197" spans="1:10" x14ac:dyDescent="0.2">
      <c r="A197" s="58" t="s">
        <v>961</v>
      </c>
      <c r="B197" s="9" t="s">
        <v>978</v>
      </c>
      <c r="C197" s="26" t="s">
        <v>943</v>
      </c>
      <c r="D197" s="27" t="s">
        <v>951</v>
      </c>
    </row>
    <row r="198" spans="1:10" x14ac:dyDescent="0.2">
      <c r="A198" s="58" t="s">
        <v>961</v>
      </c>
      <c r="B198" s="9" t="s">
        <v>986</v>
      </c>
      <c r="C198" s="26" t="s">
        <v>943</v>
      </c>
      <c r="D198" s="25" t="s">
        <v>937</v>
      </c>
    </row>
    <row r="199" spans="1:10" x14ac:dyDescent="0.2">
      <c r="A199" s="58" t="s">
        <v>961</v>
      </c>
      <c r="B199" s="9" t="s">
        <v>986</v>
      </c>
      <c r="C199" s="26" t="s">
        <v>943</v>
      </c>
      <c r="D199" s="25" t="s">
        <v>939</v>
      </c>
    </row>
    <row r="200" spans="1:10" x14ac:dyDescent="0.2">
      <c r="A200" s="58" t="s">
        <v>961</v>
      </c>
      <c r="B200" s="9" t="s">
        <v>986</v>
      </c>
      <c r="C200" s="26" t="s">
        <v>943</v>
      </c>
      <c r="D200" s="25" t="s">
        <v>941</v>
      </c>
    </row>
    <row r="201" spans="1:10" x14ac:dyDescent="0.2">
      <c r="A201" s="58" t="s">
        <v>961</v>
      </c>
      <c r="B201" s="9" t="s">
        <v>986</v>
      </c>
      <c r="C201" s="26" t="s">
        <v>943</v>
      </c>
      <c r="D201" s="25" t="s">
        <v>944</v>
      </c>
      <c r="E201" s="4">
        <f>('Tech, Carrier &amp; Sector by Year'!D631+'Tech, Carrier &amp; Sector by Year'!D655)*1000</f>
        <v>2.9438368165700002</v>
      </c>
      <c r="F201" s="4">
        <f>('Tech, Carrier &amp; Sector by Year'!E631+'Tech, Carrier &amp; Sector by Year'!E655)*1000</f>
        <v>0.25776140886000004</v>
      </c>
      <c r="G201" s="4">
        <f>('Tech, Carrier &amp; Sector by Year'!F631+'Tech, Carrier &amp; Sector by Year'!F655)*1000</f>
        <v>563.43627691849997</v>
      </c>
      <c r="H201" s="4">
        <f>('Tech, Carrier &amp; Sector by Year'!G631+'Tech, Carrier &amp; Sector by Year'!G655)*1000</f>
        <v>1.3429241860000002E-2</v>
      </c>
      <c r="I201" s="4">
        <f>('Tech, Carrier &amp; Sector by Year'!H631+'Tech, Carrier &amp; Sector by Year'!H655)*1000</f>
        <v>7.5611340579999992E-2</v>
      </c>
      <c r="J201" s="4">
        <f>('Tech, Carrier &amp; Sector by Year'!I631+'Tech, Carrier &amp; Sector by Year'!I655)*1000</f>
        <v>0.20542421850000001</v>
      </c>
    </row>
    <row r="202" spans="1:10" x14ac:dyDescent="0.2">
      <c r="A202" s="58" t="s">
        <v>961</v>
      </c>
      <c r="B202" s="9" t="s">
        <v>986</v>
      </c>
      <c r="C202" s="26" t="s">
        <v>943</v>
      </c>
      <c r="D202" s="25" t="s">
        <v>945</v>
      </c>
    </row>
    <row r="203" spans="1:10" x14ac:dyDescent="0.2">
      <c r="A203" s="58" t="s">
        <v>961</v>
      </c>
      <c r="B203" s="9" t="s">
        <v>986</v>
      </c>
      <c r="C203" s="26" t="s">
        <v>943</v>
      </c>
      <c r="D203" s="25" t="s">
        <v>946</v>
      </c>
    </row>
    <row r="204" spans="1:10" x14ac:dyDescent="0.2">
      <c r="A204" s="58" t="s">
        <v>961</v>
      </c>
      <c r="B204" s="9" t="s">
        <v>986</v>
      </c>
      <c r="C204" s="26" t="s">
        <v>943</v>
      </c>
      <c r="D204" s="25" t="s">
        <v>947</v>
      </c>
    </row>
    <row r="205" spans="1:10" x14ac:dyDescent="0.2">
      <c r="A205" s="58" t="s">
        <v>961</v>
      </c>
      <c r="B205" s="9" t="s">
        <v>986</v>
      </c>
      <c r="C205" s="26" t="s">
        <v>943</v>
      </c>
      <c r="D205" s="25" t="s">
        <v>948</v>
      </c>
    </row>
    <row r="206" spans="1:10" x14ac:dyDescent="0.2">
      <c r="A206" s="58" t="s">
        <v>961</v>
      </c>
      <c r="B206" s="9" t="s">
        <v>986</v>
      </c>
      <c r="C206" s="26" t="s">
        <v>943</v>
      </c>
      <c r="D206" s="25" t="s">
        <v>949</v>
      </c>
    </row>
    <row r="207" spans="1:10" x14ac:dyDescent="0.2">
      <c r="A207" s="58" t="s">
        <v>961</v>
      </c>
      <c r="B207" s="9" t="s">
        <v>986</v>
      </c>
      <c r="C207" s="26" t="s">
        <v>943</v>
      </c>
      <c r="D207" s="25" t="s">
        <v>950</v>
      </c>
    </row>
    <row r="208" spans="1:10" x14ac:dyDescent="0.2">
      <c r="A208" s="58" t="s">
        <v>961</v>
      </c>
      <c r="B208" s="9" t="s">
        <v>986</v>
      </c>
      <c r="C208" s="26" t="s">
        <v>943</v>
      </c>
      <c r="D208" s="27" t="s">
        <v>951</v>
      </c>
    </row>
    <row r="209" spans="1:10" x14ac:dyDescent="0.2">
      <c r="A209" s="58" t="s">
        <v>961</v>
      </c>
      <c r="B209" s="12" t="s">
        <v>988</v>
      </c>
      <c r="C209" s="26" t="s">
        <v>943</v>
      </c>
      <c r="D209" s="25" t="s">
        <v>937</v>
      </c>
    </row>
    <row r="210" spans="1:10" x14ac:dyDescent="0.2">
      <c r="A210" s="58" t="s">
        <v>961</v>
      </c>
      <c r="B210" s="12" t="s">
        <v>988</v>
      </c>
      <c r="C210" s="26" t="s">
        <v>943</v>
      </c>
      <c r="D210" s="25" t="s">
        <v>939</v>
      </c>
    </row>
    <row r="211" spans="1:10" x14ac:dyDescent="0.2">
      <c r="A211" s="58" t="s">
        <v>961</v>
      </c>
      <c r="B211" s="12" t="s">
        <v>988</v>
      </c>
      <c r="C211" s="26" t="s">
        <v>943</v>
      </c>
      <c r="D211" s="25" t="s">
        <v>941</v>
      </c>
    </row>
    <row r="212" spans="1:10" x14ac:dyDescent="0.2">
      <c r="A212" s="58" t="s">
        <v>961</v>
      </c>
      <c r="B212" s="12" t="s">
        <v>988</v>
      </c>
      <c r="C212" s="26" t="s">
        <v>943</v>
      </c>
      <c r="D212" s="25" t="s">
        <v>944</v>
      </c>
    </row>
    <row r="213" spans="1:10" x14ac:dyDescent="0.2">
      <c r="A213" s="58" t="s">
        <v>961</v>
      </c>
      <c r="B213" s="12" t="s">
        <v>988</v>
      </c>
      <c r="C213" s="26" t="s">
        <v>943</v>
      </c>
      <c r="D213" s="25" t="s">
        <v>945</v>
      </c>
    </row>
    <row r="214" spans="1:10" x14ac:dyDescent="0.2">
      <c r="A214" s="58" t="s">
        <v>961</v>
      </c>
      <c r="B214" s="12" t="s">
        <v>988</v>
      </c>
      <c r="C214" s="26" t="s">
        <v>943</v>
      </c>
      <c r="D214" s="25" t="s">
        <v>946</v>
      </c>
      <c r="E214" s="4">
        <f>('Tech, Carrier &amp; Sector by Year'!D940)*1000</f>
        <v>1.8076184119999998E-2</v>
      </c>
      <c r="F214" s="4">
        <f>('Tech, Carrier &amp; Sector by Year'!E940)*1000</f>
        <v>8.8124445660000009E-2</v>
      </c>
      <c r="G214" s="4">
        <f>('Tech, Carrier &amp; Sector by Year'!F940)*1000</f>
        <v>27504.11318</v>
      </c>
      <c r="H214" s="4">
        <f>('Tech, Carrier &amp; Sector by Year'!G940)*1000</f>
        <v>16.87173417</v>
      </c>
      <c r="I214" s="4">
        <f>('Tech, Carrier &amp; Sector by Year'!H940)*1000</f>
        <v>3534.5804349999999</v>
      </c>
      <c r="J214" s="4">
        <f>('Tech, Carrier &amp; Sector by Year'!I940)*1000</f>
        <v>2365.5546439999998</v>
      </c>
    </row>
    <row r="215" spans="1:10" x14ac:dyDescent="0.2">
      <c r="A215" s="58" t="s">
        <v>961</v>
      </c>
      <c r="B215" s="12" t="s">
        <v>988</v>
      </c>
      <c r="C215" s="26" t="s">
        <v>943</v>
      </c>
      <c r="D215" s="25" t="s">
        <v>947</v>
      </c>
    </row>
    <row r="216" spans="1:10" x14ac:dyDescent="0.2">
      <c r="A216" s="58" t="s">
        <v>961</v>
      </c>
      <c r="B216" s="12" t="s">
        <v>988</v>
      </c>
      <c r="C216" s="26" t="s">
        <v>943</v>
      </c>
      <c r="D216" s="25" t="s">
        <v>948</v>
      </c>
    </row>
    <row r="217" spans="1:10" x14ac:dyDescent="0.2">
      <c r="A217" s="58" t="s">
        <v>961</v>
      </c>
      <c r="B217" s="12" t="s">
        <v>988</v>
      </c>
      <c r="C217" s="26" t="s">
        <v>943</v>
      </c>
      <c r="D217" s="25" t="s">
        <v>949</v>
      </c>
    </row>
    <row r="218" spans="1:10" x14ac:dyDescent="0.2">
      <c r="A218" s="58" t="s">
        <v>961</v>
      </c>
      <c r="B218" s="12" t="s">
        <v>988</v>
      </c>
      <c r="C218" s="26" t="s">
        <v>943</v>
      </c>
      <c r="D218" s="25" t="s">
        <v>950</v>
      </c>
    </row>
    <row r="219" spans="1:10" x14ac:dyDescent="0.2">
      <c r="A219" s="58" t="s">
        <v>961</v>
      </c>
      <c r="B219" s="12" t="s">
        <v>988</v>
      </c>
      <c r="C219" s="26" t="s">
        <v>943</v>
      </c>
      <c r="D219" s="27" t="s">
        <v>951</v>
      </c>
    </row>
  </sheetData>
  <mergeCells count="1">
    <mergeCell ref="A15:J15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1:T2090"/>
  <sheetViews>
    <sheetView topLeftCell="A988" workbookViewId="0"/>
  </sheetViews>
  <sheetFormatPr baseColWidth="10" defaultColWidth="8.83203125" defaultRowHeight="16" x14ac:dyDescent="0.2"/>
  <cols>
    <col min="1" max="1" width="66.33203125" customWidth="1"/>
    <col min="2" max="2" width="26.1640625" customWidth="1"/>
    <col min="3" max="3" width="19.1640625" customWidth="1"/>
    <col min="10" max="10" width="20.33203125" customWidth="1"/>
  </cols>
  <sheetData>
    <row r="1" spans="1:20" x14ac:dyDescent="0.2">
      <c r="A1" s="1" t="s">
        <v>0</v>
      </c>
      <c r="B1" s="1" t="s">
        <v>816</v>
      </c>
      <c r="C1" s="1" t="s">
        <v>1</v>
      </c>
      <c r="D1" s="1" t="s">
        <v>926</v>
      </c>
      <c r="E1" s="1" t="s">
        <v>927</v>
      </c>
      <c r="F1" s="1" t="s">
        <v>928</v>
      </c>
      <c r="G1" s="1" t="s">
        <v>929</v>
      </c>
      <c r="H1" s="1" t="s">
        <v>930</v>
      </c>
      <c r="I1" s="1" t="s">
        <v>931</v>
      </c>
    </row>
    <row r="2" spans="1:20" hidden="1" x14ac:dyDescent="0.2">
      <c r="A2" t="s">
        <v>15</v>
      </c>
      <c r="B2" t="s">
        <v>821</v>
      </c>
      <c r="C2" t="s">
        <v>16</v>
      </c>
      <c r="D2">
        <v>0</v>
      </c>
      <c r="E2">
        <v>-2.8483875490000002E-7</v>
      </c>
      <c r="F2">
        <v>-2.025341848E-7</v>
      </c>
      <c r="G2">
        <v>0</v>
      </c>
      <c r="H2">
        <v>-3.9194613470000001E-7</v>
      </c>
      <c r="I2">
        <v>-3.9479840249999999E-7</v>
      </c>
    </row>
    <row r="3" spans="1:20" hidden="1" x14ac:dyDescent="0.2">
      <c r="A3" t="s">
        <v>15</v>
      </c>
      <c r="B3" t="s">
        <v>825</v>
      </c>
      <c r="C3" t="s">
        <v>16</v>
      </c>
      <c r="D3">
        <v>0</v>
      </c>
      <c r="E3">
        <v>-3.0061006559999998E-7</v>
      </c>
      <c r="F3">
        <v>-3.0241470379999999E-7</v>
      </c>
      <c r="G3">
        <v>0</v>
      </c>
      <c r="H3">
        <v>-6.368573489E-7</v>
      </c>
      <c r="I3">
        <v>-5.923501215E-7</v>
      </c>
    </row>
    <row r="4" spans="1:20" hidden="1" x14ac:dyDescent="0.2">
      <c r="A4" t="s">
        <v>15</v>
      </c>
      <c r="B4" t="s">
        <v>824</v>
      </c>
      <c r="C4" t="s">
        <v>16</v>
      </c>
      <c r="D4">
        <v>0</v>
      </c>
      <c r="E4">
        <v>3.2970598020000002E-7</v>
      </c>
      <c r="F4">
        <v>4.8668062259999996E-7</v>
      </c>
      <c r="G4">
        <v>0</v>
      </c>
      <c r="H4">
        <v>1.088685096E-6</v>
      </c>
      <c r="I4">
        <v>9.5680606710000005E-7</v>
      </c>
    </row>
    <row r="5" spans="1:20" hidden="1" x14ac:dyDescent="0.2">
      <c r="A5" t="s">
        <v>17</v>
      </c>
      <c r="B5" t="s">
        <v>821</v>
      </c>
      <c r="C5" t="s">
        <v>16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20" hidden="1" x14ac:dyDescent="0.2">
      <c r="A6" t="s">
        <v>17</v>
      </c>
      <c r="B6" t="s">
        <v>825</v>
      </c>
      <c r="C6" t="s">
        <v>16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20" hidden="1" x14ac:dyDescent="0.2">
      <c r="A7" t="s">
        <v>17</v>
      </c>
      <c r="B7" t="s">
        <v>824</v>
      </c>
      <c r="C7" t="s">
        <v>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20" hidden="1" x14ac:dyDescent="0.2">
      <c r="A8" t="s">
        <v>18</v>
      </c>
      <c r="B8" t="s">
        <v>821</v>
      </c>
      <c r="C8" t="s">
        <v>16</v>
      </c>
      <c r="D8">
        <v>-37.080362409999999</v>
      </c>
      <c r="E8">
        <v>-29.85976694</v>
      </c>
      <c r="F8">
        <v>-30.326279230000001</v>
      </c>
      <c r="G8">
        <v>-47.02514051</v>
      </c>
      <c r="H8">
        <v>-31.2593979</v>
      </c>
      <c r="I8">
        <v>-48.450140840000003</v>
      </c>
      <c r="J8" s="94"/>
    </row>
    <row r="9" spans="1:20" hidden="1" x14ac:dyDescent="0.2">
      <c r="A9" t="s">
        <v>18</v>
      </c>
      <c r="B9" t="s">
        <v>826</v>
      </c>
      <c r="C9" t="s">
        <v>16</v>
      </c>
      <c r="D9">
        <v>37.08036242</v>
      </c>
      <c r="E9">
        <v>29.85976694</v>
      </c>
      <c r="F9">
        <v>30.326279230000001</v>
      </c>
      <c r="G9">
        <v>47.02514051</v>
      </c>
      <c r="H9">
        <v>31.2593979</v>
      </c>
      <c r="I9">
        <v>48.450140840000003</v>
      </c>
      <c r="J9" s="94"/>
      <c r="L9" s="98" t="s">
        <v>1005</v>
      </c>
      <c r="M9" s="72" t="s">
        <v>933</v>
      </c>
      <c r="N9" s="99" t="s">
        <v>1000</v>
      </c>
      <c r="O9" s="49" t="s">
        <v>926</v>
      </c>
      <c r="P9" s="49" t="s">
        <v>927</v>
      </c>
      <c r="Q9" s="49" t="s">
        <v>928</v>
      </c>
      <c r="R9" s="49" t="s">
        <v>929</v>
      </c>
      <c r="S9" s="49" t="s">
        <v>930</v>
      </c>
      <c r="T9" s="49" t="s">
        <v>931</v>
      </c>
    </row>
    <row r="10" spans="1:20" x14ac:dyDescent="0.2">
      <c r="A10" t="s">
        <v>19</v>
      </c>
      <c r="B10" t="s">
        <v>820</v>
      </c>
      <c r="C10" t="s">
        <v>20</v>
      </c>
      <c r="E10">
        <v>5.3979265969999997E-5</v>
      </c>
      <c r="F10">
        <v>2.053118597E-5</v>
      </c>
      <c r="G10">
        <v>2.0793194079999999E-7</v>
      </c>
      <c r="H10">
        <v>4.614954185E-6</v>
      </c>
      <c r="I10">
        <v>1.4450623029999999E-5</v>
      </c>
      <c r="J10" s="94" t="s">
        <v>991</v>
      </c>
      <c r="K10" s="4" t="s">
        <v>1004</v>
      </c>
      <c r="L10" s="12" t="s">
        <v>994</v>
      </c>
      <c r="M10" s="26" t="s">
        <v>943</v>
      </c>
      <c r="N10" s="12" t="s">
        <v>1002</v>
      </c>
      <c r="O10">
        <f>($D$16+$D$49+$D$669+$D$1030+D1034+D1038+D1046+D1858+D1974)*-1000</f>
        <v>54163.086714659039</v>
      </c>
      <c r="P10">
        <f>(E16+E49+E669+E1030+E1034+E1038+E1046+E1858+E1974)*-1000</f>
        <v>60006.615232972239</v>
      </c>
      <c r="Q10">
        <f>(F16+F49+F669+F1030+F1034+F1038+F1046+F1858+F1974)*-1000</f>
        <v>58965.857889257255</v>
      </c>
      <c r="R10">
        <f>(G16+G49+G669+G1030+G1034+G1038+G1046+G1858+G1974)*-1000</f>
        <v>59768.268644310723</v>
      </c>
      <c r="S10">
        <f>(H16+H49+H669+H1030+H1034+H1038+H1046+H1858+H1974)*-1000</f>
        <v>28526.564340600115</v>
      </c>
      <c r="T10">
        <f>(I16+I49+I669+I1030+I1034+I1038+I1046+I1858+I1974)*-1000</f>
        <v>17527.385868805024</v>
      </c>
    </row>
    <row r="11" spans="1:20" x14ac:dyDescent="0.2">
      <c r="A11" t="s">
        <v>19</v>
      </c>
      <c r="B11" t="s">
        <v>827</v>
      </c>
      <c r="C11" t="s">
        <v>20</v>
      </c>
      <c r="E11">
        <v>-5.3245195059999998E-6</v>
      </c>
      <c r="F11">
        <v>-2.025197976E-6</v>
      </c>
      <c r="G11">
        <v>0</v>
      </c>
      <c r="H11">
        <v>-4.5521948360000002E-7</v>
      </c>
      <c r="I11">
        <v>-1.425410717E-6</v>
      </c>
      <c r="J11" s="95" t="s">
        <v>974</v>
      </c>
      <c r="K11" t="s">
        <v>1004</v>
      </c>
      <c r="L11" t="s">
        <v>995</v>
      </c>
      <c r="M11" s="26" t="s">
        <v>943</v>
      </c>
      <c r="N11" t="s">
        <v>1001</v>
      </c>
      <c r="O11">
        <f t="shared" ref="O11:T11" si="0">(D1356+D1358+D1360+D1377)*-1000</f>
        <v>0</v>
      </c>
      <c r="P11">
        <f t="shared" si="0"/>
        <v>9.2496428544000003E-2</v>
      </c>
      <c r="Q11">
        <f t="shared" si="0"/>
        <v>8.8846420251999986E-2</v>
      </c>
      <c r="R11">
        <f t="shared" si="0"/>
        <v>1.6307926202000001E-3</v>
      </c>
      <c r="S11">
        <f t="shared" si="0"/>
        <v>28373.362842692928</v>
      </c>
      <c r="T11">
        <f t="shared" si="0"/>
        <v>38458.968799639799</v>
      </c>
    </row>
    <row r="12" spans="1:20" x14ac:dyDescent="0.2">
      <c r="A12" t="s">
        <v>19</v>
      </c>
      <c r="B12" t="s">
        <v>821</v>
      </c>
      <c r="C12" t="s">
        <v>20</v>
      </c>
      <c r="E12">
        <v>-3.652132067E-7</v>
      </c>
      <c r="F12">
        <v>-1.2125396170000001E-6</v>
      </c>
      <c r="G12">
        <v>0</v>
      </c>
      <c r="H12">
        <v>-1.891624808E-6</v>
      </c>
      <c r="I12">
        <v>-3.7118601080000001E-6</v>
      </c>
      <c r="J12" s="95" t="s">
        <v>974</v>
      </c>
      <c r="K12" t="s">
        <v>1004</v>
      </c>
      <c r="L12" t="s">
        <v>997</v>
      </c>
      <c r="M12" s="26" t="s">
        <v>943</v>
      </c>
      <c r="N12" t="s">
        <v>1003</v>
      </c>
      <c r="O12">
        <f t="shared" ref="O12:T12" si="1">O10+O11</f>
        <v>54163.086714659039</v>
      </c>
      <c r="P12">
        <f t="shared" si="1"/>
        <v>60006.707729400783</v>
      </c>
      <c r="Q12">
        <f t="shared" si="1"/>
        <v>58965.946735677506</v>
      </c>
      <c r="R12">
        <f t="shared" si="1"/>
        <v>59768.270275103343</v>
      </c>
      <c r="S12">
        <f t="shared" si="1"/>
        <v>56899.927183293039</v>
      </c>
      <c r="T12">
        <f t="shared" si="1"/>
        <v>55986.354668444823</v>
      </c>
    </row>
    <row r="13" spans="1:20" hidden="1" x14ac:dyDescent="0.2">
      <c r="A13" t="s">
        <v>21</v>
      </c>
      <c r="B13" t="s">
        <v>828</v>
      </c>
      <c r="C13" t="s">
        <v>11</v>
      </c>
      <c r="D13">
        <v>0</v>
      </c>
      <c r="E13">
        <v>3.9673630209999998E-4</v>
      </c>
      <c r="F13">
        <v>13.15477606</v>
      </c>
      <c r="G13">
        <v>25.639268319999999</v>
      </c>
      <c r="H13">
        <v>16.749878500000001</v>
      </c>
      <c r="I13">
        <v>15.33429026</v>
      </c>
      <c r="J13" s="94" t="s">
        <v>992</v>
      </c>
    </row>
    <row r="14" spans="1:20" hidden="1" x14ac:dyDescent="0.2">
      <c r="A14" t="s">
        <v>21</v>
      </c>
      <c r="B14" t="s">
        <v>827</v>
      </c>
      <c r="C14" t="s">
        <v>11</v>
      </c>
      <c r="D14">
        <v>0</v>
      </c>
      <c r="E14">
        <v>-2.1040740100000001E-5</v>
      </c>
      <c r="F14">
        <v>-0.68499554780000005</v>
      </c>
      <c r="G14">
        <v>-1.33508798</v>
      </c>
      <c r="H14">
        <v>-0.87219967320000003</v>
      </c>
      <c r="I14">
        <v>-0.79848724530000004</v>
      </c>
      <c r="J14" s="94" t="s">
        <v>993</v>
      </c>
    </row>
    <row r="15" spans="1:20" hidden="1" x14ac:dyDescent="0.2">
      <c r="A15" t="s">
        <v>21</v>
      </c>
      <c r="B15" t="s">
        <v>821</v>
      </c>
      <c r="C15" t="s">
        <v>11</v>
      </c>
      <c r="D15">
        <v>0</v>
      </c>
      <c r="E15">
        <v>1.6779467109999999E-5</v>
      </c>
      <c r="F15">
        <v>0.54811571000000003</v>
      </c>
      <c r="G15">
        <v>1.068302847</v>
      </c>
      <c r="H15">
        <v>0.69791160409999997</v>
      </c>
      <c r="I15">
        <v>0.63892883619999996</v>
      </c>
      <c r="J15" s="94" t="s">
        <v>992</v>
      </c>
    </row>
    <row r="16" spans="1:20" hidden="1" x14ac:dyDescent="0.2">
      <c r="A16" t="s">
        <v>21</v>
      </c>
      <c r="B16" t="s">
        <v>824</v>
      </c>
      <c r="C16" t="s">
        <v>11</v>
      </c>
      <c r="D16">
        <v>0</v>
      </c>
      <c r="E16">
        <v>-3.3672511290000002E-4</v>
      </c>
      <c r="F16">
        <v>-10.96231416</v>
      </c>
      <c r="G16">
        <v>-21.36605694</v>
      </c>
      <c r="H16">
        <v>-13.95823208</v>
      </c>
      <c r="I16">
        <v>-12.77857654</v>
      </c>
      <c r="J16" s="94" t="s">
        <v>996</v>
      </c>
    </row>
    <row r="17" spans="1:10" x14ac:dyDescent="0.2">
      <c r="A17" t="s">
        <v>22</v>
      </c>
      <c r="B17" t="s">
        <v>827</v>
      </c>
      <c r="C17" t="s">
        <v>20</v>
      </c>
      <c r="E17">
        <v>0</v>
      </c>
      <c r="F17">
        <v>0</v>
      </c>
      <c r="G17">
        <v>0</v>
      </c>
      <c r="H17">
        <v>0</v>
      </c>
      <c r="I17">
        <v>0</v>
      </c>
      <c r="J17" s="95" t="s">
        <v>974</v>
      </c>
    </row>
    <row r="18" spans="1:10" x14ac:dyDescent="0.2">
      <c r="A18" t="s">
        <v>22</v>
      </c>
      <c r="B18" t="s">
        <v>821</v>
      </c>
      <c r="C18" t="s">
        <v>20</v>
      </c>
      <c r="E18">
        <v>0</v>
      </c>
      <c r="F18">
        <v>0</v>
      </c>
      <c r="G18">
        <v>0</v>
      </c>
      <c r="H18">
        <v>0</v>
      </c>
      <c r="I18">
        <v>0</v>
      </c>
      <c r="J18" s="94" t="s">
        <v>998</v>
      </c>
    </row>
    <row r="19" spans="1:10" x14ac:dyDescent="0.2">
      <c r="A19" t="s">
        <v>22</v>
      </c>
      <c r="B19" t="s">
        <v>844</v>
      </c>
      <c r="C19" t="s">
        <v>20</v>
      </c>
      <c r="E19">
        <v>0</v>
      </c>
      <c r="F19">
        <v>0</v>
      </c>
      <c r="G19">
        <v>0</v>
      </c>
      <c r="H19">
        <v>0</v>
      </c>
      <c r="I19">
        <v>0</v>
      </c>
      <c r="J19" s="94" t="s">
        <v>998</v>
      </c>
    </row>
    <row r="20" spans="1:10" hidden="1" x14ac:dyDescent="0.2">
      <c r="A20" t="s">
        <v>23</v>
      </c>
      <c r="B20" t="s">
        <v>825</v>
      </c>
      <c r="C20" t="s">
        <v>24</v>
      </c>
      <c r="D20">
        <v>-5.0431666300000002E-5</v>
      </c>
      <c r="E20">
        <v>-1.706970739E-3</v>
      </c>
      <c r="F20">
        <v>-1.3633231030000001E-3</v>
      </c>
      <c r="G20">
        <v>-9.4373294449999996</v>
      </c>
      <c r="H20">
        <v>-14.74170661</v>
      </c>
      <c r="I20">
        <v>-17.73252819</v>
      </c>
      <c r="J20" s="94" t="s">
        <v>318</v>
      </c>
    </row>
    <row r="21" spans="1:10" hidden="1" x14ac:dyDescent="0.2">
      <c r="A21" t="s">
        <v>23</v>
      </c>
      <c r="B21" t="s">
        <v>829</v>
      </c>
      <c r="C21" t="s">
        <v>24</v>
      </c>
      <c r="D21">
        <v>5.0431666300000002E-5</v>
      </c>
      <c r="E21">
        <v>1.706970739E-3</v>
      </c>
      <c r="F21">
        <v>1.3633231030000001E-3</v>
      </c>
      <c r="G21">
        <v>9.4373294449999996</v>
      </c>
      <c r="H21">
        <v>14.74170661</v>
      </c>
      <c r="I21">
        <v>17.73252819</v>
      </c>
      <c r="J21" s="94" t="s">
        <v>999</v>
      </c>
    </row>
    <row r="22" spans="1:10" hidden="1" x14ac:dyDescent="0.2">
      <c r="A22" t="s">
        <v>25</v>
      </c>
      <c r="B22" t="s">
        <v>821</v>
      </c>
      <c r="C22" t="s">
        <v>24</v>
      </c>
      <c r="D22">
        <v>0</v>
      </c>
      <c r="E22">
        <v>-2.594299192E-7</v>
      </c>
      <c r="F22">
        <v>-1.6054678220000001E-7</v>
      </c>
      <c r="G22">
        <v>0</v>
      </c>
      <c r="H22">
        <v>-1.394910085E-6</v>
      </c>
      <c r="I22">
        <v>-2.6027977869999998E-7</v>
      </c>
      <c r="J22" s="94" t="s">
        <v>318</v>
      </c>
    </row>
    <row r="23" spans="1:10" hidden="1" x14ac:dyDescent="0.2">
      <c r="A23" t="s">
        <v>25</v>
      </c>
      <c r="B23" t="s">
        <v>825</v>
      </c>
      <c r="C23" t="s">
        <v>24</v>
      </c>
      <c r="D23">
        <v>0</v>
      </c>
      <c r="E23">
        <v>-2.5932066630000001E-7</v>
      </c>
      <c r="F23">
        <v>-2.341851064E-7</v>
      </c>
      <c r="G23">
        <v>-1.108882807E-7</v>
      </c>
      <c r="H23">
        <v>-2.2666753980000002E-6</v>
      </c>
      <c r="I23">
        <v>-3.7375713920000002E-7</v>
      </c>
      <c r="J23" s="94" t="s">
        <v>976</v>
      </c>
    </row>
    <row r="24" spans="1:10" hidden="1" x14ac:dyDescent="0.2">
      <c r="A24" t="s">
        <v>25</v>
      </c>
      <c r="B24" t="s">
        <v>824</v>
      </c>
      <c r="C24" t="s">
        <v>24</v>
      </c>
      <c r="D24">
        <v>0</v>
      </c>
      <c r="E24">
        <v>2.591191097E-7</v>
      </c>
      <c r="F24">
        <v>3.7003775920000001E-7</v>
      </c>
      <c r="G24">
        <v>1.8956861409999999E-7</v>
      </c>
      <c r="H24">
        <v>3.8749633589999999E-6</v>
      </c>
      <c r="I24">
        <v>5.831073738E-7</v>
      </c>
      <c r="J24" s="96" t="s">
        <v>976</v>
      </c>
    </row>
    <row r="25" spans="1:10" hidden="1" x14ac:dyDescent="0.2">
      <c r="A25" t="s">
        <v>26</v>
      </c>
      <c r="B25" t="s">
        <v>821</v>
      </c>
      <c r="C25" t="s">
        <v>24</v>
      </c>
      <c r="D25">
        <v>7.2727020959999998E-6</v>
      </c>
      <c r="E25">
        <v>4.8629657049999998E-5</v>
      </c>
      <c r="F25">
        <v>4.1408401019999997E-5</v>
      </c>
      <c r="G25">
        <v>5.0047809119999999E-7</v>
      </c>
      <c r="H25">
        <v>1.3344037300000001E-5</v>
      </c>
      <c r="I25">
        <v>3.0030168129999999E-5</v>
      </c>
      <c r="J25" s="95" t="s">
        <v>974</v>
      </c>
    </row>
    <row r="26" spans="1:10" hidden="1" x14ac:dyDescent="0.2">
      <c r="A26" t="s">
        <v>26</v>
      </c>
      <c r="B26" t="s">
        <v>830</v>
      </c>
      <c r="C26" t="s">
        <v>24</v>
      </c>
      <c r="D26">
        <v>1.273177957E-5</v>
      </c>
      <c r="E26">
        <v>9.9401968610000007E-5</v>
      </c>
      <c r="F26">
        <v>7.3425053650000006E-5</v>
      </c>
      <c r="G26">
        <v>8.6072471950000001E-7</v>
      </c>
      <c r="H26">
        <v>2.2949876059999999E-5</v>
      </c>
      <c r="I26">
        <v>5.5732455609999998E-5</v>
      </c>
      <c r="J26" s="94" t="s">
        <v>996</v>
      </c>
    </row>
    <row r="27" spans="1:10" hidden="1" x14ac:dyDescent="0.2">
      <c r="A27" t="s">
        <v>26</v>
      </c>
      <c r="B27" t="s">
        <v>825</v>
      </c>
      <c r="C27" t="s">
        <v>24</v>
      </c>
      <c r="D27">
        <v>-1.9986277999999999E-5</v>
      </c>
      <c r="E27">
        <v>-1.34105503E-4</v>
      </c>
      <c r="F27">
        <v>-1.1253718399999999E-4</v>
      </c>
      <c r="G27">
        <v>-1.3610514290000001E-6</v>
      </c>
      <c r="H27">
        <v>-3.6289118769999997E-5</v>
      </c>
      <c r="I27">
        <v>-8.1532054509999993E-5</v>
      </c>
      <c r="J27" s="94" t="s">
        <v>993</v>
      </c>
    </row>
    <row r="28" spans="1:10" hidden="1" x14ac:dyDescent="0.2">
      <c r="A28" t="s">
        <v>27</v>
      </c>
      <c r="B28" t="s">
        <v>828</v>
      </c>
      <c r="C28" t="s">
        <v>24</v>
      </c>
      <c r="D28">
        <v>0.14328119019999999</v>
      </c>
      <c r="E28">
        <v>0.16541776459999999</v>
      </c>
      <c r="F28">
        <v>0.1944646635</v>
      </c>
      <c r="G28">
        <v>0.1555716976</v>
      </c>
      <c r="H28">
        <v>2.3237689549999999E-2</v>
      </c>
      <c r="I28">
        <v>2.7408766399999998E-6</v>
      </c>
      <c r="J28" s="95" t="s">
        <v>974</v>
      </c>
    </row>
    <row r="29" spans="1:10" hidden="1" x14ac:dyDescent="0.2">
      <c r="A29" t="s">
        <v>27</v>
      </c>
      <c r="B29" t="s">
        <v>821</v>
      </c>
      <c r="C29" t="s">
        <v>24</v>
      </c>
      <c r="D29">
        <v>2.4459984889999999</v>
      </c>
      <c r="E29">
        <v>2.8238954710000002</v>
      </c>
      <c r="F29">
        <v>3.3197678480000001</v>
      </c>
      <c r="G29">
        <v>2.6558142600000001</v>
      </c>
      <c r="H29">
        <v>0.39669803720000002</v>
      </c>
      <c r="I29">
        <v>4.5525305049999999E-5</v>
      </c>
      <c r="J29" s="95" t="s">
        <v>974</v>
      </c>
    </row>
    <row r="30" spans="1:10" hidden="1" x14ac:dyDescent="0.2">
      <c r="A30" t="s">
        <v>27</v>
      </c>
      <c r="B30" t="s">
        <v>830</v>
      </c>
      <c r="C30" t="s">
        <v>24</v>
      </c>
      <c r="D30">
        <v>10.99992685</v>
      </c>
      <c r="E30">
        <v>12.6993828</v>
      </c>
      <c r="F30">
        <v>14.929366720000001</v>
      </c>
      <c r="G30">
        <v>11.94349182</v>
      </c>
      <c r="H30">
        <v>1.7839951549999999</v>
      </c>
      <c r="I30">
        <v>2.081395737E-4</v>
      </c>
      <c r="J30" s="94" t="s">
        <v>976</v>
      </c>
    </row>
    <row r="31" spans="1:10" hidden="1" x14ac:dyDescent="0.2">
      <c r="A31" t="s">
        <v>27</v>
      </c>
      <c r="B31" t="s">
        <v>825</v>
      </c>
      <c r="C31" t="s">
        <v>24</v>
      </c>
      <c r="D31">
        <v>-13.58888033</v>
      </c>
      <c r="E31">
        <v>-15.68830702</v>
      </c>
      <c r="F31">
        <v>-18.443154509999999</v>
      </c>
      <c r="G31">
        <v>-14.754523669999999</v>
      </c>
      <c r="H31">
        <v>-2.203877984</v>
      </c>
      <c r="I31">
        <v>-2.5255976409999998E-4</v>
      </c>
      <c r="J31" s="94" t="s">
        <v>976</v>
      </c>
    </row>
    <row r="32" spans="1:10" hidden="1" x14ac:dyDescent="0.2">
      <c r="A32" t="s">
        <v>28</v>
      </c>
      <c r="B32" t="s">
        <v>828</v>
      </c>
      <c r="C32" t="s">
        <v>24</v>
      </c>
      <c r="D32">
        <v>0</v>
      </c>
      <c r="E32">
        <v>2.7397483749999998E-7</v>
      </c>
      <c r="F32">
        <v>0</v>
      </c>
      <c r="G32">
        <v>0</v>
      </c>
      <c r="H32">
        <v>1.3024366629999999E-6</v>
      </c>
      <c r="I32">
        <v>1.3071412509999999E-7</v>
      </c>
      <c r="J32" s="94" t="s">
        <v>976</v>
      </c>
    </row>
    <row r="33" spans="1:17" hidden="1" x14ac:dyDescent="0.2">
      <c r="A33" t="s">
        <v>28</v>
      </c>
      <c r="B33" t="s">
        <v>821</v>
      </c>
      <c r="C33" t="s">
        <v>24</v>
      </c>
      <c r="D33">
        <v>0</v>
      </c>
      <c r="E33">
        <v>2.665023782E-7</v>
      </c>
      <c r="F33">
        <v>0</v>
      </c>
      <c r="G33">
        <v>0</v>
      </c>
      <c r="H33">
        <v>6.252159878E-7</v>
      </c>
      <c r="I33">
        <v>1.0367534650000001E-7</v>
      </c>
    </row>
    <row r="34" spans="1:17" hidden="1" x14ac:dyDescent="0.2">
      <c r="A34" t="s">
        <v>28</v>
      </c>
      <c r="B34" t="s">
        <v>830</v>
      </c>
      <c r="C34" t="s">
        <v>24</v>
      </c>
      <c r="D34">
        <v>0</v>
      </c>
      <c r="E34">
        <v>1.055144077E-5</v>
      </c>
      <c r="F34">
        <v>1.8203576710000001E-6</v>
      </c>
      <c r="G34">
        <v>1.088307849E-7</v>
      </c>
      <c r="H34">
        <v>2.417343761E-6</v>
      </c>
      <c r="I34">
        <v>1.24968375E-5</v>
      </c>
    </row>
    <row r="35" spans="1:17" hidden="1" x14ac:dyDescent="0.2">
      <c r="A35" t="s">
        <v>28</v>
      </c>
      <c r="B35" t="s">
        <v>825</v>
      </c>
      <c r="C35" t="s">
        <v>24</v>
      </c>
      <c r="D35">
        <v>-1.188166004E-7</v>
      </c>
      <c r="E35">
        <v>-3.0750510400000001E-7</v>
      </c>
      <c r="F35">
        <v>-1.642413042E-7</v>
      </c>
      <c r="G35">
        <v>-1.9553380890000001E-7</v>
      </c>
      <c r="H35">
        <v>-4.341247384E-6</v>
      </c>
      <c r="I35">
        <v>-3.3075845159999999E-7</v>
      </c>
    </row>
    <row r="36" spans="1:17" hidden="1" x14ac:dyDescent="0.2">
      <c r="A36" t="s">
        <v>29</v>
      </c>
      <c r="B36" t="s">
        <v>828</v>
      </c>
      <c r="C36" t="s">
        <v>24</v>
      </c>
      <c r="D36">
        <v>0</v>
      </c>
      <c r="E36">
        <v>29.275181239999998</v>
      </c>
      <c r="F36">
        <v>23.40268507</v>
      </c>
      <c r="G36">
        <v>13.15908756</v>
      </c>
      <c r="H36">
        <v>24.338519640000001</v>
      </c>
      <c r="I36">
        <v>16.002826460000001</v>
      </c>
    </row>
    <row r="37" spans="1:17" hidden="1" x14ac:dyDescent="0.2">
      <c r="A37" t="s">
        <v>29</v>
      </c>
      <c r="B37" t="s">
        <v>825</v>
      </c>
      <c r="C37" t="s">
        <v>24</v>
      </c>
      <c r="D37">
        <v>0</v>
      </c>
      <c r="E37">
        <v>-26.991535750000001</v>
      </c>
      <c r="F37">
        <v>-21.593237810000002</v>
      </c>
      <c r="G37">
        <v>-11.97185492</v>
      </c>
      <c r="H37">
        <v>-22.142661839999999</v>
      </c>
      <c r="I37">
        <v>-14.55902743</v>
      </c>
    </row>
    <row r="38" spans="1:17" hidden="1" x14ac:dyDescent="0.2">
      <c r="A38" t="s">
        <v>30</v>
      </c>
      <c r="B38" t="s">
        <v>825</v>
      </c>
      <c r="C38" t="s">
        <v>16</v>
      </c>
      <c r="D38">
        <v>-4.4315562869999997E-5</v>
      </c>
      <c r="E38">
        <v>-7.5582230060000002E-3</v>
      </c>
      <c r="F38">
        <v>-6.140354166E-3</v>
      </c>
      <c r="G38">
        <v>-4.9576441229999997E-3</v>
      </c>
      <c r="H38">
        <v>-8.7762992910000006E-5</v>
      </c>
      <c r="I38">
        <v>-2.1285667580000002E-5</v>
      </c>
    </row>
    <row r="39" spans="1:17" hidden="1" x14ac:dyDescent="0.2">
      <c r="A39" t="s">
        <v>30</v>
      </c>
      <c r="B39" t="s">
        <v>829</v>
      </c>
      <c r="C39" t="s">
        <v>16</v>
      </c>
      <c r="D39">
        <v>4.4315562869999997E-5</v>
      </c>
      <c r="E39">
        <v>7.5582230060000002E-3</v>
      </c>
      <c r="F39">
        <v>6.140354166E-3</v>
      </c>
      <c r="G39">
        <v>4.9576441229999997E-3</v>
      </c>
      <c r="H39">
        <v>8.7762992910000006E-5</v>
      </c>
      <c r="I39">
        <v>2.1285667580000002E-5</v>
      </c>
    </row>
    <row r="40" spans="1:17" hidden="1" x14ac:dyDescent="0.2">
      <c r="A40" t="s">
        <v>31</v>
      </c>
      <c r="B40" t="s">
        <v>828</v>
      </c>
      <c r="C40" t="s">
        <v>16</v>
      </c>
      <c r="D40">
        <v>252.30265170000001</v>
      </c>
      <c r="E40">
        <v>216.22161589999999</v>
      </c>
      <c r="F40">
        <v>195.97316309999999</v>
      </c>
      <c r="G40">
        <v>184.0183984</v>
      </c>
      <c r="H40">
        <v>164.21499729999999</v>
      </c>
      <c r="I40">
        <v>144.41443150000001</v>
      </c>
    </row>
    <row r="41" spans="1:17" hidden="1" x14ac:dyDescent="0.2">
      <c r="A41" t="s">
        <v>31</v>
      </c>
      <c r="B41" t="s">
        <v>825</v>
      </c>
      <c r="C41" t="s">
        <v>16</v>
      </c>
      <c r="D41">
        <v>-235.5214306</v>
      </c>
      <c r="E41">
        <v>-206.3114491</v>
      </c>
      <c r="F41">
        <v>-182.93310389999999</v>
      </c>
      <c r="G41">
        <v>-171.80242770000001</v>
      </c>
      <c r="H41">
        <v>-153.3243483</v>
      </c>
      <c r="I41">
        <v>-134.84628290000001</v>
      </c>
    </row>
    <row r="42" spans="1:17" hidden="1" x14ac:dyDescent="0.2">
      <c r="A42" t="s">
        <v>32</v>
      </c>
      <c r="B42" t="s">
        <v>828</v>
      </c>
      <c r="C42" t="s">
        <v>16</v>
      </c>
      <c r="D42">
        <v>8.3577374509999998E-4</v>
      </c>
      <c r="E42">
        <v>17.332732320000002</v>
      </c>
      <c r="F42">
        <v>28.81774222</v>
      </c>
      <c r="G42">
        <v>14.636463490000001</v>
      </c>
      <c r="H42">
        <v>13.381337950000001</v>
      </c>
      <c r="I42">
        <v>10.87108619</v>
      </c>
    </row>
    <row r="43" spans="1:17" hidden="1" x14ac:dyDescent="0.2">
      <c r="A43" t="s">
        <v>32</v>
      </c>
      <c r="B43" t="s">
        <v>825</v>
      </c>
      <c r="C43" t="s">
        <v>16</v>
      </c>
      <c r="D43">
        <v>-7.8035168979999998E-4</v>
      </c>
      <c r="E43">
        <v>-16.536652759999999</v>
      </c>
      <c r="F43">
        <v>-29.057134420000001</v>
      </c>
      <c r="G43">
        <v>-15.18076791</v>
      </c>
      <c r="H43">
        <v>-14.3379336</v>
      </c>
      <c r="I43">
        <v>-12.652264150000001</v>
      </c>
    </row>
    <row r="44" spans="1:17" hidden="1" x14ac:dyDescent="0.2">
      <c r="A44" t="s">
        <v>33</v>
      </c>
      <c r="B44" t="s">
        <v>825</v>
      </c>
      <c r="C44" t="s">
        <v>16</v>
      </c>
      <c r="D44">
        <v>-5.3735570030000002E-5</v>
      </c>
      <c r="E44">
        <v>-0.22682373080000001</v>
      </c>
      <c r="F44">
        <v>-0.1815122575</v>
      </c>
      <c r="G44">
        <v>-0.1474212332</v>
      </c>
      <c r="H44">
        <v>-4.6541000960000003E-4</v>
      </c>
      <c r="I44">
        <v>-4.9425195239999997E-2</v>
      </c>
    </row>
    <row r="45" spans="1:17" hidden="1" x14ac:dyDescent="0.2">
      <c r="A45" t="s">
        <v>33</v>
      </c>
      <c r="B45" t="s">
        <v>829</v>
      </c>
      <c r="C45" t="s">
        <v>16</v>
      </c>
      <c r="D45">
        <v>5.3735570030000002E-5</v>
      </c>
      <c r="E45">
        <v>0.22682373080000001</v>
      </c>
      <c r="F45">
        <v>0.1815122575</v>
      </c>
      <c r="G45">
        <v>0.1474212332</v>
      </c>
      <c r="H45">
        <v>4.6541000960000003E-4</v>
      </c>
      <c r="I45">
        <v>4.9425195239999997E-2</v>
      </c>
    </row>
    <row r="46" spans="1:17" x14ac:dyDescent="0.2">
      <c r="A46" t="s">
        <v>34</v>
      </c>
      <c r="B46" t="s">
        <v>821</v>
      </c>
      <c r="C46" t="s">
        <v>20</v>
      </c>
      <c r="D46">
        <v>-81.121541390000004</v>
      </c>
      <c r="E46">
        <v>-188.90011010000001</v>
      </c>
      <c r="F46">
        <v>-232.9828115</v>
      </c>
      <c r="G46">
        <v>-232.76681139999999</v>
      </c>
      <c r="H46">
        <v>-306.86544850000001</v>
      </c>
      <c r="I46">
        <v>-307.30750160000002</v>
      </c>
    </row>
    <row r="47" spans="1:17" x14ac:dyDescent="0.2">
      <c r="A47" t="s">
        <v>34</v>
      </c>
      <c r="B47" t="s">
        <v>831</v>
      </c>
      <c r="C47" t="s">
        <v>20</v>
      </c>
      <c r="D47">
        <v>81.121541500000006</v>
      </c>
      <c r="E47">
        <v>188.90011010000001</v>
      </c>
      <c r="F47">
        <v>232.9828115</v>
      </c>
      <c r="G47">
        <v>232.76681139999999</v>
      </c>
      <c r="H47">
        <v>306.86544850000001</v>
      </c>
      <c r="I47">
        <v>307.30750160000002</v>
      </c>
    </row>
    <row r="48" spans="1:17" hidden="1" x14ac:dyDescent="0.2">
      <c r="A48" t="s">
        <v>35</v>
      </c>
      <c r="B48" t="s">
        <v>828</v>
      </c>
      <c r="C48" t="s">
        <v>11</v>
      </c>
      <c r="D48">
        <v>73.120091639999998</v>
      </c>
      <c r="E48">
        <v>1.896461997E-3</v>
      </c>
      <c r="F48">
        <v>8.2263620029999994E-5</v>
      </c>
      <c r="G48">
        <v>2.4136530110000002E-6</v>
      </c>
      <c r="H48">
        <v>1.9786375050000002E-5</v>
      </c>
      <c r="I48">
        <v>8.998492023E-5</v>
      </c>
      <c r="L48" s="48">
        <f t="shared" ref="L48:Q48" si="2">O10/O12</f>
        <v>1</v>
      </c>
      <c r="M48" s="48">
        <f t="shared" si="2"/>
        <v>0.9999984585651831</v>
      </c>
      <c r="N48" s="48">
        <f t="shared" si="2"/>
        <v>0.99999849325881851</v>
      </c>
      <c r="O48" s="48">
        <f t="shared" si="2"/>
        <v>0.99999997271474295</v>
      </c>
      <c r="P48" s="48">
        <f t="shared" si="2"/>
        <v>0.50134623632657449</v>
      </c>
      <c r="Q48" s="48">
        <f t="shared" si="2"/>
        <v>0.31306531694380624</v>
      </c>
    </row>
    <row r="49" spans="1:17" hidden="1" x14ac:dyDescent="0.2">
      <c r="A49" t="s">
        <v>35</v>
      </c>
      <c r="B49" t="s">
        <v>824</v>
      </c>
      <c r="C49" t="s">
        <v>11</v>
      </c>
      <c r="D49">
        <v>-54.163030810000002</v>
      </c>
      <c r="E49">
        <v>-1.4091614839999999E-3</v>
      </c>
      <c r="F49">
        <v>-6.1632286639999993E-5</v>
      </c>
      <c r="G49">
        <v>-1.7880087429999999E-6</v>
      </c>
      <c r="H49">
        <v>-1.46602995E-5</v>
      </c>
      <c r="I49">
        <v>-6.9942638109999995E-5</v>
      </c>
      <c r="L49" s="48">
        <f t="shared" ref="L49:Q49" si="3">O11/O12</f>
        <v>0</v>
      </c>
      <c r="M49" s="48">
        <f t="shared" si="3"/>
        <v>1.5414348169393172E-6</v>
      </c>
      <c r="N49" s="48">
        <f t="shared" si="3"/>
        <v>1.5067411814867584E-6</v>
      </c>
      <c r="O49" s="48">
        <f t="shared" si="3"/>
        <v>2.7285257088648117E-8</v>
      </c>
      <c r="P49" s="48">
        <f t="shared" si="3"/>
        <v>0.49865376367342551</v>
      </c>
      <c r="Q49" s="48">
        <f t="shared" si="3"/>
        <v>0.68693468305619376</v>
      </c>
    </row>
    <row r="50" spans="1:17" hidden="1" x14ac:dyDescent="0.2">
      <c r="A50" t="s">
        <v>36</v>
      </c>
      <c r="B50" t="s">
        <v>834</v>
      </c>
      <c r="C50" t="s">
        <v>2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17" hidden="1" x14ac:dyDescent="0.2">
      <c r="A51" t="s">
        <v>36</v>
      </c>
      <c r="B51" t="s">
        <v>844</v>
      </c>
      <c r="C51" t="s">
        <v>2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17" hidden="1" x14ac:dyDescent="0.2">
      <c r="A52" t="s">
        <v>37</v>
      </c>
      <c r="B52" t="s">
        <v>832</v>
      </c>
      <c r="C52" t="s">
        <v>2</v>
      </c>
      <c r="D52">
        <v>-2.2344322229999998E-6</v>
      </c>
      <c r="E52">
        <v>-4.66652036E-5</v>
      </c>
      <c r="F52">
        <v>-3.1980030710000002E-5</v>
      </c>
      <c r="G52">
        <v>-3.4918996240000002E-7</v>
      </c>
      <c r="H52">
        <v>-1.1150555720000001E-5</v>
      </c>
      <c r="I52">
        <v>-3.748362771E-5</v>
      </c>
    </row>
    <row r="53" spans="1:17" hidden="1" x14ac:dyDescent="0.2">
      <c r="A53" t="s">
        <v>37</v>
      </c>
      <c r="B53" t="s">
        <v>824</v>
      </c>
      <c r="C53" t="s">
        <v>2</v>
      </c>
      <c r="D53">
        <v>2.4762149600000002E-6</v>
      </c>
      <c r="E53">
        <v>5.1769819479999997E-5</v>
      </c>
      <c r="F53">
        <v>3.5493134260000003E-5</v>
      </c>
      <c r="G53">
        <v>3.8760054840000001E-7</v>
      </c>
      <c r="H53">
        <v>1.2377107030000001E-5</v>
      </c>
      <c r="I53">
        <v>4.1598167950000001E-5</v>
      </c>
    </row>
    <row r="54" spans="1:17" hidden="1" x14ac:dyDescent="0.2">
      <c r="A54" t="s">
        <v>38</v>
      </c>
      <c r="B54" t="s">
        <v>821</v>
      </c>
      <c r="C54" t="s">
        <v>2</v>
      </c>
      <c r="D54">
        <v>0</v>
      </c>
      <c r="E54">
        <v>6.3292115290000003E-5</v>
      </c>
      <c r="F54">
        <v>2.8645670429999998E-4</v>
      </c>
      <c r="G54">
        <v>5.4066778390000002E-7</v>
      </c>
      <c r="H54">
        <v>3.7103316660000001E-4</v>
      </c>
      <c r="I54">
        <v>0.26175467720000001</v>
      </c>
    </row>
    <row r="55" spans="1:17" hidden="1" x14ac:dyDescent="0.2">
      <c r="A55" t="s">
        <v>38</v>
      </c>
      <c r="B55" t="s">
        <v>825</v>
      </c>
      <c r="C55" t="s">
        <v>2</v>
      </c>
      <c r="D55">
        <v>0</v>
      </c>
      <c r="E55">
        <v>-6.2668031019999995E-5</v>
      </c>
      <c r="F55">
        <v>-2.8362092229999999E-4</v>
      </c>
      <c r="G55">
        <v>-5.3531466540000001E-7</v>
      </c>
      <c r="H55">
        <v>-3.6735957180000003E-4</v>
      </c>
      <c r="I55">
        <v>-0.25916304759999997</v>
      </c>
    </row>
    <row r="56" spans="1:17" hidden="1" x14ac:dyDescent="0.2">
      <c r="A56" t="s">
        <v>39</v>
      </c>
      <c r="B56" t="s">
        <v>821</v>
      </c>
      <c r="C56" t="s">
        <v>2</v>
      </c>
      <c r="D56">
        <v>2.910981177E-7</v>
      </c>
      <c r="E56">
        <v>1.566089396</v>
      </c>
      <c r="F56">
        <v>3.0567026450000001</v>
      </c>
      <c r="G56">
        <v>3.001105607</v>
      </c>
      <c r="H56">
        <v>2.1549105900000001</v>
      </c>
      <c r="I56">
        <v>2.754004412</v>
      </c>
    </row>
    <row r="57" spans="1:17" hidden="1" x14ac:dyDescent="0.2">
      <c r="A57" t="s">
        <v>39</v>
      </c>
      <c r="B57" t="s">
        <v>830</v>
      </c>
      <c r="C57" t="s">
        <v>2</v>
      </c>
      <c r="D57">
        <v>7.1864345669999996E-7</v>
      </c>
      <c r="E57">
        <v>3.9152384119999999</v>
      </c>
      <c r="F57">
        <v>7.6417590899999999</v>
      </c>
      <c r="G57">
        <v>7.5027640059999996</v>
      </c>
      <c r="H57">
        <v>5.387276473</v>
      </c>
      <c r="I57">
        <v>6.8850156040000003</v>
      </c>
    </row>
    <row r="58" spans="1:17" hidden="1" x14ac:dyDescent="0.2">
      <c r="A58" t="s">
        <v>39</v>
      </c>
      <c r="B58" t="s">
        <v>825</v>
      </c>
      <c r="C58" t="s">
        <v>2</v>
      </c>
      <c r="D58">
        <v>-9.9153790090000004E-7</v>
      </c>
      <c r="E58">
        <v>-5.4813122329999997</v>
      </c>
      <c r="F58">
        <v>-10.698459140000001</v>
      </c>
      <c r="G58">
        <v>-10.503869610000001</v>
      </c>
      <c r="H58">
        <v>-7.5421870579999997</v>
      </c>
      <c r="I58">
        <v>-9.6390152370000006</v>
      </c>
    </row>
    <row r="59" spans="1:17" hidden="1" x14ac:dyDescent="0.2">
      <c r="A59" t="s">
        <v>40</v>
      </c>
      <c r="B59" t="s">
        <v>828</v>
      </c>
      <c r="C59" t="s">
        <v>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17" hidden="1" x14ac:dyDescent="0.2">
      <c r="A60" t="s">
        <v>40</v>
      </c>
      <c r="B60" t="s">
        <v>830</v>
      </c>
      <c r="C60" t="s">
        <v>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17" hidden="1" x14ac:dyDescent="0.2">
      <c r="A61" t="s">
        <v>40</v>
      </c>
      <c r="B61" t="s">
        <v>825</v>
      </c>
      <c r="C61" t="s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17" hidden="1" x14ac:dyDescent="0.2">
      <c r="A62" t="s">
        <v>41</v>
      </c>
      <c r="B62" t="s">
        <v>920</v>
      </c>
      <c r="C62" t="s">
        <v>2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17" hidden="1" x14ac:dyDescent="0.2">
      <c r="A63" t="s">
        <v>41</v>
      </c>
      <c r="B63" t="s">
        <v>821</v>
      </c>
      <c r="C63" t="s">
        <v>2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17" hidden="1" x14ac:dyDescent="0.2">
      <c r="A64" t="s">
        <v>41</v>
      </c>
      <c r="B64" t="s">
        <v>825</v>
      </c>
      <c r="C64" t="s">
        <v>2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hidden="1" x14ac:dyDescent="0.2">
      <c r="A65" t="s">
        <v>42</v>
      </c>
      <c r="B65" t="s">
        <v>920</v>
      </c>
      <c r="C65" t="s">
        <v>2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hidden="1" x14ac:dyDescent="0.2">
      <c r="A66" t="s">
        <v>42</v>
      </c>
      <c r="B66" t="s">
        <v>827</v>
      </c>
      <c r="C66" t="s">
        <v>2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hidden="1" x14ac:dyDescent="0.2">
      <c r="A67" t="s">
        <v>42</v>
      </c>
      <c r="B67" t="s">
        <v>821</v>
      </c>
      <c r="C67" t="s">
        <v>2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hidden="1" x14ac:dyDescent="0.2">
      <c r="A68" t="s">
        <v>42</v>
      </c>
      <c r="B68" t="s">
        <v>825</v>
      </c>
      <c r="C68" t="s">
        <v>2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hidden="1" x14ac:dyDescent="0.2">
      <c r="A69" t="s">
        <v>43</v>
      </c>
      <c r="B69" t="s">
        <v>820</v>
      </c>
      <c r="C69" t="s">
        <v>2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hidden="1" x14ac:dyDescent="0.2">
      <c r="A70" t="s">
        <v>43</v>
      </c>
      <c r="B70" t="s">
        <v>827</v>
      </c>
      <c r="C70" t="s">
        <v>2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hidden="1" x14ac:dyDescent="0.2">
      <c r="A71" t="s">
        <v>43</v>
      </c>
      <c r="B71" t="s">
        <v>821</v>
      </c>
      <c r="C71" t="s">
        <v>2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hidden="1" x14ac:dyDescent="0.2">
      <c r="A72" t="s">
        <v>43</v>
      </c>
      <c r="B72" t="s">
        <v>832</v>
      </c>
      <c r="C72" t="s">
        <v>2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hidden="1" x14ac:dyDescent="0.2">
      <c r="A73" t="s">
        <v>44</v>
      </c>
      <c r="B73" t="s">
        <v>828</v>
      </c>
      <c r="C73" t="s">
        <v>2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hidden="1" x14ac:dyDescent="0.2">
      <c r="A74" t="s">
        <v>44</v>
      </c>
      <c r="B74" t="s">
        <v>827</v>
      </c>
      <c r="C74" t="s">
        <v>2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hidden="1" x14ac:dyDescent="0.2">
      <c r="A75" t="s">
        <v>44</v>
      </c>
      <c r="B75" t="s">
        <v>821</v>
      </c>
      <c r="C75" t="s">
        <v>2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hidden="1" x14ac:dyDescent="0.2">
      <c r="A76" t="s">
        <v>44</v>
      </c>
      <c r="B76" t="s">
        <v>832</v>
      </c>
      <c r="C76" t="s">
        <v>2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hidden="1" x14ac:dyDescent="0.2">
      <c r="A77" t="s">
        <v>45</v>
      </c>
      <c r="B77" t="s">
        <v>820</v>
      </c>
      <c r="C77" t="s">
        <v>2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hidden="1" x14ac:dyDescent="0.2">
      <c r="A78" t="s">
        <v>45</v>
      </c>
      <c r="B78" t="s">
        <v>821</v>
      </c>
      <c r="C78" t="s">
        <v>2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hidden="1" x14ac:dyDescent="0.2">
      <c r="A79" t="s">
        <v>45</v>
      </c>
      <c r="B79" t="s">
        <v>832</v>
      </c>
      <c r="C79" t="s">
        <v>2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hidden="1" x14ac:dyDescent="0.2">
      <c r="A80" t="s">
        <v>46</v>
      </c>
      <c r="B80" t="s">
        <v>828</v>
      </c>
      <c r="C80" t="s">
        <v>2</v>
      </c>
      <c r="D80">
        <v>4.591052742E-2</v>
      </c>
      <c r="E80">
        <v>2.452215373</v>
      </c>
      <c r="F80">
        <v>1.2086320820000001</v>
      </c>
      <c r="G80">
        <v>1.037141324</v>
      </c>
      <c r="H80">
        <v>0.92405992839999995</v>
      </c>
      <c r="I80">
        <v>0.84415126780000005</v>
      </c>
    </row>
    <row r="81" spans="1:9" hidden="1" x14ac:dyDescent="0.2">
      <c r="A81" t="s">
        <v>46</v>
      </c>
      <c r="B81" t="s">
        <v>821</v>
      </c>
      <c r="C81" t="s">
        <v>2</v>
      </c>
      <c r="D81">
        <v>-1.147339948E-2</v>
      </c>
      <c r="E81">
        <v>-0.61217377110000004</v>
      </c>
      <c r="F81">
        <v>-0.30157228009999998</v>
      </c>
      <c r="G81">
        <v>-0.25944018800000002</v>
      </c>
      <c r="H81">
        <v>-0.23017900929999999</v>
      </c>
      <c r="I81">
        <v>-0.2102538652</v>
      </c>
    </row>
    <row r="82" spans="1:9" hidden="1" x14ac:dyDescent="0.2">
      <c r="A82" t="s">
        <v>46</v>
      </c>
      <c r="B82" t="s">
        <v>832</v>
      </c>
      <c r="C82" t="s">
        <v>2</v>
      </c>
      <c r="D82">
        <v>-2.7551967739999999E-2</v>
      </c>
      <c r="E82">
        <v>-1.4722831460000001</v>
      </c>
      <c r="F82">
        <v>-0.72580129069999999</v>
      </c>
      <c r="G82">
        <v>-0.62216104520000004</v>
      </c>
      <c r="H82">
        <v>-0.55529964620000005</v>
      </c>
      <c r="I82">
        <v>-0.5073001224</v>
      </c>
    </row>
    <row r="83" spans="1:9" hidden="1" x14ac:dyDescent="0.2">
      <c r="A83" t="s">
        <v>47</v>
      </c>
      <c r="B83" t="s">
        <v>820</v>
      </c>
      <c r="C83" t="s">
        <v>2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hidden="1" x14ac:dyDescent="0.2">
      <c r="A84" t="s">
        <v>47</v>
      </c>
      <c r="B84" t="s">
        <v>827</v>
      </c>
      <c r="C84" t="s">
        <v>2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hidden="1" x14ac:dyDescent="0.2">
      <c r="A85" t="s">
        <v>47</v>
      </c>
      <c r="B85" t="s">
        <v>821</v>
      </c>
      <c r="C85" t="s">
        <v>2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hidden="1" x14ac:dyDescent="0.2">
      <c r="A86" t="s">
        <v>47</v>
      </c>
      <c r="B86" t="s">
        <v>833</v>
      </c>
      <c r="C86" t="s">
        <v>2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hidden="1" x14ac:dyDescent="0.2">
      <c r="A87" t="s">
        <v>48</v>
      </c>
      <c r="B87" t="s">
        <v>833</v>
      </c>
      <c r="C87" t="s">
        <v>2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hidden="1" x14ac:dyDescent="0.2">
      <c r="A88" t="s">
        <v>48</v>
      </c>
      <c r="B88" t="s">
        <v>844</v>
      </c>
      <c r="C88" t="s">
        <v>2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hidden="1" x14ac:dyDescent="0.2">
      <c r="A89" t="s">
        <v>49</v>
      </c>
      <c r="B89" t="s">
        <v>828</v>
      </c>
      <c r="C89" t="s">
        <v>2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hidden="1" x14ac:dyDescent="0.2">
      <c r="A90" t="s">
        <v>49</v>
      </c>
      <c r="B90" t="s">
        <v>827</v>
      </c>
      <c r="C90" t="s">
        <v>2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hidden="1" x14ac:dyDescent="0.2">
      <c r="A91" t="s">
        <v>49</v>
      </c>
      <c r="B91" t="s">
        <v>821</v>
      </c>
      <c r="C91" t="s">
        <v>2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hidden="1" x14ac:dyDescent="0.2">
      <c r="A92" t="s">
        <v>49</v>
      </c>
      <c r="B92" t="s">
        <v>833</v>
      </c>
      <c r="C92" t="s">
        <v>2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hidden="1" x14ac:dyDescent="0.2">
      <c r="A93" t="s">
        <v>50</v>
      </c>
      <c r="B93" t="s">
        <v>833</v>
      </c>
      <c r="C93" t="s">
        <v>2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hidden="1" x14ac:dyDescent="0.2">
      <c r="A94" t="s">
        <v>50</v>
      </c>
      <c r="B94" t="s">
        <v>844</v>
      </c>
      <c r="C94" t="s">
        <v>2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hidden="1" x14ac:dyDescent="0.2">
      <c r="A95" t="s">
        <v>51</v>
      </c>
      <c r="B95" t="s">
        <v>828</v>
      </c>
      <c r="C95" t="s">
        <v>2</v>
      </c>
      <c r="D95">
        <v>14.071855340000001</v>
      </c>
      <c r="E95">
        <v>14.27849134</v>
      </c>
      <c r="F95">
        <v>7.3427070280000004</v>
      </c>
      <c r="G95">
        <v>2.775886109</v>
      </c>
      <c r="H95">
        <v>6.1272260100000002</v>
      </c>
      <c r="I95">
        <v>6.1382087949999997</v>
      </c>
    </row>
    <row r="96" spans="1:9" hidden="1" x14ac:dyDescent="0.2">
      <c r="A96" t="s">
        <v>51</v>
      </c>
      <c r="B96" t="s">
        <v>833</v>
      </c>
      <c r="C96" t="s">
        <v>2</v>
      </c>
      <c r="D96">
        <v>-12.66593641</v>
      </c>
      <c r="E96">
        <v>-12.851927420000001</v>
      </c>
      <c r="F96">
        <v>-6.6090972389999996</v>
      </c>
      <c r="G96">
        <v>-2.4985473530000002</v>
      </c>
      <c r="H96">
        <v>-5.5150549150000003</v>
      </c>
      <c r="I96">
        <v>-5.5249404169999998</v>
      </c>
    </row>
    <row r="97" spans="1:9" hidden="1" x14ac:dyDescent="0.2">
      <c r="A97" t="s">
        <v>52</v>
      </c>
      <c r="B97" t="s">
        <v>820</v>
      </c>
      <c r="C97" t="s">
        <v>2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hidden="1" x14ac:dyDescent="0.2">
      <c r="A98" t="s">
        <v>52</v>
      </c>
      <c r="B98" t="s">
        <v>827</v>
      </c>
      <c r="C98" t="s">
        <v>2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hidden="1" x14ac:dyDescent="0.2">
      <c r="A99" t="s">
        <v>52</v>
      </c>
      <c r="B99" t="s">
        <v>821</v>
      </c>
      <c r="C99" t="s">
        <v>2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hidden="1" x14ac:dyDescent="0.2">
      <c r="A100" t="s">
        <v>52</v>
      </c>
      <c r="B100" t="s">
        <v>832</v>
      </c>
      <c r="C100" t="s">
        <v>2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hidden="1" x14ac:dyDescent="0.2">
      <c r="A101" t="s">
        <v>53</v>
      </c>
      <c r="B101" t="s">
        <v>827</v>
      </c>
      <c r="C101" t="s">
        <v>2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hidden="1" x14ac:dyDescent="0.2">
      <c r="A102" t="s">
        <v>53</v>
      </c>
      <c r="B102" t="s">
        <v>821</v>
      </c>
      <c r="C102" t="s">
        <v>2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hidden="1" x14ac:dyDescent="0.2">
      <c r="A103" t="s">
        <v>53</v>
      </c>
      <c r="B103" t="s">
        <v>832</v>
      </c>
      <c r="C103" t="s">
        <v>2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hidden="1" x14ac:dyDescent="0.2">
      <c r="A104" t="s">
        <v>53</v>
      </c>
      <c r="B104" t="s">
        <v>844</v>
      </c>
      <c r="C104" t="s">
        <v>2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hidden="1" x14ac:dyDescent="0.2">
      <c r="A105" t="s">
        <v>54</v>
      </c>
      <c r="B105" t="s">
        <v>828</v>
      </c>
      <c r="C105" t="s">
        <v>2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hidden="1" x14ac:dyDescent="0.2">
      <c r="A106" t="s">
        <v>54</v>
      </c>
      <c r="B106" t="s">
        <v>846</v>
      </c>
      <c r="C106" t="s">
        <v>2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hidden="1" x14ac:dyDescent="0.2">
      <c r="A107" t="s">
        <v>55</v>
      </c>
      <c r="B107" t="s">
        <v>820</v>
      </c>
      <c r="C107" t="s">
        <v>2</v>
      </c>
      <c r="D107">
        <v>0.24992175180000001</v>
      </c>
      <c r="E107">
        <v>3.6562110540000001E-3</v>
      </c>
      <c r="F107">
        <v>1.744223571</v>
      </c>
      <c r="G107">
        <v>12.756713299999999</v>
      </c>
      <c r="H107">
        <v>2.9325977820000002E-4</v>
      </c>
      <c r="I107">
        <v>3.3928741189999998E-5</v>
      </c>
    </row>
    <row r="108" spans="1:9" hidden="1" x14ac:dyDescent="0.2">
      <c r="A108" t="s">
        <v>55</v>
      </c>
      <c r="B108" t="s">
        <v>833</v>
      </c>
      <c r="C108" t="s">
        <v>2</v>
      </c>
      <c r="D108">
        <v>-0.22235031699999999</v>
      </c>
      <c r="E108">
        <v>-3.252885449E-3</v>
      </c>
      <c r="F108">
        <v>-1.5518003339999999</v>
      </c>
      <c r="G108">
        <v>-11.34938906</v>
      </c>
      <c r="H108">
        <v>-2.6090728590000002E-4</v>
      </c>
      <c r="I108">
        <v>-3.0194396819999998E-5</v>
      </c>
    </row>
    <row r="109" spans="1:9" hidden="1" x14ac:dyDescent="0.2">
      <c r="A109" t="s">
        <v>56</v>
      </c>
      <c r="B109" t="s">
        <v>828</v>
      </c>
      <c r="C109" t="s">
        <v>2</v>
      </c>
      <c r="D109">
        <v>1.629974174</v>
      </c>
      <c r="E109">
        <v>0.20628963410000001</v>
      </c>
      <c r="F109">
        <v>0.17418750599999999</v>
      </c>
      <c r="G109">
        <v>0.72501119290000005</v>
      </c>
      <c r="H109">
        <v>0.18828958600000001</v>
      </c>
      <c r="I109">
        <v>0.29359489039999997</v>
      </c>
    </row>
    <row r="110" spans="1:9" hidden="1" x14ac:dyDescent="0.2">
      <c r="A110" t="s">
        <v>56</v>
      </c>
      <c r="B110" t="s">
        <v>832</v>
      </c>
      <c r="C110" t="s">
        <v>2</v>
      </c>
      <c r="D110">
        <v>-1.467123473</v>
      </c>
      <c r="E110">
        <v>-0.1856792646</v>
      </c>
      <c r="F110">
        <v>-0.15678443810000001</v>
      </c>
      <c r="G110">
        <v>-0.6525753312</v>
      </c>
      <c r="H110">
        <v>-0.16947757520000001</v>
      </c>
      <c r="I110">
        <v>-0.26426183539999998</v>
      </c>
    </row>
    <row r="111" spans="1:9" hidden="1" x14ac:dyDescent="0.2">
      <c r="A111" t="s">
        <v>57</v>
      </c>
      <c r="B111" t="s">
        <v>832</v>
      </c>
      <c r="C111" t="s">
        <v>2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hidden="1" x14ac:dyDescent="0.2">
      <c r="A112" t="s">
        <v>57</v>
      </c>
      <c r="B112" t="s">
        <v>844</v>
      </c>
      <c r="C112" t="s">
        <v>2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hidden="1" x14ac:dyDescent="0.2">
      <c r="A113" t="s">
        <v>58</v>
      </c>
      <c r="B113" t="s">
        <v>820</v>
      </c>
      <c r="C113" t="s">
        <v>2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hidden="1" x14ac:dyDescent="0.2">
      <c r="A114" t="s">
        <v>58</v>
      </c>
      <c r="B114" t="s">
        <v>827</v>
      </c>
      <c r="C114" t="s">
        <v>2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hidden="1" x14ac:dyDescent="0.2">
      <c r="A115" t="s">
        <v>58</v>
      </c>
      <c r="B115" t="s">
        <v>821</v>
      </c>
      <c r="C115" t="s">
        <v>2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hidden="1" x14ac:dyDescent="0.2">
      <c r="A116" t="s">
        <v>58</v>
      </c>
      <c r="B116" t="s">
        <v>832</v>
      </c>
      <c r="C116" t="s">
        <v>2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hidden="1" x14ac:dyDescent="0.2">
      <c r="A117" t="s">
        <v>59</v>
      </c>
      <c r="B117" t="s">
        <v>834</v>
      </c>
      <c r="C117" t="s">
        <v>2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hidden="1" x14ac:dyDescent="0.2">
      <c r="A118" t="s">
        <v>59</v>
      </c>
      <c r="B118" t="s">
        <v>844</v>
      </c>
      <c r="C118" t="s">
        <v>2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hidden="1" x14ac:dyDescent="0.2">
      <c r="A119" t="s">
        <v>60</v>
      </c>
      <c r="B119" t="s">
        <v>828</v>
      </c>
      <c r="C119" t="s">
        <v>2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hidden="1" x14ac:dyDescent="0.2">
      <c r="A120" t="s">
        <v>60</v>
      </c>
      <c r="B120" t="s">
        <v>846</v>
      </c>
      <c r="C120" t="s">
        <v>2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hidden="1" x14ac:dyDescent="0.2">
      <c r="A121" t="s">
        <v>61</v>
      </c>
      <c r="B121" t="s">
        <v>828</v>
      </c>
      <c r="C121" t="s">
        <v>2</v>
      </c>
      <c r="D121">
        <v>0</v>
      </c>
      <c r="E121">
        <v>1.248166398E-2</v>
      </c>
      <c r="F121">
        <v>9.4684102329999995E-3</v>
      </c>
      <c r="G121">
        <v>1.2887754939999999E-2</v>
      </c>
      <c r="H121">
        <v>7.3726471410000003E-3</v>
      </c>
      <c r="I121">
        <v>1.756720098</v>
      </c>
    </row>
    <row r="122" spans="1:9" hidden="1" x14ac:dyDescent="0.2">
      <c r="A122" t="s">
        <v>61</v>
      </c>
      <c r="B122" t="s">
        <v>834</v>
      </c>
      <c r="C122" t="s">
        <v>2</v>
      </c>
      <c r="D122">
        <v>0</v>
      </c>
      <c r="E122">
        <v>-1.248166398E-2</v>
      </c>
      <c r="F122">
        <v>-9.4684102329999995E-3</v>
      </c>
      <c r="G122">
        <v>-1.2887754939999999E-2</v>
      </c>
      <c r="H122">
        <v>-7.3726471410000003E-3</v>
      </c>
      <c r="I122">
        <v>-1.756720098</v>
      </c>
    </row>
    <row r="123" spans="1:9" hidden="1" x14ac:dyDescent="0.2">
      <c r="A123" t="s">
        <v>62</v>
      </c>
      <c r="B123" t="s">
        <v>820</v>
      </c>
      <c r="C123" t="s">
        <v>2</v>
      </c>
      <c r="D123">
        <v>5.7925491430000001E-6</v>
      </c>
      <c r="E123">
        <v>2.4013250550000001E-4</v>
      </c>
      <c r="F123">
        <v>3.2383689519999999E-4</v>
      </c>
      <c r="G123">
        <v>0.89124094509999996</v>
      </c>
      <c r="H123">
        <v>1.22481596E-4</v>
      </c>
      <c r="I123">
        <v>2.980220334E-5</v>
      </c>
    </row>
    <row r="124" spans="1:9" hidden="1" x14ac:dyDescent="0.2">
      <c r="A124" t="s">
        <v>62</v>
      </c>
      <c r="B124" t="s">
        <v>832</v>
      </c>
      <c r="C124" t="s">
        <v>2</v>
      </c>
      <c r="D124">
        <v>-5.1575299410000003E-6</v>
      </c>
      <c r="E124">
        <v>-2.136696588E-4</v>
      </c>
      <c r="F124">
        <v>-2.8811583030000001E-4</v>
      </c>
      <c r="G124">
        <v>-0.79291899030000002</v>
      </c>
      <c r="H124">
        <v>-1.089694013E-4</v>
      </c>
      <c r="I124">
        <v>-2.652309981E-5</v>
      </c>
    </row>
    <row r="125" spans="1:9" hidden="1" x14ac:dyDescent="0.2">
      <c r="A125" t="s">
        <v>63</v>
      </c>
      <c r="B125" t="s">
        <v>828</v>
      </c>
      <c r="C125" t="s">
        <v>2</v>
      </c>
      <c r="D125">
        <v>3.539419172E-3</v>
      </c>
      <c r="E125">
        <v>3.3791623899999998E-2</v>
      </c>
      <c r="F125">
        <v>2.563998168E-2</v>
      </c>
      <c r="G125">
        <v>1.78499539E-2</v>
      </c>
      <c r="H125">
        <v>1.5643770800000002E-2</v>
      </c>
      <c r="I125">
        <v>2.1554761239999999E-3</v>
      </c>
    </row>
    <row r="126" spans="1:9" hidden="1" x14ac:dyDescent="0.2">
      <c r="A126" t="s">
        <v>63</v>
      </c>
      <c r="B126" t="s">
        <v>832</v>
      </c>
      <c r="C126" t="s">
        <v>2</v>
      </c>
      <c r="D126">
        <v>-3.184983791E-3</v>
      </c>
      <c r="E126">
        <v>-3.0417047709999999E-2</v>
      </c>
      <c r="F126">
        <v>-2.3074687810000001E-2</v>
      </c>
      <c r="G126">
        <v>-1.606426214E-2</v>
      </c>
      <c r="H126">
        <v>-1.407896241E-2</v>
      </c>
      <c r="I126">
        <v>-1.939901101E-3</v>
      </c>
    </row>
    <row r="127" spans="1:9" hidden="1" x14ac:dyDescent="0.2">
      <c r="A127" t="s">
        <v>64</v>
      </c>
      <c r="B127" t="s">
        <v>828</v>
      </c>
      <c r="C127" t="s">
        <v>2</v>
      </c>
      <c r="D127">
        <v>2.6877853069999999E-5</v>
      </c>
      <c r="E127">
        <v>6.0373066920000001E-4</v>
      </c>
      <c r="F127">
        <v>1.8115752990000001E-4</v>
      </c>
      <c r="G127">
        <v>1.4751130410000001E-6</v>
      </c>
      <c r="H127">
        <v>3.6598358049999999E-5</v>
      </c>
      <c r="I127">
        <v>9.8619892069999994E-5</v>
      </c>
    </row>
    <row r="128" spans="1:9" hidden="1" x14ac:dyDescent="0.2">
      <c r="A128" t="s">
        <v>64</v>
      </c>
      <c r="B128" t="s">
        <v>821</v>
      </c>
      <c r="C128" t="s">
        <v>2</v>
      </c>
      <c r="D128">
        <v>-5.3450226769999996E-6</v>
      </c>
      <c r="E128">
        <v>-1.2478129619999999E-4</v>
      </c>
      <c r="F128">
        <v>-3.8425948379999999E-5</v>
      </c>
      <c r="G128">
        <v>-3.0444686459999998E-7</v>
      </c>
      <c r="H128">
        <v>-7.3447156E-6</v>
      </c>
      <c r="I128">
        <v>-1.9275049379999998E-5</v>
      </c>
    </row>
    <row r="129" spans="1:9" hidden="1" x14ac:dyDescent="0.2">
      <c r="A129" t="s">
        <v>64</v>
      </c>
      <c r="B129" t="s">
        <v>832</v>
      </c>
      <c r="C129" t="s">
        <v>2</v>
      </c>
      <c r="D129">
        <v>-1.6396341860000002E-5</v>
      </c>
      <c r="E129">
        <v>-3.8261165160000002E-4</v>
      </c>
      <c r="F129">
        <v>-1.13456469E-4</v>
      </c>
      <c r="G129">
        <v>-9.3387917760000005E-7</v>
      </c>
      <c r="H129">
        <v>-2.3429759549999999E-5</v>
      </c>
      <c r="I129">
        <v>-6.388367062E-5</v>
      </c>
    </row>
    <row r="130" spans="1:9" hidden="1" x14ac:dyDescent="0.2">
      <c r="A130" t="s">
        <v>65</v>
      </c>
      <c r="B130" t="s">
        <v>835</v>
      </c>
      <c r="C130" t="s">
        <v>3</v>
      </c>
      <c r="D130">
        <v>-31.5658621</v>
      </c>
      <c r="E130">
        <v>-37.374602400000001</v>
      </c>
      <c r="F130">
        <v>-35.907028089999997</v>
      </c>
      <c r="G130">
        <v>-33.787278839999999</v>
      </c>
      <c r="H130">
        <v>-31.472863889999999</v>
      </c>
      <c r="I130">
        <v>-1.38215304E-4</v>
      </c>
    </row>
    <row r="131" spans="1:9" hidden="1" x14ac:dyDescent="0.2">
      <c r="A131" t="s">
        <v>65</v>
      </c>
      <c r="B131" t="s">
        <v>836</v>
      </c>
      <c r="C131" t="s">
        <v>3</v>
      </c>
      <c r="D131">
        <v>-0.58078900420000001</v>
      </c>
      <c r="E131">
        <v>-0.48263704759999998</v>
      </c>
      <c r="F131">
        <v>-0.38758500330000001</v>
      </c>
      <c r="G131">
        <v>-1.0261382240000001</v>
      </c>
      <c r="H131">
        <v>-1.4829278770000001</v>
      </c>
      <c r="I131">
        <v>-5.5421459290000002E-2</v>
      </c>
    </row>
    <row r="132" spans="1:9" hidden="1" x14ac:dyDescent="0.2">
      <c r="A132" t="s">
        <v>65</v>
      </c>
      <c r="B132" t="s">
        <v>837</v>
      </c>
      <c r="C132" t="s">
        <v>3</v>
      </c>
      <c r="D132">
        <v>5.4646494399999996</v>
      </c>
      <c r="E132">
        <v>4.5411345750000001</v>
      </c>
      <c r="F132">
        <v>3.6467907739999998</v>
      </c>
      <c r="G132">
        <v>9.6549447080000004</v>
      </c>
      <c r="H132">
        <v>13.95288307</v>
      </c>
      <c r="I132">
        <v>0.52146039720000004</v>
      </c>
    </row>
    <row r="133" spans="1:9" hidden="1" x14ac:dyDescent="0.2">
      <c r="A133" t="s">
        <v>65</v>
      </c>
      <c r="B133" t="s">
        <v>821</v>
      </c>
      <c r="C133" t="s">
        <v>3</v>
      </c>
      <c r="D133">
        <v>3.079054073</v>
      </c>
      <c r="E133">
        <v>3.6258423419999999</v>
      </c>
      <c r="F133">
        <v>3.4762208750000001</v>
      </c>
      <c r="G133">
        <v>3.334396463</v>
      </c>
      <c r="H133">
        <v>3.1609398369999999</v>
      </c>
      <c r="I133">
        <v>5.5560882370000002E-3</v>
      </c>
    </row>
    <row r="134" spans="1:9" hidden="1" x14ac:dyDescent="0.2">
      <c r="A134" t="s">
        <v>65</v>
      </c>
      <c r="B134" t="s">
        <v>838</v>
      </c>
      <c r="C134" t="s">
        <v>3</v>
      </c>
      <c r="D134">
        <v>297.0035082</v>
      </c>
      <c r="E134">
        <v>351.65800180000002</v>
      </c>
      <c r="F134">
        <v>337.84958230000001</v>
      </c>
      <c r="G134">
        <v>317.9048411</v>
      </c>
      <c r="H134">
        <v>296.12848789999998</v>
      </c>
      <c r="I134">
        <v>1.299807236E-3</v>
      </c>
    </row>
    <row r="135" spans="1:9" hidden="1" x14ac:dyDescent="0.2">
      <c r="A135" t="s">
        <v>65</v>
      </c>
      <c r="B135" t="s">
        <v>839</v>
      </c>
      <c r="C135" t="s">
        <v>3</v>
      </c>
      <c r="D135">
        <v>-2.635876677E-2</v>
      </c>
      <c r="E135">
        <v>-2.6363716509999999E-2</v>
      </c>
      <c r="F135">
        <v>-2.6361640089999999E-2</v>
      </c>
      <c r="G135">
        <v>-2.6358818450000002E-2</v>
      </c>
      <c r="H135">
        <v>-0.14060381299999999</v>
      </c>
      <c r="I135">
        <v>-6.1178890600000002E-3</v>
      </c>
    </row>
    <row r="136" spans="1:9" hidden="1" x14ac:dyDescent="0.2">
      <c r="A136" t="s">
        <v>65</v>
      </c>
      <c r="B136" t="s">
        <v>840</v>
      </c>
      <c r="C136" t="s">
        <v>3</v>
      </c>
      <c r="D136">
        <v>-1.4404149209999999</v>
      </c>
      <c r="E136">
        <v>-1.1969876079999999</v>
      </c>
      <c r="F136">
        <v>-0.96124954569999999</v>
      </c>
      <c r="G136">
        <v>-2.544925632</v>
      </c>
      <c r="H136">
        <v>-3.6778097509999998</v>
      </c>
      <c r="I136">
        <v>-0.1374505707</v>
      </c>
    </row>
    <row r="137" spans="1:9" hidden="1" x14ac:dyDescent="0.2">
      <c r="A137" t="s">
        <v>65</v>
      </c>
      <c r="B137" t="s">
        <v>841</v>
      </c>
      <c r="C137" t="s">
        <v>3</v>
      </c>
      <c r="D137">
        <v>-78.286501229999999</v>
      </c>
      <c r="E137">
        <v>-92.692758940000004</v>
      </c>
      <c r="F137">
        <v>-89.053028029999993</v>
      </c>
      <c r="G137">
        <v>-83.795837570000003</v>
      </c>
      <c r="H137">
        <v>-78.055856599999998</v>
      </c>
      <c r="I137">
        <v>-3.4258531389999997E-4</v>
      </c>
    </row>
    <row r="138" spans="1:9" hidden="1" x14ac:dyDescent="0.2">
      <c r="A138" t="s">
        <v>65</v>
      </c>
      <c r="B138" t="s">
        <v>842</v>
      </c>
      <c r="C138" t="s">
        <v>3</v>
      </c>
      <c r="D138">
        <v>-1.062814162E-2</v>
      </c>
      <c r="E138">
        <v>-1.0630358770000001E-2</v>
      </c>
      <c r="F138">
        <v>-1.0629306430000001E-2</v>
      </c>
      <c r="G138">
        <v>-1.0628126349999999E-2</v>
      </c>
      <c r="H138">
        <v>-5.6692795009999998E-2</v>
      </c>
      <c r="I138">
        <v>-2.4668727139999999E-3</v>
      </c>
    </row>
    <row r="139" spans="1:9" hidden="1" x14ac:dyDescent="0.2">
      <c r="A139" t="s">
        <v>65</v>
      </c>
      <c r="B139" t="s">
        <v>843</v>
      </c>
      <c r="C139" t="s">
        <v>3</v>
      </c>
      <c r="D139">
        <v>9.9999983530000003E-2</v>
      </c>
      <c r="E139">
        <v>0.1000189678</v>
      </c>
      <c r="F139">
        <v>0.10001089019999999</v>
      </c>
      <c r="G139">
        <v>0.100000146</v>
      </c>
      <c r="H139">
        <v>0.53342306859999999</v>
      </c>
      <c r="I139">
        <v>2.3210167859999999E-2</v>
      </c>
    </row>
    <row r="140" spans="1:9" hidden="1" x14ac:dyDescent="0.2">
      <c r="A140" t="s">
        <v>65</v>
      </c>
      <c r="B140" t="s">
        <v>824</v>
      </c>
      <c r="C140" t="s">
        <v>3</v>
      </c>
      <c r="D140">
        <v>-8.4397502850000006</v>
      </c>
      <c r="E140">
        <v>-9.9385076950000002</v>
      </c>
      <c r="F140">
        <v>-9.5283925709999995</v>
      </c>
      <c r="G140">
        <v>-9.1396490250000006</v>
      </c>
      <c r="H140">
        <v>-8.6642008579999992</v>
      </c>
      <c r="I140">
        <v>-1.522921465E-2</v>
      </c>
    </row>
    <row r="141" spans="1:9" x14ac:dyDescent="0.2">
      <c r="A141" t="s">
        <v>66</v>
      </c>
      <c r="B141" t="s">
        <v>821</v>
      </c>
      <c r="C141" t="s">
        <v>20</v>
      </c>
      <c r="D141">
        <v>-54.303553520000001</v>
      </c>
      <c r="E141">
        <v>-64.599915190000004</v>
      </c>
      <c r="F141">
        <v>-85.617192750000001</v>
      </c>
      <c r="G141">
        <v>-85.833188579999998</v>
      </c>
      <c r="H141">
        <v>-125.36605640000001</v>
      </c>
      <c r="I141">
        <v>-123.9394298</v>
      </c>
    </row>
    <row r="142" spans="1:9" x14ac:dyDescent="0.2">
      <c r="A142" t="s">
        <v>66</v>
      </c>
      <c r="B142" t="s">
        <v>831</v>
      </c>
      <c r="C142" t="s">
        <v>20</v>
      </c>
      <c r="D142">
        <v>54.30355351</v>
      </c>
      <c r="E142">
        <v>64.599937249999996</v>
      </c>
      <c r="F142">
        <v>85.6171966</v>
      </c>
      <c r="G142">
        <v>85.833188579999998</v>
      </c>
      <c r="H142">
        <v>125.36605640000001</v>
      </c>
      <c r="I142">
        <v>123.9394369</v>
      </c>
    </row>
    <row r="143" spans="1:9" x14ac:dyDescent="0.2">
      <c r="A143" t="s">
        <v>67</v>
      </c>
      <c r="B143" t="s">
        <v>821</v>
      </c>
      <c r="C143" t="s">
        <v>20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">
      <c r="A144" t="s">
        <v>67</v>
      </c>
      <c r="B144" t="s">
        <v>844</v>
      </c>
      <c r="C144" t="s">
        <v>20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 t="s">
        <v>68</v>
      </c>
      <c r="B145" t="s">
        <v>828</v>
      </c>
      <c r="C145" t="s">
        <v>20</v>
      </c>
      <c r="D145">
        <v>1.703197251E-4</v>
      </c>
      <c r="E145">
        <v>0</v>
      </c>
      <c r="F145">
        <v>3.5161202659999999E-4</v>
      </c>
      <c r="G145">
        <v>0</v>
      </c>
      <c r="H145">
        <v>0</v>
      </c>
      <c r="I145">
        <v>0</v>
      </c>
    </row>
    <row r="146" spans="1:9" x14ac:dyDescent="0.2">
      <c r="A146" t="s">
        <v>68</v>
      </c>
      <c r="B146" t="s">
        <v>827</v>
      </c>
      <c r="C146" t="s">
        <v>20</v>
      </c>
      <c r="D146">
        <v>-8.9208702759999998E-6</v>
      </c>
      <c r="E146">
        <v>0</v>
      </c>
      <c r="F146">
        <v>-1.831254815E-5</v>
      </c>
      <c r="G146">
        <v>0</v>
      </c>
      <c r="H146">
        <v>0</v>
      </c>
      <c r="I146">
        <v>0</v>
      </c>
    </row>
    <row r="147" spans="1:9" x14ac:dyDescent="0.2">
      <c r="A147" t="s">
        <v>68</v>
      </c>
      <c r="B147" t="s">
        <v>821</v>
      </c>
      <c r="C147" t="s">
        <v>20</v>
      </c>
      <c r="D147">
        <v>-8.7666204790000005E-5</v>
      </c>
      <c r="E147">
        <v>0</v>
      </c>
      <c r="F147">
        <v>-1.8350490129999999E-4</v>
      </c>
      <c r="G147">
        <v>0</v>
      </c>
      <c r="H147">
        <v>0</v>
      </c>
      <c r="I147">
        <v>0</v>
      </c>
    </row>
    <row r="148" spans="1:9" x14ac:dyDescent="0.2">
      <c r="A148" t="s">
        <v>69</v>
      </c>
      <c r="B148" t="s">
        <v>820</v>
      </c>
      <c r="C148" t="s">
        <v>20</v>
      </c>
      <c r="D148">
        <v>1.199464242E-6</v>
      </c>
      <c r="E148">
        <v>1.5243216699999999E-4</v>
      </c>
      <c r="F148">
        <v>7.0900503100000003E-5</v>
      </c>
      <c r="G148">
        <v>7.6344943019999996E-7</v>
      </c>
      <c r="H148">
        <v>2.172505267E-5</v>
      </c>
      <c r="I148">
        <v>4.3609781580000002E-5</v>
      </c>
    </row>
    <row r="149" spans="1:9" x14ac:dyDescent="0.2">
      <c r="A149" t="s">
        <v>69</v>
      </c>
      <c r="B149" t="s">
        <v>821</v>
      </c>
      <c r="C149" t="s">
        <v>20</v>
      </c>
      <c r="D149">
        <v>-5.5059834339999997E-7</v>
      </c>
      <c r="E149">
        <v>-5.9757168049999999E-5</v>
      </c>
      <c r="F149">
        <v>-3.0704504709999999E-5</v>
      </c>
      <c r="G149">
        <v>-3.4832126209999998E-7</v>
      </c>
      <c r="H149">
        <v>-9.9116324040000003E-6</v>
      </c>
      <c r="I149">
        <v>-1.685625461E-5</v>
      </c>
    </row>
    <row r="150" spans="1:9" x14ac:dyDescent="0.2">
      <c r="A150" t="s">
        <v>70</v>
      </c>
      <c r="B150" t="s">
        <v>820</v>
      </c>
      <c r="C150" t="s">
        <v>20</v>
      </c>
      <c r="D150">
        <v>24.675512730000001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">
      <c r="A151" t="s">
        <v>70</v>
      </c>
      <c r="B151" t="s">
        <v>821</v>
      </c>
      <c r="C151" t="s">
        <v>20</v>
      </c>
      <c r="D151">
        <v>-59.565742020000002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">
      <c r="A152" t="s">
        <v>70</v>
      </c>
      <c r="B152" t="s">
        <v>844</v>
      </c>
      <c r="C152" t="s">
        <v>20</v>
      </c>
      <c r="D152">
        <v>108.0000003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 t="s">
        <v>70</v>
      </c>
      <c r="B153" t="s">
        <v>825</v>
      </c>
      <c r="C153" t="s">
        <v>20</v>
      </c>
      <c r="D153">
        <v>-1.4523522710000001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 t="s">
        <v>71</v>
      </c>
      <c r="B154" t="s">
        <v>828</v>
      </c>
      <c r="C154" t="s">
        <v>20</v>
      </c>
      <c r="D154">
        <v>231.89536290000001</v>
      </c>
      <c r="E154">
        <v>0</v>
      </c>
      <c r="F154">
        <v>1.289611544E-3</v>
      </c>
      <c r="G154">
        <v>0</v>
      </c>
      <c r="H154">
        <v>0</v>
      </c>
      <c r="I154">
        <v>0</v>
      </c>
    </row>
    <row r="155" spans="1:9" x14ac:dyDescent="0.2">
      <c r="A155" t="s">
        <v>71</v>
      </c>
      <c r="B155" t="s">
        <v>821</v>
      </c>
      <c r="C155" t="s">
        <v>20</v>
      </c>
      <c r="D155">
        <v>-132.75996570000001</v>
      </c>
      <c r="E155">
        <v>0</v>
      </c>
      <c r="F155">
        <v>-7.2635902590000002E-4</v>
      </c>
      <c r="G155">
        <v>0</v>
      </c>
      <c r="H155">
        <v>0</v>
      </c>
      <c r="I155">
        <v>0</v>
      </c>
    </row>
    <row r="156" spans="1:9" x14ac:dyDescent="0.2">
      <c r="A156" t="s">
        <v>71</v>
      </c>
      <c r="B156" t="s">
        <v>825</v>
      </c>
      <c r="C156" t="s">
        <v>20</v>
      </c>
      <c r="D156">
        <v>-17.13857084</v>
      </c>
      <c r="E156">
        <v>0</v>
      </c>
      <c r="F156">
        <v>-9.6878536590000003E-5</v>
      </c>
      <c r="G156">
        <v>0</v>
      </c>
      <c r="H156">
        <v>0</v>
      </c>
      <c r="I156">
        <v>0</v>
      </c>
    </row>
    <row r="157" spans="1:9" x14ac:dyDescent="0.2">
      <c r="A157" t="s">
        <v>72</v>
      </c>
      <c r="B157" t="s">
        <v>820</v>
      </c>
      <c r="C157" t="s">
        <v>20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">
      <c r="A158" t="s">
        <v>72</v>
      </c>
      <c r="B158" t="s">
        <v>821</v>
      </c>
      <c r="C158" t="s">
        <v>20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">
      <c r="A159" t="s">
        <v>72</v>
      </c>
      <c r="B159" t="s">
        <v>844</v>
      </c>
      <c r="C159" t="s">
        <v>20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">
      <c r="A160" t="s">
        <v>73</v>
      </c>
      <c r="B160" t="s">
        <v>820</v>
      </c>
      <c r="C160" t="s">
        <v>20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">
      <c r="A161" t="s">
        <v>73</v>
      </c>
      <c r="B161" t="s">
        <v>821</v>
      </c>
      <c r="C161" t="s">
        <v>20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">
      <c r="A162" t="s">
        <v>73</v>
      </c>
      <c r="B162" t="s">
        <v>844</v>
      </c>
      <c r="C162" t="s">
        <v>20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2">
      <c r="A163" t="s">
        <v>74</v>
      </c>
      <c r="B163" t="s">
        <v>828</v>
      </c>
      <c r="C163" t="s">
        <v>20</v>
      </c>
      <c r="D163">
        <v>98.046953049999999</v>
      </c>
      <c r="E163">
        <v>161.6171545</v>
      </c>
      <c r="F163">
        <v>91.004760450000006</v>
      </c>
      <c r="G163">
        <v>64.187033999999997</v>
      </c>
      <c r="H163">
        <v>64.408268930000006</v>
      </c>
      <c r="I163">
        <v>65.538384399999998</v>
      </c>
    </row>
    <row r="164" spans="1:9" x14ac:dyDescent="0.2">
      <c r="A164" t="s">
        <v>74</v>
      </c>
      <c r="B164" t="s">
        <v>821</v>
      </c>
      <c r="C164" t="s">
        <v>20</v>
      </c>
      <c r="D164">
        <v>-57.797463950000001</v>
      </c>
      <c r="E164">
        <v>-98.60717176</v>
      </c>
      <c r="F164">
        <v>-55.524564050000002</v>
      </c>
      <c r="G164">
        <v>-39.16231483</v>
      </c>
      <c r="H164">
        <v>-39.29729648</v>
      </c>
      <c r="I164">
        <v>-39.98681174</v>
      </c>
    </row>
    <row r="165" spans="1:9" x14ac:dyDescent="0.2">
      <c r="A165" t="s">
        <v>75</v>
      </c>
      <c r="B165" t="s">
        <v>820</v>
      </c>
      <c r="C165" t="s">
        <v>20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">
      <c r="A166" t="s">
        <v>75</v>
      </c>
      <c r="B166" t="s">
        <v>827</v>
      </c>
      <c r="C166" t="s">
        <v>20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">
      <c r="A167" t="s">
        <v>75</v>
      </c>
      <c r="B167" t="s">
        <v>821</v>
      </c>
      <c r="C167" t="s">
        <v>20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2">
      <c r="A168" t="s">
        <v>75</v>
      </c>
      <c r="B168" t="s">
        <v>844</v>
      </c>
      <c r="C168" t="s">
        <v>20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hidden="1" x14ac:dyDescent="0.2">
      <c r="A169" t="s">
        <v>76</v>
      </c>
      <c r="B169" t="s">
        <v>845</v>
      </c>
      <c r="C169" t="s">
        <v>5</v>
      </c>
      <c r="D169">
        <v>16.474608929999999</v>
      </c>
      <c r="E169">
        <v>16.500001090000001</v>
      </c>
      <c r="F169">
        <v>24.189351129999999</v>
      </c>
      <c r="G169">
        <v>26.347852150000001</v>
      </c>
      <c r="H169">
        <v>24.554518810000001</v>
      </c>
      <c r="I169">
        <v>28.659413010000002</v>
      </c>
    </row>
    <row r="170" spans="1:9" hidden="1" x14ac:dyDescent="0.2">
      <c r="A170" t="s">
        <v>76</v>
      </c>
      <c r="B170" t="s">
        <v>821</v>
      </c>
      <c r="C170" t="s">
        <v>5</v>
      </c>
      <c r="D170">
        <v>1.025390595</v>
      </c>
      <c r="E170">
        <v>1.026971265</v>
      </c>
      <c r="F170">
        <v>1.50556131</v>
      </c>
      <c r="G170">
        <v>1.6399078060000001</v>
      </c>
      <c r="H170">
        <v>1.5282895480000001</v>
      </c>
      <c r="I170">
        <v>1.783780962</v>
      </c>
    </row>
    <row r="171" spans="1:9" hidden="1" x14ac:dyDescent="0.2">
      <c r="A171" t="s">
        <v>76</v>
      </c>
      <c r="B171" t="s">
        <v>825</v>
      </c>
      <c r="C171" t="s">
        <v>5</v>
      </c>
      <c r="D171">
        <v>-17.499999410000001</v>
      </c>
      <c r="E171">
        <v>-17.526972099999998</v>
      </c>
      <c r="F171">
        <v>-25.6949124</v>
      </c>
      <c r="G171">
        <v>-27.987759960000002</v>
      </c>
      <c r="H171">
        <v>-26.082808350000001</v>
      </c>
      <c r="I171">
        <v>-30.44319389</v>
      </c>
    </row>
    <row r="172" spans="1:9" hidden="1" x14ac:dyDescent="0.2">
      <c r="A172" t="s">
        <v>77</v>
      </c>
      <c r="B172" t="s">
        <v>820</v>
      </c>
      <c r="C172" t="s">
        <v>5</v>
      </c>
      <c r="D172">
        <v>4.3000006920000002</v>
      </c>
      <c r="E172">
        <v>5.0551119860000002E-5</v>
      </c>
      <c r="F172">
        <v>0</v>
      </c>
      <c r="G172">
        <v>0</v>
      </c>
      <c r="H172">
        <v>0</v>
      </c>
      <c r="I172">
        <v>0</v>
      </c>
    </row>
    <row r="173" spans="1:9" hidden="1" x14ac:dyDescent="0.2">
      <c r="A173" t="s">
        <v>77</v>
      </c>
      <c r="B173" t="s">
        <v>825</v>
      </c>
      <c r="C173" t="s">
        <v>5</v>
      </c>
      <c r="D173">
        <v>-3.8644402800000002</v>
      </c>
      <c r="E173">
        <v>-4.540865991E-5</v>
      </c>
      <c r="F173">
        <v>0</v>
      </c>
      <c r="G173">
        <v>0</v>
      </c>
      <c r="H173">
        <v>0</v>
      </c>
      <c r="I173">
        <v>0</v>
      </c>
    </row>
    <row r="174" spans="1:9" hidden="1" x14ac:dyDescent="0.2">
      <c r="A174" t="s">
        <v>78</v>
      </c>
      <c r="B174" t="s">
        <v>821</v>
      </c>
      <c r="C174" t="s">
        <v>5</v>
      </c>
      <c r="D174">
        <v>3.3300996420000001E-7</v>
      </c>
      <c r="E174">
        <v>0.48787904539999999</v>
      </c>
      <c r="F174">
        <v>0.40888722960000001</v>
      </c>
      <c r="G174">
        <v>0.32711120339999999</v>
      </c>
      <c r="H174">
        <v>0.1640301502</v>
      </c>
      <c r="I174">
        <v>3.5991719470000002E-6</v>
      </c>
    </row>
    <row r="175" spans="1:9" hidden="1" x14ac:dyDescent="0.2">
      <c r="A175" t="s">
        <v>78</v>
      </c>
      <c r="B175" t="s">
        <v>830</v>
      </c>
      <c r="C175" t="s">
        <v>5</v>
      </c>
      <c r="D175">
        <v>1.563402805E-6</v>
      </c>
      <c r="E175">
        <v>2.3000217969999999</v>
      </c>
      <c r="F175">
        <v>1.8399959720000001</v>
      </c>
      <c r="G175">
        <v>1.472000414</v>
      </c>
      <c r="H175">
        <v>0.74266411990000003</v>
      </c>
      <c r="I175">
        <v>2.2728530809999999E-5</v>
      </c>
    </row>
    <row r="176" spans="1:9" hidden="1" x14ac:dyDescent="0.2">
      <c r="A176" t="s">
        <v>78</v>
      </c>
      <c r="B176" t="s">
        <v>825</v>
      </c>
      <c r="C176" t="s">
        <v>5</v>
      </c>
      <c r="D176">
        <v>-1.563402805E-6</v>
      </c>
      <c r="E176">
        <v>-2.3000002500000001</v>
      </c>
      <c r="F176">
        <v>-1.839992383</v>
      </c>
      <c r="G176">
        <v>-1.472000414</v>
      </c>
      <c r="H176">
        <v>-0.74266411610000005</v>
      </c>
      <c r="I176">
        <v>-1.6116346999999999E-5</v>
      </c>
    </row>
    <row r="177" spans="1:9" x14ac:dyDescent="0.2">
      <c r="A177" t="s">
        <v>79</v>
      </c>
      <c r="B177" t="s">
        <v>820</v>
      </c>
      <c r="C177" t="s">
        <v>20</v>
      </c>
      <c r="D177">
        <v>9.8874842430000007E-7</v>
      </c>
      <c r="E177">
        <v>3.6726722230000001E-5</v>
      </c>
      <c r="F177">
        <v>1.6356301459999999E-5</v>
      </c>
      <c r="G177">
        <v>3.7570216579999999E-7</v>
      </c>
      <c r="H177">
        <v>8.106288935E-6</v>
      </c>
      <c r="I177">
        <v>1.07429693E-5</v>
      </c>
    </row>
    <row r="178" spans="1:9" x14ac:dyDescent="0.2">
      <c r="A178" t="s">
        <v>79</v>
      </c>
      <c r="B178" t="s">
        <v>821</v>
      </c>
      <c r="C178" t="s">
        <v>20</v>
      </c>
      <c r="D178">
        <v>-2.2765998439999999E-7</v>
      </c>
      <c r="E178">
        <v>-1.072116904E-6</v>
      </c>
      <c r="F178">
        <v>-2.4277945140000001E-6</v>
      </c>
      <c r="G178">
        <v>0</v>
      </c>
      <c r="H178">
        <v>-1.778980299E-6</v>
      </c>
      <c r="I178">
        <v>-1.8433501259999999E-6</v>
      </c>
    </row>
    <row r="179" spans="1:9" x14ac:dyDescent="0.2">
      <c r="A179" t="s">
        <v>79</v>
      </c>
      <c r="B179" t="s">
        <v>825</v>
      </c>
      <c r="C179" t="s">
        <v>20</v>
      </c>
      <c r="D179">
        <v>-6.6477627979999996E-7</v>
      </c>
      <c r="E179">
        <v>-2.4248296779999998E-5</v>
      </c>
      <c r="F179">
        <v>-1.0786896659999999E-5</v>
      </c>
      <c r="G179">
        <v>-2.4787212229999999E-7</v>
      </c>
      <c r="H179">
        <v>-5.3510329219999999E-6</v>
      </c>
      <c r="I179">
        <v>-7.0968706250000002E-6</v>
      </c>
    </row>
    <row r="180" spans="1:9" x14ac:dyDescent="0.2">
      <c r="A180" t="s">
        <v>80</v>
      </c>
      <c r="B180" t="s">
        <v>828</v>
      </c>
      <c r="C180" t="s">
        <v>20</v>
      </c>
      <c r="D180">
        <v>1.7547794850000001E-4</v>
      </c>
      <c r="E180">
        <v>2.9257018939999999</v>
      </c>
      <c r="F180">
        <v>5.5427241110000001</v>
      </c>
      <c r="G180">
        <v>2.0227052630000002</v>
      </c>
      <c r="H180">
        <v>3.278093454</v>
      </c>
      <c r="I180">
        <v>4.76003636</v>
      </c>
    </row>
    <row r="181" spans="1:9" x14ac:dyDescent="0.2">
      <c r="A181" t="s">
        <v>80</v>
      </c>
      <c r="B181" t="s">
        <v>821</v>
      </c>
      <c r="C181" t="s">
        <v>20</v>
      </c>
      <c r="D181">
        <v>-6.6541042250000006E-5</v>
      </c>
      <c r="E181">
        <v>-1.1117668590000001</v>
      </c>
      <c r="F181">
        <v>-2.1062351459999999</v>
      </c>
      <c r="G181">
        <v>-0.76862798470000004</v>
      </c>
      <c r="H181">
        <v>-1.2456754880000001</v>
      </c>
      <c r="I181">
        <v>-1.808813829</v>
      </c>
    </row>
    <row r="182" spans="1:9" hidden="1" x14ac:dyDescent="0.2">
      <c r="A182" t="s">
        <v>81</v>
      </c>
      <c r="B182" t="s">
        <v>828</v>
      </c>
      <c r="C182" t="s">
        <v>16</v>
      </c>
      <c r="D182">
        <v>0</v>
      </c>
      <c r="E182">
        <v>-1.9531542340000001E-4</v>
      </c>
      <c r="F182">
        <v>-7.0579573000000004E-5</v>
      </c>
      <c r="G182">
        <v>-3.6566068910000001E-4</v>
      </c>
      <c r="H182">
        <v>-2.411602464</v>
      </c>
      <c r="I182">
        <v>-1.776896029</v>
      </c>
    </row>
    <row r="183" spans="1:9" hidden="1" x14ac:dyDescent="0.2">
      <c r="A183" t="s">
        <v>81</v>
      </c>
      <c r="B183" t="s">
        <v>817</v>
      </c>
      <c r="C183" t="s">
        <v>16</v>
      </c>
      <c r="D183">
        <v>0</v>
      </c>
      <c r="E183">
        <v>1.9531542340000001E-4</v>
      </c>
      <c r="F183">
        <v>7.0579573000000004E-5</v>
      </c>
      <c r="G183">
        <v>3.6566068910000001E-4</v>
      </c>
      <c r="H183">
        <v>2.411602464</v>
      </c>
      <c r="I183">
        <v>1.776896029</v>
      </c>
    </row>
    <row r="184" spans="1:9" hidden="1" x14ac:dyDescent="0.2">
      <c r="A184" t="s">
        <v>82</v>
      </c>
      <c r="B184" t="s">
        <v>828</v>
      </c>
      <c r="C184" t="s">
        <v>2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hidden="1" x14ac:dyDescent="0.2">
      <c r="A185" t="s">
        <v>82</v>
      </c>
      <c r="B185" t="s">
        <v>817</v>
      </c>
      <c r="C185" t="s">
        <v>2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hidden="1" x14ac:dyDescent="0.2">
      <c r="A186" t="s">
        <v>83</v>
      </c>
      <c r="B186" t="s">
        <v>828</v>
      </c>
      <c r="C186" t="s">
        <v>24</v>
      </c>
      <c r="E186">
        <v>-8.4485092979999998E-4</v>
      </c>
      <c r="F186">
        <v>-2.7043929340000002E-4</v>
      </c>
      <c r="G186">
        <v>-4.5690170439999998E-4</v>
      </c>
      <c r="H186">
        <v>-3.0959438970000002</v>
      </c>
      <c r="I186">
        <v>-2.058742981</v>
      </c>
    </row>
    <row r="187" spans="1:9" hidden="1" x14ac:dyDescent="0.2">
      <c r="A187" t="s">
        <v>83</v>
      </c>
      <c r="B187" t="s">
        <v>817</v>
      </c>
      <c r="C187" t="s">
        <v>24</v>
      </c>
      <c r="E187">
        <v>8.4485092979999998E-4</v>
      </c>
      <c r="F187">
        <v>2.7043929340000002E-4</v>
      </c>
      <c r="G187">
        <v>4.5690170439999998E-4</v>
      </c>
      <c r="H187">
        <v>3.0959438970000002</v>
      </c>
      <c r="I187">
        <v>2.058742981</v>
      </c>
    </row>
    <row r="188" spans="1:9" hidden="1" x14ac:dyDescent="0.2">
      <c r="A188" t="s">
        <v>84</v>
      </c>
      <c r="B188" t="s">
        <v>828</v>
      </c>
      <c r="C188" t="s">
        <v>5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hidden="1" x14ac:dyDescent="0.2">
      <c r="A189" t="s">
        <v>84</v>
      </c>
      <c r="B189" t="s">
        <v>817</v>
      </c>
      <c r="C189" t="s">
        <v>5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">
      <c r="A190" t="s">
        <v>85</v>
      </c>
      <c r="B190" t="s">
        <v>828</v>
      </c>
      <c r="C190" t="s">
        <v>20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">
      <c r="A191" t="s">
        <v>85</v>
      </c>
      <c r="B191" t="s">
        <v>817</v>
      </c>
      <c r="C191" t="s">
        <v>20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hidden="1" x14ac:dyDescent="0.2">
      <c r="A192" t="s">
        <v>86</v>
      </c>
      <c r="B192" t="s">
        <v>828</v>
      </c>
      <c r="C192" t="s">
        <v>87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hidden="1" x14ac:dyDescent="0.2">
      <c r="A193" t="s">
        <v>86</v>
      </c>
      <c r="B193" t="s">
        <v>817</v>
      </c>
      <c r="C193" t="s">
        <v>87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hidden="1" x14ac:dyDescent="0.2">
      <c r="A194" t="s">
        <v>88</v>
      </c>
      <c r="B194" t="s">
        <v>821</v>
      </c>
      <c r="C194" t="s">
        <v>2</v>
      </c>
      <c r="D194">
        <v>38.216098760000001</v>
      </c>
      <c r="E194">
        <v>41.463971559999997</v>
      </c>
      <c r="F194">
        <v>43.151980170000002</v>
      </c>
      <c r="G194">
        <v>46.13894827</v>
      </c>
      <c r="H194">
        <v>48.33053563</v>
      </c>
      <c r="I194">
        <v>50.209752629999997</v>
      </c>
    </row>
    <row r="195" spans="1:9" hidden="1" x14ac:dyDescent="0.2">
      <c r="A195" t="s">
        <v>89</v>
      </c>
      <c r="B195" t="s">
        <v>833</v>
      </c>
      <c r="C195" t="s">
        <v>2</v>
      </c>
      <c r="D195">
        <v>12.888450649999999</v>
      </c>
      <c r="E195">
        <v>12.95524655</v>
      </c>
      <c r="F195">
        <v>13.26096489</v>
      </c>
      <c r="G195">
        <v>13.927741879999999</v>
      </c>
      <c r="H195">
        <v>13.43147398</v>
      </c>
      <c r="I195">
        <v>13.34504297</v>
      </c>
    </row>
    <row r="196" spans="1:9" hidden="1" x14ac:dyDescent="0.2">
      <c r="A196" t="s">
        <v>89</v>
      </c>
      <c r="B196" t="s">
        <v>832</v>
      </c>
      <c r="C196" t="s">
        <v>2</v>
      </c>
      <c r="D196">
        <v>2.935100034</v>
      </c>
      <c r="E196">
        <v>2.9511414359999999</v>
      </c>
      <c r="F196">
        <v>3.0207825690000001</v>
      </c>
      <c r="G196">
        <v>3.1726710890000001</v>
      </c>
      <c r="H196">
        <v>3.0596237020000001</v>
      </c>
      <c r="I196">
        <v>3.0399351430000001</v>
      </c>
    </row>
    <row r="197" spans="1:9" hidden="1" x14ac:dyDescent="0.2">
      <c r="A197" t="s">
        <v>89</v>
      </c>
      <c r="B197" t="s">
        <v>846</v>
      </c>
      <c r="C197" t="s">
        <v>2</v>
      </c>
      <c r="D197">
        <v>2.935100034</v>
      </c>
      <c r="E197">
        <v>2.9511414359999999</v>
      </c>
      <c r="F197">
        <v>3.0207825690000001</v>
      </c>
      <c r="G197">
        <v>3.1726710890000001</v>
      </c>
      <c r="H197">
        <v>3.0596237020000001</v>
      </c>
      <c r="I197">
        <v>3.0399351430000001</v>
      </c>
    </row>
    <row r="198" spans="1:9" hidden="1" x14ac:dyDescent="0.2">
      <c r="A198" t="s">
        <v>89</v>
      </c>
      <c r="B198" t="s">
        <v>834</v>
      </c>
      <c r="C198" t="s">
        <v>2</v>
      </c>
      <c r="D198">
        <v>0</v>
      </c>
      <c r="E198">
        <v>0.92339000250000003</v>
      </c>
      <c r="F198">
        <v>1.327737696</v>
      </c>
      <c r="G198">
        <v>2.0043293019999999</v>
      </c>
      <c r="H198">
        <v>1.7470665400000001</v>
      </c>
      <c r="I198">
        <v>1.757789153</v>
      </c>
    </row>
    <row r="199" spans="1:9" hidden="1" x14ac:dyDescent="0.2">
      <c r="A199" t="s">
        <v>89</v>
      </c>
      <c r="B199" t="s">
        <v>825</v>
      </c>
      <c r="C199" t="s">
        <v>2</v>
      </c>
      <c r="D199">
        <v>21.812143500000001</v>
      </c>
      <c r="E199">
        <v>21.925187480000002</v>
      </c>
      <c r="F199">
        <v>22.442578780000002</v>
      </c>
      <c r="G199">
        <v>23.571018179999999</v>
      </c>
      <c r="H199">
        <v>22.731144789999998</v>
      </c>
      <c r="I199">
        <v>22.584870769999998</v>
      </c>
    </row>
    <row r="200" spans="1:9" hidden="1" x14ac:dyDescent="0.2">
      <c r="A200" t="s">
        <v>90</v>
      </c>
      <c r="B200" t="s">
        <v>847</v>
      </c>
      <c r="C200" t="s">
        <v>2</v>
      </c>
      <c r="D200">
        <v>1.1388079529999999</v>
      </c>
      <c r="E200">
        <v>1.0216034919999999</v>
      </c>
      <c r="F200">
        <v>0.97884187779999998</v>
      </c>
      <c r="G200">
        <v>0.86214165590000003</v>
      </c>
      <c r="H200">
        <v>0.52820850090000004</v>
      </c>
      <c r="I200">
        <v>0.95285853170000001</v>
      </c>
    </row>
    <row r="201" spans="1:9" hidden="1" x14ac:dyDescent="0.2">
      <c r="A201" t="s">
        <v>90</v>
      </c>
      <c r="B201" t="s">
        <v>848</v>
      </c>
      <c r="C201" t="s">
        <v>2</v>
      </c>
      <c r="D201">
        <v>0.43424528359999998</v>
      </c>
      <c r="E201">
        <v>0.39942124969999998</v>
      </c>
      <c r="F201">
        <v>0.39047114030000002</v>
      </c>
      <c r="G201">
        <v>0.36758516029999999</v>
      </c>
      <c r="H201">
        <v>0.2252084738</v>
      </c>
      <c r="I201">
        <v>0.40626350929999999</v>
      </c>
    </row>
    <row r="202" spans="1:9" hidden="1" x14ac:dyDescent="0.2">
      <c r="A202" t="s">
        <v>90</v>
      </c>
      <c r="B202" t="s">
        <v>832</v>
      </c>
      <c r="C202" t="s">
        <v>2</v>
      </c>
      <c r="D202">
        <v>-1.3929386290000001</v>
      </c>
      <c r="E202">
        <v>-1.2583172090000001</v>
      </c>
      <c r="F202">
        <v>-1.2125266450000001</v>
      </c>
      <c r="G202">
        <v>-1.088923096</v>
      </c>
      <c r="H202">
        <v>-0.66715073079999998</v>
      </c>
      <c r="I202">
        <v>-1.2035025070000001</v>
      </c>
    </row>
    <row r="203" spans="1:9" hidden="1" x14ac:dyDescent="0.2">
      <c r="A203" t="s">
        <v>91</v>
      </c>
      <c r="B203" t="s">
        <v>839</v>
      </c>
      <c r="C203" t="s">
        <v>2</v>
      </c>
      <c r="D203">
        <v>7.2006098099999999E-2</v>
      </c>
      <c r="E203">
        <v>4.777701073E-2</v>
      </c>
      <c r="F203">
        <v>4.6632037559999999E-2</v>
      </c>
      <c r="G203">
        <v>4.7714032980000001E-2</v>
      </c>
      <c r="H203">
        <v>9.5568066450000003E-2</v>
      </c>
      <c r="I203">
        <v>0.10294580070000001</v>
      </c>
    </row>
    <row r="204" spans="1:9" hidden="1" x14ac:dyDescent="0.2">
      <c r="A204" t="s">
        <v>91</v>
      </c>
      <c r="B204" t="s">
        <v>840</v>
      </c>
      <c r="C204" t="s">
        <v>2</v>
      </c>
      <c r="D204">
        <v>0.88212372630000002</v>
      </c>
      <c r="E204">
        <v>0.5607720142</v>
      </c>
      <c r="F204">
        <v>0.4516379901</v>
      </c>
      <c r="G204">
        <v>1.318797244</v>
      </c>
      <c r="H204">
        <v>2.0569628880000002</v>
      </c>
      <c r="I204">
        <v>3.5910537219999998</v>
      </c>
    </row>
    <row r="205" spans="1:9" hidden="1" x14ac:dyDescent="0.2">
      <c r="A205" t="s">
        <v>91</v>
      </c>
      <c r="B205" t="s">
        <v>841</v>
      </c>
      <c r="C205" t="s">
        <v>2</v>
      </c>
      <c r="D205">
        <v>17.555871570000001</v>
      </c>
      <c r="E205">
        <v>18.3915164</v>
      </c>
      <c r="F205">
        <v>18.85174125</v>
      </c>
      <c r="G205">
        <v>18.383488719999999</v>
      </c>
      <c r="H205">
        <v>17.997468690000002</v>
      </c>
      <c r="I205">
        <v>16.876020239999999</v>
      </c>
    </row>
    <row r="206" spans="1:9" x14ac:dyDescent="0.2">
      <c r="A206" t="s">
        <v>92</v>
      </c>
      <c r="B206" t="s">
        <v>821</v>
      </c>
      <c r="C206" t="s">
        <v>20</v>
      </c>
      <c r="D206">
        <v>6.1887565960000002</v>
      </c>
      <c r="E206">
        <v>7.4768908889999999</v>
      </c>
      <c r="F206">
        <v>8.9209348930000001</v>
      </c>
      <c r="G206">
        <v>9.7390981150000009</v>
      </c>
      <c r="H206">
        <v>10.894957290000001</v>
      </c>
      <c r="I206">
        <v>10.88846796</v>
      </c>
    </row>
    <row r="207" spans="1:9" x14ac:dyDescent="0.2">
      <c r="A207" t="s">
        <v>93</v>
      </c>
      <c r="B207" t="s">
        <v>821</v>
      </c>
      <c r="C207" t="s">
        <v>20</v>
      </c>
      <c r="D207">
        <v>3.972400516</v>
      </c>
      <c r="E207">
        <v>5.0370657919999999</v>
      </c>
      <c r="F207">
        <v>6.2142936830000002</v>
      </c>
      <c r="G207">
        <v>7.3940392299999997</v>
      </c>
      <c r="H207">
        <v>7.4185285219999999</v>
      </c>
      <c r="I207">
        <v>7.4712721149999997</v>
      </c>
    </row>
    <row r="208" spans="1:9" x14ac:dyDescent="0.2">
      <c r="A208" t="s">
        <v>94</v>
      </c>
      <c r="B208" t="s">
        <v>821</v>
      </c>
      <c r="C208" t="s">
        <v>20</v>
      </c>
      <c r="D208">
        <v>3.8411613199999999</v>
      </c>
      <c r="E208">
        <v>5.0482264939999997</v>
      </c>
      <c r="F208">
        <v>6.1973264419999996</v>
      </c>
      <c r="G208">
        <v>7.4116531009999997</v>
      </c>
      <c r="H208">
        <v>7.3556503649999998</v>
      </c>
      <c r="I208">
        <v>6.9102167970000004</v>
      </c>
    </row>
    <row r="209" spans="1:9" x14ac:dyDescent="0.2">
      <c r="A209" t="s">
        <v>95</v>
      </c>
      <c r="B209" t="s">
        <v>821</v>
      </c>
      <c r="C209" t="s">
        <v>20</v>
      </c>
      <c r="D209">
        <v>5.549760292E-7</v>
      </c>
      <c r="E209">
        <v>3.553980262E-6</v>
      </c>
      <c r="F209">
        <v>1.6193122079999999E-6</v>
      </c>
      <c r="G209">
        <v>1.833490344E-8</v>
      </c>
      <c r="H209">
        <v>4.4219255529999998E-7</v>
      </c>
      <c r="I209">
        <v>1.6889240600000001E-6</v>
      </c>
    </row>
    <row r="210" spans="1:9" hidden="1" x14ac:dyDescent="0.2">
      <c r="A210" t="s">
        <v>96</v>
      </c>
      <c r="B210" t="s">
        <v>821</v>
      </c>
      <c r="C210" t="s">
        <v>16</v>
      </c>
      <c r="D210">
        <v>69.430290220000003</v>
      </c>
      <c r="E210">
        <v>70.482604980000005</v>
      </c>
      <c r="F210">
        <v>72.512962340000001</v>
      </c>
      <c r="G210">
        <v>74.355827329999997</v>
      </c>
      <c r="H210">
        <v>76.432929990000005</v>
      </c>
      <c r="I210">
        <v>78.599998470000003</v>
      </c>
    </row>
    <row r="211" spans="1:9" hidden="1" x14ac:dyDescent="0.2">
      <c r="A211" t="s">
        <v>97</v>
      </c>
      <c r="B211" t="s">
        <v>825</v>
      </c>
      <c r="C211" t="s">
        <v>16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hidden="1" x14ac:dyDescent="0.2">
      <c r="A212" t="s">
        <v>98</v>
      </c>
      <c r="B212" t="s">
        <v>849</v>
      </c>
      <c r="C212" t="s">
        <v>16</v>
      </c>
      <c r="D212">
        <v>1.465019742</v>
      </c>
      <c r="E212">
        <v>0.96771764640000002</v>
      </c>
      <c r="F212">
        <v>0.86980191849999999</v>
      </c>
      <c r="G212">
        <v>0.80323730989999997</v>
      </c>
      <c r="H212">
        <v>0.78876710159999996</v>
      </c>
      <c r="I212">
        <v>0.77183780150000003</v>
      </c>
    </row>
    <row r="213" spans="1:9" hidden="1" x14ac:dyDescent="0.2">
      <c r="A213" t="s">
        <v>98</v>
      </c>
      <c r="B213" t="s">
        <v>825</v>
      </c>
      <c r="C213" t="s">
        <v>16</v>
      </c>
      <c r="D213">
        <v>-1.1720158009999999</v>
      </c>
      <c r="E213">
        <v>-0.77417416910000003</v>
      </c>
      <c r="F213">
        <v>-0.69584154330000003</v>
      </c>
      <c r="G213">
        <v>-0.64258984789999996</v>
      </c>
      <c r="H213">
        <v>-0.63101368130000002</v>
      </c>
      <c r="I213">
        <v>-0.61747025700000002</v>
      </c>
    </row>
    <row r="214" spans="1:9" hidden="1" x14ac:dyDescent="0.2">
      <c r="A214" t="s">
        <v>99</v>
      </c>
      <c r="B214" t="s">
        <v>828</v>
      </c>
      <c r="C214" t="s">
        <v>16</v>
      </c>
      <c r="D214">
        <v>5.6673070270000001E-5</v>
      </c>
      <c r="E214">
        <v>9.807036917000001E-4</v>
      </c>
      <c r="F214">
        <v>2.025799664E-4</v>
      </c>
      <c r="G214">
        <v>1.426615369E-5</v>
      </c>
      <c r="H214">
        <v>3.036610282E-4</v>
      </c>
      <c r="I214">
        <v>2.1537924589999999E-4</v>
      </c>
    </row>
    <row r="215" spans="1:9" hidden="1" x14ac:dyDescent="0.2">
      <c r="A215" t="s">
        <v>99</v>
      </c>
      <c r="B215" t="s">
        <v>825</v>
      </c>
      <c r="C215" t="s">
        <v>16</v>
      </c>
      <c r="D215">
        <v>-2.9170493209999999E-5</v>
      </c>
      <c r="E215">
        <v>-5.0305144420000004E-4</v>
      </c>
      <c r="F215">
        <v>-1.033962883E-4</v>
      </c>
      <c r="G215">
        <v>-7.1891600870000003E-6</v>
      </c>
      <c r="H215">
        <v>-1.5101986969999999E-4</v>
      </c>
      <c r="I215">
        <v>-1.041463258E-4</v>
      </c>
    </row>
    <row r="216" spans="1:9" hidden="1" x14ac:dyDescent="0.2">
      <c r="A216" t="s">
        <v>100</v>
      </c>
      <c r="B216" t="s">
        <v>821</v>
      </c>
      <c r="C216" t="s">
        <v>24</v>
      </c>
      <c r="D216">
        <v>97.082092270000004</v>
      </c>
      <c r="E216">
        <v>107.2377769</v>
      </c>
      <c r="F216">
        <v>114.05541959999999</v>
      </c>
      <c r="G216">
        <v>122.8350348</v>
      </c>
      <c r="H216">
        <v>132.46961519999999</v>
      </c>
      <c r="I216">
        <v>141.06434100000001</v>
      </c>
    </row>
    <row r="217" spans="1:9" hidden="1" x14ac:dyDescent="0.2">
      <c r="A217" t="s">
        <v>101</v>
      </c>
      <c r="B217" t="s">
        <v>825</v>
      </c>
      <c r="C217" t="s">
        <v>24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hidden="1" x14ac:dyDescent="0.2">
      <c r="A218" t="s">
        <v>102</v>
      </c>
      <c r="B218" t="s">
        <v>820</v>
      </c>
      <c r="C218" t="s">
        <v>24</v>
      </c>
      <c r="D218">
        <v>2.2786154349999999E-4</v>
      </c>
      <c r="E218">
        <v>1.4917263099999999E-3</v>
      </c>
      <c r="F218">
        <v>6.9233393430000005E-4</v>
      </c>
      <c r="G218">
        <v>9.2586764470000006E-6</v>
      </c>
      <c r="H218">
        <v>1.341766691E-4</v>
      </c>
      <c r="I218">
        <v>2.3622557769999999E-4</v>
      </c>
    </row>
    <row r="219" spans="1:9" hidden="1" x14ac:dyDescent="0.2">
      <c r="A219" t="s">
        <v>102</v>
      </c>
      <c r="B219" t="s">
        <v>848</v>
      </c>
      <c r="C219" t="s">
        <v>24</v>
      </c>
      <c r="D219">
        <v>3.7974496760000002E-4</v>
      </c>
      <c r="E219">
        <v>2.509834626E-3</v>
      </c>
      <c r="F219">
        <v>1.1538614070000001E-3</v>
      </c>
      <c r="G219">
        <v>1.554356318E-5</v>
      </c>
      <c r="H219">
        <v>2.2525716719999999E-4</v>
      </c>
      <c r="I219">
        <v>3.9365681850000002E-4</v>
      </c>
    </row>
    <row r="220" spans="1:9" hidden="1" x14ac:dyDescent="0.2">
      <c r="A220" t="s">
        <v>102</v>
      </c>
      <c r="B220" t="s">
        <v>825</v>
      </c>
      <c r="C220" t="s">
        <v>24</v>
      </c>
      <c r="D220">
        <v>-5.3814280510000004E-4</v>
      </c>
      <c r="E220">
        <v>-3.5538578810000001E-3</v>
      </c>
      <c r="F220">
        <v>-1.6560944739999999E-3</v>
      </c>
      <c r="G220">
        <v>-2.2024157479999999E-5</v>
      </c>
      <c r="H220">
        <v>-3.1917385709999998E-4</v>
      </c>
      <c r="I220">
        <v>-5.6309057450000001E-4</v>
      </c>
    </row>
    <row r="221" spans="1:9" hidden="1" x14ac:dyDescent="0.2">
      <c r="A221" t="s">
        <v>103</v>
      </c>
      <c r="B221" t="s">
        <v>828</v>
      </c>
      <c r="C221" t="s">
        <v>24</v>
      </c>
      <c r="D221">
        <v>65.248254309999993</v>
      </c>
      <c r="E221">
        <v>38.919518080000003</v>
      </c>
      <c r="F221">
        <v>42.122531960000003</v>
      </c>
      <c r="G221">
        <v>39.67366646</v>
      </c>
      <c r="H221">
        <v>39.673661389999999</v>
      </c>
      <c r="I221">
        <v>39.673661629999998</v>
      </c>
    </row>
    <row r="222" spans="1:9" hidden="1" x14ac:dyDescent="0.2">
      <c r="A222" t="s">
        <v>103</v>
      </c>
      <c r="B222" t="s">
        <v>825</v>
      </c>
      <c r="C222" t="s">
        <v>24</v>
      </c>
      <c r="D222">
        <v>-60.508631690000001</v>
      </c>
      <c r="E222">
        <v>-36.279100470000003</v>
      </c>
      <c r="F222">
        <v>-39.084777090000003</v>
      </c>
      <c r="G222">
        <v>-35.74001681</v>
      </c>
      <c r="H222">
        <v>-35.740012249999999</v>
      </c>
      <c r="I222">
        <v>-35.740012470000003</v>
      </c>
    </row>
    <row r="223" spans="1:9" hidden="1" x14ac:dyDescent="0.2">
      <c r="A223" t="s">
        <v>104</v>
      </c>
      <c r="B223" t="s">
        <v>821</v>
      </c>
      <c r="C223" t="s">
        <v>5</v>
      </c>
      <c r="D223">
        <v>30.646320339999999</v>
      </c>
      <c r="E223">
        <v>45.902999880000003</v>
      </c>
      <c r="F223">
        <v>48.451499939999998</v>
      </c>
      <c r="G223">
        <v>52.539199830000001</v>
      </c>
      <c r="H223">
        <v>54.415599819999997</v>
      </c>
      <c r="I223">
        <v>56.291999820000001</v>
      </c>
    </row>
    <row r="224" spans="1:9" hidden="1" x14ac:dyDescent="0.2">
      <c r="A224" t="s">
        <v>105</v>
      </c>
      <c r="B224" t="s">
        <v>825</v>
      </c>
      <c r="C224" t="s">
        <v>5</v>
      </c>
      <c r="D224">
        <v>80.838455199999999</v>
      </c>
      <c r="E224">
        <v>51.968765169999998</v>
      </c>
      <c r="F224">
        <v>45.570718210000003</v>
      </c>
      <c r="G224">
        <v>46.165667829999997</v>
      </c>
      <c r="H224">
        <v>42.868119630000002</v>
      </c>
      <c r="I224">
        <v>39.570575380000001</v>
      </c>
    </row>
    <row r="225" spans="1:9" hidden="1" x14ac:dyDescent="0.2">
      <c r="A225" t="s">
        <v>106</v>
      </c>
      <c r="B225" t="s">
        <v>850</v>
      </c>
      <c r="C225" t="s">
        <v>5</v>
      </c>
      <c r="D225">
        <v>11.565271470000001</v>
      </c>
      <c r="E225">
        <v>4.0648531510000002E-5</v>
      </c>
      <c r="F225">
        <v>5.4424899059999997E-5</v>
      </c>
      <c r="G225">
        <v>6.1527494630000004E-7</v>
      </c>
      <c r="H225">
        <v>1.31887943E-5</v>
      </c>
      <c r="I225">
        <v>9.3390028620000005E-5</v>
      </c>
    </row>
    <row r="226" spans="1:9" hidden="1" x14ac:dyDescent="0.2">
      <c r="A226" t="s">
        <v>106</v>
      </c>
      <c r="B226" t="s">
        <v>825</v>
      </c>
      <c r="C226" t="s">
        <v>5</v>
      </c>
      <c r="D226">
        <v>-10.078308</v>
      </c>
      <c r="E226">
        <v>-3.536690261E-5</v>
      </c>
      <c r="F226">
        <v>-4.7206026490000001E-5</v>
      </c>
      <c r="G226">
        <v>-5.3360165479999999E-7</v>
      </c>
      <c r="H226">
        <v>-1.1438081230000001E-5</v>
      </c>
      <c r="I226">
        <v>-8.1003571259999994E-5</v>
      </c>
    </row>
    <row r="227" spans="1:9" hidden="1" x14ac:dyDescent="0.2">
      <c r="A227" t="s">
        <v>107</v>
      </c>
      <c r="B227" t="s">
        <v>828</v>
      </c>
      <c r="C227" t="s">
        <v>5</v>
      </c>
      <c r="D227">
        <v>1.972927496E-5</v>
      </c>
      <c r="E227">
        <v>1.3778872120000001</v>
      </c>
      <c r="F227">
        <v>20.002605280000001</v>
      </c>
      <c r="G227">
        <v>18.550035350000002</v>
      </c>
      <c r="H227">
        <v>12.264377</v>
      </c>
      <c r="I227">
        <v>1.940106562</v>
      </c>
    </row>
    <row r="228" spans="1:9" hidden="1" x14ac:dyDescent="0.2">
      <c r="A228" t="s">
        <v>107</v>
      </c>
      <c r="B228" t="s">
        <v>825</v>
      </c>
      <c r="C228" t="s">
        <v>5</v>
      </c>
      <c r="D228">
        <v>-1.7759991719999999E-5</v>
      </c>
      <c r="E228">
        <v>-1.2400984779999999</v>
      </c>
      <c r="F228">
        <v>-18.002343410000002</v>
      </c>
      <c r="G228">
        <v>-16.695030559999999</v>
      </c>
      <c r="H228">
        <v>-11.03793847</v>
      </c>
      <c r="I228">
        <v>-1.746095784</v>
      </c>
    </row>
    <row r="229" spans="1:9" x14ac:dyDescent="0.2">
      <c r="A229" t="s">
        <v>108</v>
      </c>
      <c r="B229" t="s">
        <v>821</v>
      </c>
      <c r="C229" t="s">
        <v>20</v>
      </c>
      <c r="D229">
        <v>0.96862471299999997</v>
      </c>
      <c r="E229">
        <v>1.2507675</v>
      </c>
      <c r="F229">
        <v>1.3478911229999999</v>
      </c>
      <c r="G229">
        <v>1.3138677729999999</v>
      </c>
      <c r="H229">
        <v>1.5191110139999999</v>
      </c>
      <c r="I229">
        <v>1.5135047500000001</v>
      </c>
    </row>
    <row r="230" spans="1:9" x14ac:dyDescent="0.2">
      <c r="A230" t="s">
        <v>109</v>
      </c>
      <c r="B230" t="s">
        <v>821</v>
      </c>
      <c r="C230" t="s">
        <v>20</v>
      </c>
      <c r="D230">
        <v>0.97197791860000005</v>
      </c>
      <c r="E230">
        <v>1.25535781</v>
      </c>
      <c r="F230">
        <v>1.3621838589999999</v>
      </c>
      <c r="G230">
        <v>1.2792606900000001</v>
      </c>
      <c r="H230">
        <v>1.536442045</v>
      </c>
      <c r="I230">
        <v>1.4928159649999999</v>
      </c>
    </row>
    <row r="231" spans="1:9" x14ac:dyDescent="0.2">
      <c r="A231" t="s">
        <v>110</v>
      </c>
      <c r="B231" t="s">
        <v>821</v>
      </c>
      <c r="C231" t="s">
        <v>20</v>
      </c>
      <c r="D231">
        <v>4.107836368E-7</v>
      </c>
      <c r="E231">
        <v>3.1933991259999998E-6</v>
      </c>
      <c r="F231">
        <v>1.55801051E-6</v>
      </c>
      <c r="G231">
        <v>1.8681156809999999E-8</v>
      </c>
      <c r="H231">
        <v>4.7189379350000002E-7</v>
      </c>
      <c r="I231">
        <v>1.700669276E-6</v>
      </c>
    </row>
    <row r="232" spans="1:9" hidden="1" x14ac:dyDescent="0.2">
      <c r="A232" t="s">
        <v>111</v>
      </c>
      <c r="B232" t="s">
        <v>828</v>
      </c>
      <c r="C232" t="s">
        <v>5</v>
      </c>
      <c r="D232">
        <v>82.317600999999996</v>
      </c>
      <c r="E232">
        <v>57.264511089999999</v>
      </c>
      <c r="F232">
        <v>2.129414326E-5</v>
      </c>
      <c r="G232">
        <v>2.6996017520000001E-7</v>
      </c>
      <c r="H232">
        <v>6.5065908719999996E-6</v>
      </c>
      <c r="I232">
        <v>1.547024533E-5</v>
      </c>
    </row>
    <row r="233" spans="1:9" hidden="1" x14ac:dyDescent="0.2">
      <c r="A233" t="s">
        <v>111</v>
      </c>
      <c r="B233" t="s">
        <v>821</v>
      </c>
      <c r="C233" t="s">
        <v>5</v>
      </c>
      <c r="D233">
        <v>-33.532452130000003</v>
      </c>
      <c r="E233">
        <v>-23.333479870000001</v>
      </c>
      <c r="F233">
        <v>-8.6327591080000001E-6</v>
      </c>
      <c r="G233">
        <v>-1.0904554970000001E-7</v>
      </c>
      <c r="H233">
        <v>-2.6269848640000002E-6</v>
      </c>
      <c r="I233">
        <v>-6.292799301E-6</v>
      </c>
    </row>
    <row r="234" spans="1:9" hidden="1" x14ac:dyDescent="0.2">
      <c r="A234" t="s">
        <v>111</v>
      </c>
      <c r="B234" t="s">
        <v>825</v>
      </c>
      <c r="C234" t="s">
        <v>5</v>
      </c>
      <c r="D234">
        <v>-39.395668860000001</v>
      </c>
      <c r="E234">
        <v>-27.401579219999999</v>
      </c>
      <c r="F234">
        <v>-1.013469496E-5</v>
      </c>
      <c r="G234">
        <v>-1.281831918E-7</v>
      </c>
      <c r="H234">
        <v>-3.0901080860000002E-6</v>
      </c>
      <c r="I234">
        <v>-7.3883456950000003E-6</v>
      </c>
    </row>
    <row r="235" spans="1:9" hidden="1" x14ac:dyDescent="0.2">
      <c r="A235" t="s">
        <v>112</v>
      </c>
      <c r="B235" t="s">
        <v>828</v>
      </c>
      <c r="C235" t="s">
        <v>113</v>
      </c>
      <c r="D235">
        <v>7.7647414729999998E-13</v>
      </c>
      <c r="E235">
        <v>2.154720344E-5</v>
      </c>
      <c r="F235">
        <v>3.5889645670000002E-6</v>
      </c>
      <c r="G235">
        <v>2.3661783640000001E-10</v>
      </c>
      <c r="H235">
        <v>7.4937034359999993E-9</v>
      </c>
      <c r="I235">
        <v>6.6121838390000003E-6</v>
      </c>
    </row>
    <row r="236" spans="1:9" hidden="1" x14ac:dyDescent="0.2">
      <c r="A236" t="s">
        <v>114</v>
      </c>
      <c r="B236" t="s">
        <v>828</v>
      </c>
      <c r="C236" t="s">
        <v>113</v>
      </c>
      <c r="D236">
        <v>-9.1747193659999997E-7</v>
      </c>
      <c r="E236">
        <v>2.09429092E-5</v>
      </c>
      <c r="F236">
        <v>3.5889612489999998E-6</v>
      </c>
      <c r="G236">
        <v>2.3641177899999999E-10</v>
      </c>
      <c r="H236">
        <v>7.4937247520000002E-9</v>
      </c>
      <c r="I236">
        <v>6.6121840520000002E-6</v>
      </c>
    </row>
    <row r="237" spans="1:9" hidden="1" x14ac:dyDescent="0.2">
      <c r="A237" t="s">
        <v>115</v>
      </c>
      <c r="B237" t="s">
        <v>828</v>
      </c>
      <c r="C237" t="s">
        <v>113</v>
      </c>
      <c r="D237">
        <v>1.6321229170000001E-7</v>
      </c>
      <c r="E237">
        <v>2.163329935E-5</v>
      </c>
      <c r="F237">
        <v>3.5889540869999999E-6</v>
      </c>
      <c r="G237">
        <v>2.3652546589999998E-10</v>
      </c>
      <c r="H237">
        <v>7.4935542219999993E-9</v>
      </c>
      <c r="I237">
        <v>6.6121839949999996E-6</v>
      </c>
    </row>
    <row r="238" spans="1:9" hidden="1" x14ac:dyDescent="0.2">
      <c r="A238" t="s">
        <v>116</v>
      </c>
      <c r="B238" t="s">
        <v>828</v>
      </c>
      <c r="C238" t="s">
        <v>113</v>
      </c>
      <c r="D238">
        <v>8.0235021950000006E-8</v>
      </c>
      <c r="E238">
        <v>4.4313037910000003E-5</v>
      </c>
      <c r="F238">
        <v>7.1779323459999997E-6</v>
      </c>
      <c r="G238">
        <v>9.512248766E-10</v>
      </c>
      <c r="H238">
        <v>3.015342998E-8</v>
      </c>
      <c r="I238">
        <v>2.660616754E-5</v>
      </c>
    </row>
    <row r="239" spans="1:9" hidden="1" x14ac:dyDescent="0.2">
      <c r="A239" t="s">
        <v>117</v>
      </c>
      <c r="B239" t="s">
        <v>828</v>
      </c>
      <c r="C239" t="s">
        <v>113</v>
      </c>
      <c r="D239">
        <v>-9.4051169299999999E-13</v>
      </c>
      <c r="E239">
        <v>2.1547166710000001E-5</v>
      </c>
      <c r="F239">
        <v>3.58896466E-6</v>
      </c>
      <c r="G239">
        <v>2.3660362560000001E-10</v>
      </c>
      <c r="H239">
        <v>7.4937389629999998E-9</v>
      </c>
      <c r="I239">
        <v>6.6121838239999997E-6</v>
      </c>
    </row>
    <row r="240" spans="1:9" hidden="1" x14ac:dyDescent="0.2">
      <c r="A240" t="s">
        <v>118</v>
      </c>
      <c r="B240" t="s">
        <v>828</v>
      </c>
      <c r="C240" t="s">
        <v>113</v>
      </c>
      <c r="D240">
        <v>-2.7543870830000002E-7</v>
      </c>
      <c r="E240">
        <v>2.207314267E-5</v>
      </c>
      <c r="F240">
        <v>3.5889612779999998E-6</v>
      </c>
      <c r="G240">
        <v>2.3729285199999998E-10</v>
      </c>
      <c r="H240">
        <v>7.4937815949999999E-9</v>
      </c>
      <c r="I240">
        <v>6.6121836540000002E-6</v>
      </c>
    </row>
    <row r="241" spans="1:9" hidden="1" x14ac:dyDescent="0.2">
      <c r="A241" t="s">
        <v>119</v>
      </c>
      <c r="B241" t="s">
        <v>828</v>
      </c>
      <c r="C241" t="s">
        <v>113</v>
      </c>
      <c r="D241">
        <v>-1.225458846E-8</v>
      </c>
      <c r="E241">
        <v>4.3603942600000002E-5</v>
      </c>
      <c r="F241">
        <v>7.2206467219999998E-6</v>
      </c>
      <c r="G241">
        <v>4.7634785009999999E-10</v>
      </c>
      <c r="H241">
        <v>1.5076693669999999E-8</v>
      </c>
      <c r="I241">
        <v>1.330308424E-5</v>
      </c>
    </row>
    <row r="242" spans="1:9" x14ac:dyDescent="0.2">
      <c r="A242" t="s">
        <v>120</v>
      </c>
      <c r="B242" t="s">
        <v>821</v>
      </c>
      <c r="C242" t="s">
        <v>20</v>
      </c>
      <c r="D242">
        <v>-3.7269449680000001E-20</v>
      </c>
      <c r="E242">
        <v>-1.5585406229999999E-19</v>
      </c>
      <c r="F242">
        <v>3.3881317889999998E-20</v>
      </c>
      <c r="G242">
        <v>2.6469779599999998E-22</v>
      </c>
      <c r="H242">
        <v>1.6940658949999998E-21</v>
      </c>
      <c r="I242">
        <v>-1.084202172E-19</v>
      </c>
    </row>
    <row r="243" spans="1:9" x14ac:dyDescent="0.2">
      <c r="A243" t="s">
        <v>121</v>
      </c>
      <c r="B243" t="s">
        <v>821</v>
      </c>
      <c r="C243" t="s">
        <v>20</v>
      </c>
      <c r="D243">
        <v>3.3796560059999999E-6</v>
      </c>
      <c r="E243">
        <v>1.8585936419999999E-5</v>
      </c>
      <c r="F243">
        <v>1.3110099849999999E-5</v>
      </c>
      <c r="G243">
        <v>8.3783716749999996E-8</v>
      </c>
      <c r="H243">
        <v>5.6583852730000002E-6</v>
      </c>
      <c r="I243">
        <v>3.5652577150000003E-5</v>
      </c>
    </row>
    <row r="244" spans="1:9" x14ac:dyDescent="0.2">
      <c r="A244" t="s">
        <v>122</v>
      </c>
      <c r="B244" t="s">
        <v>828</v>
      </c>
      <c r="C244" t="s">
        <v>20</v>
      </c>
      <c r="D244">
        <v>9.4994441629999994E-6</v>
      </c>
      <c r="E244">
        <v>5.230022669E-5</v>
      </c>
      <c r="F244">
        <v>3.6751005340000002E-5</v>
      </c>
      <c r="G244">
        <v>2.345972236E-7</v>
      </c>
      <c r="H244">
        <v>1.5843567980000001E-5</v>
      </c>
      <c r="I244">
        <v>9.9905932510000004E-5</v>
      </c>
    </row>
    <row r="245" spans="1:9" x14ac:dyDescent="0.2">
      <c r="A245" t="s">
        <v>122</v>
      </c>
      <c r="B245" t="s">
        <v>821</v>
      </c>
      <c r="C245" t="s">
        <v>20</v>
      </c>
      <c r="D245">
        <v>-6.1494591970000002E-19</v>
      </c>
      <c r="E245">
        <v>2.7782680669999999E-19</v>
      </c>
      <c r="F245">
        <v>-2.0328790729999999E-20</v>
      </c>
      <c r="G245">
        <v>5.2939559200000001E-23</v>
      </c>
      <c r="H245">
        <v>0</v>
      </c>
      <c r="I245">
        <v>0</v>
      </c>
    </row>
    <row r="246" spans="1:9" hidden="1" x14ac:dyDescent="0.2">
      <c r="A246" t="s">
        <v>123</v>
      </c>
      <c r="B246" t="s">
        <v>825</v>
      </c>
      <c r="C246" t="s">
        <v>87</v>
      </c>
      <c r="D246">
        <v>21.629135130000002</v>
      </c>
      <c r="E246">
        <v>23.983467099999999</v>
      </c>
      <c r="F246">
        <v>23.653917310000001</v>
      </c>
      <c r="G246">
        <v>23.291240689999999</v>
      </c>
      <c r="H246">
        <v>22.986009599999999</v>
      </c>
      <c r="I246">
        <v>22.864225390000001</v>
      </c>
    </row>
    <row r="247" spans="1:9" hidden="1" x14ac:dyDescent="0.2">
      <c r="A247" t="s">
        <v>124</v>
      </c>
      <c r="B247" t="s">
        <v>821</v>
      </c>
      <c r="C247" t="s">
        <v>87</v>
      </c>
      <c r="D247">
        <v>5.5660386089999996</v>
      </c>
      <c r="E247">
        <v>7.0911679269999999</v>
      </c>
      <c r="F247">
        <v>7.3774700160000002</v>
      </c>
      <c r="G247">
        <v>7.6901345250000004</v>
      </c>
      <c r="H247">
        <v>7.9929361339999998</v>
      </c>
      <c r="I247">
        <v>8.3055601120000002</v>
      </c>
    </row>
    <row r="248" spans="1:9" hidden="1" x14ac:dyDescent="0.2">
      <c r="A248" t="s">
        <v>125</v>
      </c>
      <c r="B248" t="s">
        <v>851</v>
      </c>
      <c r="C248" t="s">
        <v>87</v>
      </c>
      <c r="D248">
        <v>5.4560395310000001</v>
      </c>
      <c r="E248">
        <v>1.3121043899999999E-4</v>
      </c>
      <c r="F248">
        <v>2.438613195E-4</v>
      </c>
      <c r="G248">
        <v>1.70958753E-5</v>
      </c>
      <c r="H248">
        <v>1.0023618379999999E-4</v>
      </c>
      <c r="I248">
        <v>1.4434854489999999E-3</v>
      </c>
    </row>
    <row r="249" spans="1:9" hidden="1" x14ac:dyDescent="0.2">
      <c r="A249" t="s">
        <v>125</v>
      </c>
      <c r="B249" t="s">
        <v>848</v>
      </c>
      <c r="C249" t="s">
        <v>87</v>
      </c>
      <c r="D249">
        <v>16.173010479999999</v>
      </c>
      <c r="E249">
        <v>23.981804230000002</v>
      </c>
      <c r="F249">
        <v>2.3544126049999999E-3</v>
      </c>
      <c r="G249">
        <v>1.8636701140000001E-5</v>
      </c>
      <c r="H249">
        <v>2.3422845029999999E-4</v>
      </c>
      <c r="I249">
        <v>1.633581339E-3</v>
      </c>
    </row>
    <row r="250" spans="1:9" hidden="1" x14ac:dyDescent="0.2">
      <c r="A250" t="s">
        <v>125</v>
      </c>
      <c r="B250" t="s">
        <v>852</v>
      </c>
      <c r="C250" t="s">
        <v>87</v>
      </c>
      <c r="D250">
        <v>2.1336926159999999E-6</v>
      </c>
      <c r="E250">
        <v>1.342663548E-4</v>
      </c>
      <c r="F250">
        <v>2.3457299120000001E-4</v>
      </c>
      <c r="G250">
        <v>1.5605487490000001E-5</v>
      </c>
      <c r="H250">
        <v>9.5548028079999996E-5</v>
      </c>
      <c r="I250">
        <v>1.0824787839999999E-3</v>
      </c>
    </row>
    <row r="251" spans="1:9" hidden="1" x14ac:dyDescent="0.2">
      <c r="A251" t="s">
        <v>125</v>
      </c>
      <c r="B251" t="s">
        <v>825</v>
      </c>
      <c r="C251" t="s">
        <v>87</v>
      </c>
      <c r="D251">
        <v>-21.629052099999999</v>
      </c>
      <c r="E251">
        <v>-23.982069190000001</v>
      </c>
      <c r="F251">
        <v>-2.8327614659999999E-3</v>
      </c>
      <c r="G251">
        <v>-5.1337986129999998E-5</v>
      </c>
      <c r="H251">
        <v>-4.300124807E-4</v>
      </c>
      <c r="I251">
        <v>-4.1598914989999999E-3</v>
      </c>
    </row>
    <row r="252" spans="1:9" hidden="1" x14ac:dyDescent="0.2">
      <c r="A252" t="s">
        <v>126</v>
      </c>
      <c r="B252" t="s">
        <v>853</v>
      </c>
      <c r="C252" t="s">
        <v>87</v>
      </c>
      <c r="D252">
        <v>3.0840117909999997E-5</v>
      </c>
      <c r="E252">
        <v>2.9557783219999998E-4</v>
      </c>
      <c r="F252">
        <v>22.313279420000001</v>
      </c>
      <c r="G252">
        <v>22.56406527</v>
      </c>
      <c r="H252">
        <v>22.34749442</v>
      </c>
      <c r="I252">
        <v>22.76475172</v>
      </c>
    </row>
    <row r="253" spans="1:9" hidden="1" x14ac:dyDescent="0.2">
      <c r="A253" t="s">
        <v>126</v>
      </c>
      <c r="B253" t="s">
        <v>819</v>
      </c>
      <c r="C253" t="s">
        <v>87</v>
      </c>
      <c r="D253">
        <v>5.4110019859999997E-6</v>
      </c>
      <c r="E253">
        <v>1.1472953360000001E-4</v>
      </c>
      <c r="F253">
        <v>1.298757621</v>
      </c>
      <c r="G253">
        <v>0.65110960039999999</v>
      </c>
      <c r="H253">
        <v>0</v>
      </c>
      <c r="I253">
        <v>0</v>
      </c>
    </row>
    <row r="254" spans="1:9" hidden="1" x14ac:dyDescent="0.2">
      <c r="A254" t="s">
        <v>126</v>
      </c>
      <c r="B254" t="s">
        <v>854</v>
      </c>
      <c r="C254" t="s">
        <v>87</v>
      </c>
      <c r="D254">
        <v>2.6310175569999999E-5</v>
      </c>
      <c r="E254">
        <v>4.963334716E-4</v>
      </c>
      <c r="F254">
        <v>1.989275452E-2</v>
      </c>
      <c r="G254">
        <v>3.8046300989999997E-2</v>
      </c>
      <c r="H254">
        <v>0.21682764509999999</v>
      </c>
      <c r="I254">
        <v>6.2785828710000005E-2</v>
      </c>
    </row>
    <row r="255" spans="1:9" hidden="1" x14ac:dyDescent="0.2">
      <c r="A255" t="s">
        <v>126</v>
      </c>
      <c r="B255" t="s">
        <v>855</v>
      </c>
      <c r="C255" t="s">
        <v>87</v>
      </c>
      <c r="D255">
        <v>2.0624692269999999E-5</v>
      </c>
      <c r="E255">
        <v>4.9256707499999999E-4</v>
      </c>
      <c r="F255">
        <v>1.9154968080000001E-2</v>
      </c>
      <c r="G255">
        <v>3.7968179259999998E-2</v>
      </c>
      <c r="H255">
        <v>9.9974409040000004E-2</v>
      </c>
      <c r="I255">
        <v>3.2528724760000002E-2</v>
      </c>
    </row>
    <row r="256" spans="1:9" hidden="1" x14ac:dyDescent="0.2">
      <c r="A256" t="s">
        <v>126</v>
      </c>
      <c r="B256" t="s">
        <v>825</v>
      </c>
      <c r="C256" t="s">
        <v>87</v>
      </c>
      <c r="D256">
        <v>-8.310407122E-5</v>
      </c>
      <c r="E256">
        <v>-1.3984290979999999E-3</v>
      </c>
      <c r="F256">
        <v>-23.651084640000001</v>
      </c>
      <c r="G256">
        <v>-23.29118935</v>
      </c>
      <c r="H256">
        <v>-22.98557959</v>
      </c>
      <c r="I256">
        <v>-22.860065649999999</v>
      </c>
    </row>
    <row r="257" spans="1:9" hidden="1" x14ac:dyDescent="0.2">
      <c r="A257" t="s">
        <v>127</v>
      </c>
      <c r="B257" t="s">
        <v>835</v>
      </c>
      <c r="C257" t="s">
        <v>128</v>
      </c>
      <c r="D257">
        <v>-101.3948118</v>
      </c>
      <c r="E257">
        <v>-93.059537809999995</v>
      </c>
      <c r="F257">
        <v>-85.275114419999994</v>
      </c>
      <c r="G257">
        <v>-77.398597890000005</v>
      </c>
      <c r="H257">
        <v>-69.663785450000006</v>
      </c>
      <c r="I257">
        <v>-61.928973390000003</v>
      </c>
    </row>
    <row r="258" spans="1:9" hidden="1" x14ac:dyDescent="0.2">
      <c r="A258" t="s">
        <v>127</v>
      </c>
      <c r="B258" t="s">
        <v>853</v>
      </c>
      <c r="C258" t="s">
        <v>128</v>
      </c>
      <c r="D258">
        <v>-121.5878706</v>
      </c>
      <c r="E258">
        <v>-110.7916587</v>
      </c>
      <c r="F258">
        <v>-102.0355399</v>
      </c>
      <c r="G258">
        <v>-92.832534940000002</v>
      </c>
      <c r="H258">
        <v>-83.555335290000002</v>
      </c>
      <c r="I258">
        <v>-74.278136059999994</v>
      </c>
    </row>
    <row r="259" spans="1:9" hidden="1" x14ac:dyDescent="0.2">
      <c r="A259" t="s">
        <v>127</v>
      </c>
      <c r="B259" t="s">
        <v>848</v>
      </c>
      <c r="C259" t="s">
        <v>128</v>
      </c>
      <c r="D259">
        <v>-627.40054069999996</v>
      </c>
      <c r="E259">
        <v>-571.69145390000006</v>
      </c>
      <c r="F259">
        <v>-526.50936779999995</v>
      </c>
      <c r="G259">
        <v>-479.0213225</v>
      </c>
      <c r="H259">
        <v>-431.15042840000001</v>
      </c>
      <c r="I259">
        <v>-383.27953659999997</v>
      </c>
    </row>
    <row r="260" spans="1:9" hidden="1" x14ac:dyDescent="0.2">
      <c r="A260" t="s">
        <v>127</v>
      </c>
      <c r="B260" t="s">
        <v>821</v>
      </c>
      <c r="C260" t="s">
        <v>128</v>
      </c>
      <c r="D260">
        <v>9.6012101540000003</v>
      </c>
      <c r="E260">
        <v>9.0887698290000003</v>
      </c>
      <c r="F260">
        <v>8.4429298250000002</v>
      </c>
      <c r="G260">
        <v>7.5117585179999997</v>
      </c>
      <c r="H260">
        <v>6.7610725260000004</v>
      </c>
      <c r="I260">
        <v>6.0103865709999997</v>
      </c>
    </row>
    <row r="261" spans="1:9" hidden="1" x14ac:dyDescent="0.2">
      <c r="A261" t="s">
        <v>127</v>
      </c>
      <c r="B261" t="s">
        <v>856</v>
      </c>
      <c r="C261" t="s">
        <v>128</v>
      </c>
      <c r="D261">
        <v>-290.3048268</v>
      </c>
      <c r="E261">
        <v>-264.52764819999999</v>
      </c>
      <c r="F261">
        <v>-243.62142170000001</v>
      </c>
      <c r="G261">
        <v>-221.6482038</v>
      </c>
      <c r="H261">
        <v>-199.4978376</v>
      </c>
      <c r="I261">
        <v>-177.34747250000001</v>
      </c>
    </row>
    <row r="262" spans="1:9" hidden="1" x14ac:dyDescent="0.2">
      <c r="A262" t="s">
        <v>127</v>
      </c>
      <c r="B262" t="s">
        <v>832</v>
      </c>
      <c r="C262" t="s">
        <v>128</v>
      </c>
      <c r="D262">
        <v>96.137771240000006</v>
      </c>
      <c r="E262">
        <v>87.172572639999999</v>
      </c>
      <c r="F262">
        <v>79.037410789999996</v>
      </c>
      <c r="G262">
        <v>71.389561079999993</v>
      </c>
      <c r="H262">
        <v>64.255260460000002</v>
      </c>
      <c r="I262">
        <v>57.120960189999998</v>
      </c>
    </row>
    <row r="263" spans="1:9" hidden="1" x14ac:dyDescent="0.2">
      <c r="A263" t="s">
        <v>127</v>
      </c>
      <c r="B263" t="s">
        <v>857</v>
      </c>
      <c r="C263" t="s">
        <v>128</v>
      </c>
      <c r="D263">
        <v>-281.70688439999998</v>
      </c>
      <c r="E263">
        <v>-256.69314600000001</v>
      </c>
      <c r="F263">
        <v>-236.4060982</v>
      </c>
      <c r="G263">
        <v>-215.08365989999999</v>
      </c>
      <c r="H263">
        <v>-193.58932010000001</v>
      </c>
      <c r="I263">
        <v>-172.0949813</v>
      </c>
    </row>
    <row r="264" spans="1:9" hidden="1" x14ac:dyDescent="0.2">
      <c r="A264" t="s">
        <v>127</v>
      </c>
      <c r="B264" t="s">
        <v>850</v>
      </c>
      <c r="C264" t="s">
        <v>128</v>
      </c>
      <c r="D264">
        <v>-54.612373830000003</v>
      </c>
      <c r="E264">
        <v>-49.763150340000003</v>
      </c>
      <c r="F264">
        <v>-45.830254500000002</v>
      </c>
      <c r="G264">
        <v>-41.696635350000001</v>
      </c>
      <c r="H264">
        <v>-37.529690960000003</v>
      </c>
      <c r="I264">
        <v>-33.362746770000001</v>
      </c>
    </row>
    <row r="265" spans="1:9" hidden="1" x14ac:dyDescent="0.2">
      <c r="A265" t="s">
        <v>127</v>
      </c>
      <c r="B265" t="s">
        <v>838</v>
      </c>
      <c r="C265" t="s">
        <v>128</v>
      </c>
      <c r="D265">
        <v>-285.40193929999998</v>
      </c>
      <c r="E265">
        <v>-260.06010500000002</v>
      </c>
      <c r="F265">
        <v>-239.50695870000001</v>
      </c>
      <c r="G265">
        <v>-217.9048411</v>
      </c>
      <c r="H265">
        <v>-196.1285671</v>
      </c>
      <c r="I265">
        <v>-174.35229419999999</v>
      </c>
    </row>
    <row r="266" spans="1:9" hidden="1" x14ac:dyDescent="0.2">
      <c r="A266" t="s">
        <v>127</v>
      </c>
      <c r="B266" t="s">
        <v>849</v>
      </c>
      <c r="C266" t="s">
        <v>128</v>
      </c>
      <c r="D266">
        <v>1947.447516</v>
      </c>
      <c r="E266">
        <v>1787.355413</v>
      </c>
      <c r="F266">
        <v>1637.8432660000001</v>
      </c>
      <c r="G266">
        <v>1486.5623250000001</v>
      </c>
      <c r="H266">
        <v>1338.003035</v>
      </c>
      <c r="I266">
        <v>1189.4437519999999</v>
      </c>
    </row>
    <row r="267" spans="1:9" hidden="1" x14ac:dyDescent="0.2">
      <c r="A267" t="s">
        <v>127</v>
      </c>
      <c r="B267" t="s">
        <v>841</v>
      </c>
      <c r="C267" t="s">
        <v>128</v>
      </c>
      <c r="D267">
        <v>-65.476374590000006</v>
      </c>
      <c r="E267">
        <v>-58.994572929999997</v>
      </c>
      <c r="F267">
        <v>-54.761811369999997</v>
      </c>
      <c r="G267">
        <v>-50.007821649999997</v>
      </c>
      <c r="H267">
        <v>-45.010300620000002</v>
      </c>
      <c r="I267">
        <v>-40.012779829999999</v>
      </c>
    </row>
    <row r="268" spans="1:9" hidden="1" x14ac:dyDescent="0.2">
      <c r="A268" t="s">
        <v>127</v>
      </c>
      <c r="B268" t="s">
        <v>858</v>
      </c>
      <c r="C268" t="s">
        <v>128</v>
      </c>
      <c r="D268">
        <v>-134.88816979999999</v>
      </c>
      <c r="E268">
        <v>-137.5487455</v>
      </c>
      <c r="F268">
        <v>-119.0084269</v>
      </c>
      <c r="G268">
        <v>-107.1863829</v>
      </c>
      <c r="H268">
        <v>-96.474734479999995</v>
      </c>
      <c r="I268">
        <v>-85.76308659</v>
      </c>
    </row>
    <row r="269" spans="1:9" hidden="1" x14ac:dyDescent="0.2">
      <c r="A269" t="s">
        <v>127</v>
      </c>
      <c r="B269" t="s">
        <v>824</v>
      </c>
      <c r="C269" t="s">
        <v>128</v>
      </c>
      <c r="D269">
        <v>58.162309229999998</v>
      </c>
      <c r="E269">
        <v>59.966794190000002</v>
      </c>
      <c r="F269">
        <v>57.722363270000002</v>
      </c>
      <c r="G269">
        <v>52.026292060000003</v>
      </c>
      <c r="H269">
        <v>46.827055620000003</v>
      </c>
      <c r="I269">
        <v>41.627819420000002</v>
      </c>
    </row>
    <row r="270" spans="1:9" hidden="1" x14ac:dyDescent="0.2">
      <c r="A270" t="s">
        <v>129</v>
      </c>
      <c r="B270" t="s">
        <v>828</v>
      </c>
      <c r="C270" t="s">
        <v>128</v>
      </c>
      <c r="D270">
        <v>6.9463260130000001E-5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hidden="1" x14ac:dyDescent="0.2">
      <c r="A271" t="s">
        <v>129</v>
      </c>
      <c r="B271" t="s">
        <v>821</v>
      </c>
      <c r="C271" t="s">
        <v>128</v>
      </c>
      <c r="D271">
        <v>-1.738532882E-5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hidden="1" x14ac:dyDescent="0.2">
      <c r="A272" t="s">
        <v>129</v>
      </c>
      <c r="B272" t="s">
        <v>832</v>
      </c>
      <c r="C272" t="s">
        <v>128</v>
      </c>
      <c r="D272">
        <v>-4.1684189459999998E-5</v>
      </c>
    </row>
    <row r="273" spans="1:9" hidden="1" x14ac:dyDescent="0.2">
      <c r="A273" t="s">
        <v>129</v>
      </c>
      <c r="B273" t="s">
        <v>825</v>
      </c>
      <c r="C273" t="s">
        <v>128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hidden="1" x14ac:dyDescent="0.2">
      <c r="A274" t="s">
        <v>130</v>
      </c>
      <c r="B274" t="s">
        <v>828</v>
      </c>
      <c r="C274" t="s">
        <v>128</v>
      </c>
      <c r="D274">
        <v>4.2556736040000003E-5</v>
      </c>
      <c r="E274">
        <v>5.0608840010000003E-4</v>
      </c>
      <c r="F274">
        <v>1.170618673E-4</v>
      </c>
      <c r="G274">
        <v>2.7281303379999999E-6</v>
      </c>
      <c r="H274">
        <v>1.079767531E-5</v>
      </c>
      <c r="I274">
        <v>3.2727204509999999E-5</v>
      </c>
    </row>
    <row r="275" spans="1:9" hidden="1" x14ac:dyDescent="0.2">
      <c r="A275" t="s">
        <v>130</v>
      </c>
      <c r="B275" t="s">
        <v>832</v>
      </c>
      <c r="C275" t="s">
        <v>128</v>
      </c>
      <c r="D275">
        <v>-3.8371775299999997E-5</v>
      </c>
      <c r="E275">
        <v>-4.7458265319999998E-4</v>
      </c>
      <c r="F275">
        <v>-1.0853855809999999E-4</v>
      </c>
      <c r="G275">
        <v>-2.4547874970000001E-6</v>
      </c>
      <c r="H275">
        <v>-9.7231136549999994E-6</v>
      </c>
      <c r="I275">
        <v>-3.540544949E-5</v>
      </c>
    </row>
    <row r="276" spans="1:9" hidden="1" x14ac:dyDescent="0.2">
      <c r="A276" t="s">
        <v>131</v>
      </c>
      <c r="B276" t="s">
        <v>821</v>
      </c>
      <c r="C276" t="s">
        <v>128</v>
      </c>
      <c r="D276">
        <v>-3.7993148220000001E-7</v>
      </c>
      <c r="E276">
        <v>-3.354412596E-6</v>
      </c>
      <c r="F276">
        <v>-1.2599945749999999E-6</v>
      </c>
      <c r="G276">
        <v>0</v>
      </c>
      <c r="H276">
        <v>-2.6122781669999997E-7</v>
      </c>
      <c r="I276">
        <v>-1.110296233E-6</v>
      </c>
    </row>
    <row r="277" spans="1:9" hidden="1" x14ac:dyDescent="0.2">
      <c r="A277" t="s">
        <v>131</v>
      </c>
      <c r="B277" t="s">
        <v>832</v>
      </c>
      <c r="C277" t="s">
        <v>128</v>
      </c>
      <c r="D277">
        <v>-8.4208393320000007E-6</v>
      </c>
      <c r="E277">
        <v>-8.0910335039999999E-5</v>
      </c>
      <c r="F277">
        <v>-2.8622429949999998E-5</v>
      </c>
      <c r="G277">
        <v>-3.2391368030000001E-7</v>
      </c>
      <c r="H277">
        <v>-6.5646335239999999E-6</v>
      </c>
      <c r="I277">
        <v>-2.9593537519999999E-5</v>
      </c>
    </row>
    <row r="278" spans="1:9" hidden="1" x14ac:dyDescent="0.2">
      <c r="A278" t="s">
        <v>131</v>
      </c>
      <c r="B278" t="s">
        <v>841</v>
      </c>
      <c r="C278" t="s">
        <v>128</v>
      </c>
      <c r="D278">
        <v>2.5701778999999998E-6</v>
      </c>
      <c r="E278">
        <v>2.958702931E-5</v>
      </c>
      <c r="F278">
        <v>1.0625060630000001E-5</v>
      </c>
      <c r="G278">
        <v>1.2361817439999999E-7</v>
      </c>
      <c r="H278">
        <v>2.5771450570000001E-6</v>
      </c>
      <c r="I278">
        <v>1.195805615E-5</v>
      </c>
    </row>
    <row r="279" spans="1:9" hidden="1" x14ac:dyDescent="0.2">
      <c r="A279" t="s">
        <v>131</v>
      </c>
      <c r="B279" t="s">
        <v>858</v>
      </c>
      <c r="C279" t="s">
        <v>128</v>
      </c>
      <c r="D279">
        <v>7.5941434549999996E-6</v>
      </c>
      <c r="E279">
        <v>6.8713912880000004E-5</v>
      </c>
      <c r="F279">
        <v>2.4696489409999999E-5</v>
      </c>
      <c r="G279">
        <v>2.6717958990000001E-7</v>
      </c>
      <c r="H279">
        <v>5.1530951109999996E-6</v>
      </c>
      <c r="I279">
        <v>2.1990494049999998E-5</v>
      </c>
    </row>
    <row r="280" spans="1:9" hidden="1" x14ac:dyDescent="0.2">
      <c r="A280" t="s">
        <v>132</v>
      </c>
      <c r="B280" t="s">
        <v>821</v>
      </c>
      <c r="C280" t="s">
        <v>128</v>
      </c>
      <c r="D280">
        <v>-2.0536753790000001E-7</v>
      </c>
      <c r="E280">
        <v>-6.8438760850000002E-6</v>
      </c>
      <c r="F280">
        <v>-1.057918838E-6</v>
      </c>
      <c r="G280">
        <v>0</v>
      </c>
      <c r="H280">
        <v>-6.7200914970000002E-7</v>
      </c>
      <c r="I280">
        <v>-2.8118178950000001E-6</v>
      </c>
    </row>
    <row r="281" spans="1:9" hidden="1" x14ac:dyDescent="0.2">
      <c r="A281" t="s">
        <v>132</v>
      </c>
      <c r="B281" t="s">
        <v>832</v>
      </c>
      <c r="C281" t="s">
        <v>128</v>
      </c>
      <c r="D281">
        <v>-6.7333303129999997E-6</v>
      </c>
      <c r="E281">
        <v>-2.9002921959999999E-4</v>
      </c>
      <c r="F281">
        <v>-6.8857845080000005E-5</v>
      </c>
      <c r="G281">
        <v>-1.429002179E-6</v>
      </c>
      <c r="H281">
        <v>-2.0618727049999999E-5</v>
      </c>
      <c r="I281">
        <v>-4.9939424379999997E-5</v>
      </c>
    </row>
    <row r="282" spans="1:9" hidden="1" x14ac:dyDescent="0.2">
      <c r="A282" t="s">
        <v>132</v>
      </c>
      <c r="B282" t="s">
        <v>858</v>
      </c>
      <c r="C282" t="s">
        <v>128</v>
      </c>
      <c r="D282">
        <v>7.8426581900000005E-6</v>
      </c>
      <c r="E282">
        <v>3.3611913430000001E-4</v>
      </c>
      <c r="F282">
        <v>7.8503301979999997E-5</v>
      </c>
      <c r="G282">
        <v>1.646178216E-6</v>
      </c>
      <c r="H282">
        <v>2.421482126E-5</v>
      </c>
      <c r="I282">
        <v>6.1548150220000001E-5</v>
      </c>
    </row>
    <row r="283" spans="1:9" hidden="1" x14ac:dyDescent="0.2">
      <c r="A283" t="s">
        <v>133</v>
      </c>
      <c r="B283" t="s">
        <v>828</v>
      </c>
      <c r="C283" t="s">
        <v>113</v>
      </c>
      <c r="D283">
        <v>-1.006945257E-5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hidden="1" x14ac:dyDescent="0.2">
      <c r="A284" t="s">
        <v>133</v>
      </c>
      <c r="B284" t="s">
        <v>824</v>
      </c>
      <c r="C284" t="s">
        <v>113</v>
      </c>
      <c r="D284">
        <v>1.00512489E-5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2">
      <c r="A285" t="s">
        <v>134</v>
      </c>
      <c r="B285" t="s">
        <v>828</v>
      </c>
      <c r="C285" t="s">
        <v>20</v>
      </c>
      <c r="D285">
        <v>5.7252361959999998E-2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2">
      <c r="A286" t="s">
        <v>134</v>
      </c>
      <c r="B286" t="s">
        <v>820</v>
      </c>
      <c r="C286" t="s">
        <v>20</v>
      </c>
      <c r="D286">
        <v>1.45081189E-2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2">
      <c r="A287" t="s">
        <v>134</v>
      </c>
      <c r="B287" t="s">
        <v>859</v>
      </c>
      <c r="C287" t="s">
        <v>20</v>
      </c>
      <c r="D287">
        <v>1.75501362E-2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2">
      <c r="A288" t="s">
        <v>134</v>
      </c>
      <c r="B288" t="s">
        <v>821</v>
      </c>
      <c r="C288" t="s">
        <v>20</v>
      </c>
      <c r="D288">
        <v>-0.1067826436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2">
      <c r="A289" t="s">
        <v>134</v>
      </c>
      <c r="B289" t="s">
        <v>860</v>
      </c>
      <c r="C289" t="s">
        <v>20</v>
      </c>
      <c r="D289">
        <v>0.24687144019999999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2">
      <c r="A290" t="s">
        <v>134</v>
      </c>
      <c r="B290" t="s">
        <v>825</v>
      </c>
      <c r="C290" t="s">
        <v>20</v>
      </c>
      <c r="D290">
        <v>-6.1698387239999999E-2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hidden="1" x14ac:dyDescent="0.2">
      <c r="A291" t="s">
        <v>135</v>
      </c>
      <c r="B291" t="s">
        <v>821</v>
      </c>
      <c r="C291" t="s">
        <v>11</v>
      </c>
      <c r="D291">
        <v>4.8335846960000002E-6</v>
      </c>
      <c r="E291">
        <v>1.8608782070000001E-3</v>
      </c>
      <c r="F291">
        <v>1.065003067E-5</v>
      </c>
      <c r="G291">
        <v>1.365768904E-7</v>
      </c>
      <c r="H291">
        <v>4.9117909559999999E-6</v>
      </c>
      <c r="I291">
        <v>4.2136246580000001E-5</v>
      </c>
    </row>
    <row r="292" spans="1:9" hidden="1" x14ac:dyDescent="0.2">
      <c r="A292" t="s">
        <v>135</v>
      </c>
      <c r="B292" t="s">
        <v>824</v>
      </c>
      <c r="C292" t="s">
        <v>11</v>
      </c>
      <c r="D292">
        <v>2.7525182649999999E-17</v>
      </c>
      <c r="E292">
        <v>1.040834086E-17</v>
      </c>
      <c r="F292">
        <v>1.4365678789999999E-18</v>
      </c>
      <c r="G292">
        <v>0</v>
      </c>
      <c r="H292">
        <v>-1.3552527159999999E-20</v>
      </c>
      <c r="I292">
        <v>1.3010426069999999E-18</v>
      </c>
    </row>
    <row r="293" spans="1:9" hidden="1" x14ac:dyDescent="0.2">
      <c r="A293" t="s">
        <v>136</v>
      </c>
      <c r="B293" t="s">
        <v>824</v>
      </c>
      <c r="C293" t="s">
        <v>11</v>
      </c>
      <c r="D293">
        <v>9.0856142049999994E-17</v>
      </c>
      <c r="E293">
        <v>3.4694469519999998E-18</v>
      </c>
      <c r="F293">
        <v>1.1113072270000001E-18</v>
      </c>
      <c r="G293">
        <v>0</v>
      </c>
      <c r="H293">
        <v>-2.710505431E-20</v>
      </c>
      <c r="I293">
        <v>1.517883041E-18</v>
      </c>
    </row>
    <row r="294" spans="1:9" hidden="1" x14ac:dyDescent="0.2">
      <c r="A294" t="s">
        <v>137</v>
      </c>
      <c r="B294" t="s">
        <v>824</v>
      </c>
      <c r="C294" t="s">
        <v>11</v>
      </c>
      <c r="D294">
        <v>1.005055414E-16</v>
      </c>
      <c r="E294">
        <v>-3.611694277E-15</v>
      </c>
      <c r="F294">
        <v>-1.680513367E-18</v>
      </c>
      <c r="G294">
        <v>4.2351647360000001E-22</v>
      </c>
      <c r="H294">
        <v>-1.3552527159999999E-20</v>
      </c>
      <c r="I294">
        <v>-1.3010426069999999E-18</v>
      </c>
    </row>
    <row r="295" spans="1:9" hidden="1" x14ac:dyDescent="0.2">
      <c r="A295" t="s">
        <v>138</v>
      </c>
      <c r="B295" t="s">
        <v>821</v>
      </c>
      <c r="C295" t="s">
        <v>11</v>
      </c>
      <c r="D295">
        <v>2.0791943969999998E-6</v>
      </c>
      <c r="E295">
        <v>3.7928369299999998E-5</v>
      </c>
      <c r="F295">
        <v>1.0426224279999999E-5</v>
      </c>
      <c r="G295">
        <v>1.2323167350000001E-7</v>
      </c>
      <c r="H295">
        <v>3.821592022E-6</v>
      </c>
      <c r="I295">
        <v>1.7430296289999999E-5</v>
      </c>
    </row>
    <row r="296" spans="1:9" hidden="1" x14ac:dyDescent="0.2">
      <c r="A296" t="s">
        <v>138</v>
      </c>
      <c r="B296" t="s">
        <v>824</v>
      </c>
      <c r="C296" t="s">
        <v>11</v>
      </c>
      <c r="D296">
        <v>-8.7549325430000004E-18</v>
      </c>
      <c r="E296">
        <v>4.3368086899999998E-19</v>
      </c>
      <c r="F296">
        <v>1.3552527159999999E-19</v>
      </c>
      <c r="G296">
        <v>0</v>
      </c>
      <c r="H296">
        <v>0</v>
      </c>
      <c r="I296">
        <v>2.0057740190000001E-18</v>
      </c>
    </row>
    <row r="297" spans="1:9" hidden="1" x14ac:dyDescent="0.2">
      <c r="A297" t="s">
        <v>139</v>
      </c>
      <c r="B297" t="s">
        <v>824</v>
      </c>
      <c r="C297" t="s">
        <v>11</v>
      </c>
      <c r="D297">
        <v>-7.5148763079999993E-18</v>
      </c>
      <c r="E297">
        <v>3.0357660829999998E-18</v>
      </c>
      <c r="F297">
        <v>1.3010426069999999E-18</v>
      </c>
      <c r="G297">
        <v>-2.5410988419999999E-21</v>
      </c>
      <c r="H297">
        <v>0</v>
      </c>
      <c r="I297">
        <v>4.3368086899999998E-19</v>
      </c>
    </row>
    <row r="298" spans="1:9" hidden="1" x14ac:dyDescent="0.2">
      <c r="A298" t="s">
        <v>140</v>
      </c>
      <c r="B298" t="s">
        <v>824</v>
      </c>
      <c r="C298" t="s">
        <v>11</v>
      </c>
      <c r="D298">
        <v>5.4684447069999996E-18</v>
      </c>
      <c r="E298">
        <v>6.3967928180000001E-18</v>
      </c>
      <c r="F298">
        <v>-3.1441863000000002E-18</v>
      </c>
      <c r="G298">
        <v>4.2351647360000001E-22</v>
      </c>
      <c r="H298">
        <v>-1.3552527159999999E-20</v>
      </c>
      <c r="I298">
        <v>8.1315162940000002E-19</v>
      </c>
    </row>
    <row r="299" spans="1:9" x14ac:dyDescent="0.2">
      <c r="A299" t="s">
        <v>141</v>
      </c>
      <c r="B299" t="s">
        <v>821</v>
      </c>
      <c r="C299" t="s">
        <v>20</v>
      </c>
      <c r="D299">
        <v>3.8455295810000001E-19</v>
      </c>
      <c r="E299">
        <v>3.9302328750000002E-19</v>
      </c>
      <c r="F299">
        <v>2.710505431E-20</v>
      </c>
      <c r="G299">
        <v>0</v>
      </c>
      <c r="H299">
        <v>0</v>
      </c>
      <c r="I299">
        <v>-1.897353802E-19</v>
      </c>
    </row>
    <row r="300" spans="1:9" x14ac:dyDescent="0.2">
      <c r="A300" t="s">
        <v>142</v>
      </c>
      <c r="B300" t="s">
        <v>821</v>
      </c>
      <c r="C300" t="s">
        <v>20</v>
      </c>
      <c r="D300">
        <v>3.3800569850000002E-6</v>
      </c>
      <c r="E300">
        <v>4.0182330050000001E-5</v>
      </c>
      <c r="F300">
        <v>2.2408691280000002E-5</v>
      </c>
      <c r="G300">
        <v>1.712668597E-7</v>
      </c>
      <c r="H300">
        <v>1.6228076979999999E-5</v>
      </c>
      <c r="I300">
        <v>1.173830615E-4</v>
      </c>
    </row>
    <row r="301" spans="1:9" x14ac:dyDescent="0.2">
      <c r="A301" t="s">
        <v>143</v>
      </c>
      <c r="B301" t="s">
        <v>821</v>
      </c>
      <c r="C301" t="s">
        <v>20</v>
      </c>
      <c r="D301">
        <v>5.421010862E-20</v>
      </c>
      <c r="E301">
        <v>-1.8431436929999999E-18</v>
      </c>
      <c r="F301">
        <v>1.0164395370000001E-19</v>
      </c>
      <c r="G301">
        <v>5.2939559200000001E-23</v>
      </c>
      <c r="H301">
        <v>1.3552527159999999E-20</v>
      </c>
      <c r="I301">
        <v>-2.981555974E-18</v>
      </c>
    </row>
    <row r="302" spans="1:9" x14ac:dyDescent="0.2">
      <c r="A302" t="s">
        <v>144</v>
      </c>
      <c r="B302" t="s">
        <v>821</v>
      </c>
      <c r="C302" t="s">
        <v>20</v>
      </c>
      <c r="D302">
        <v>2.9984966329999999E-19</v>
      </c>
      <c r="E302">
        <v>-1.897353802E-19</v>
      </c>
      <c r="F302">
        <v>-5.421010862E-20</v>
      </c>
      <c r="G302">
        <v>0</v>
      </c>
      <c r="H302">
        <v>0</v>
      </c>
      <c r="I302">
        <v>1.3552527159999999E-19</v>
      </c>
    </row>
    <row r="303" spans="1:9" x14ac:dyDescent="0.2">
      <c r="A303" t="s">
        <v>145</v>
      </c>
      <c r="B303" t="s">
        <v>821</v>
      </c>
      <c r="C303" t="s">
        <v>20</v>
      </c>
      <c r="D303">
        <v>1.274678268E-6</v>
      </c>
      <c r="E303">
        <v>1.9685555540000001E-5</v>
      </c>
      <c r="F303">
        <v>9.1657342979999999E-6</v>
      </c>
      <c r="G303">
        <v>8.4472088580000006E-8</v>
      </c>
      <c r="H303">
        <v>2.8718283720000002E-6</v>
      </c>
      <c r="I303">
        <v>1.036644416E-5</v>
      </c>
    </row>
    <row r="304" spans="1:9" x14ac:dyDescent="0.2">
      <c r="A304" t="s">
        <v>146</v>
      </c>
      <c r="B304" t="s">
        <v>821</v>
      </c>
      <c r="C304" t="s">
        <v>20</v>
      </c>
      <c r="D304">
        <v>4.1758724300000001E-19</v>
      </c>
      <c r="E304">
        <v>4.9302320299999998E-7</v>
      </c>
      <c r="F304">
        <v>2.5606012130000001E-7</v>
      </c>
      <c r="G304">
        <v>2.5917091709999999E-9</v>
      </c>
      <c r="H304">
        <v>8.3390931700000002E-8</v>
      </c>
      <c r="I304">
        <v>3.3826951110000002E-7</v>
      </c>
    </row>
    <row r="305" spans="1:9" x14ac:dyDescent="0.2">
      <c r="A305" t="s">
        <v>147</v>
      </c>
      <c r="B305" t="s">
        <v>821</v>
      </c>
      <c r="C305" t="s">
        <v>20</v>
      </c>
      <c r="D305">
        <v>-4.311397702E-19</v>
      </c>
      <c r="E305">
        <v>6.9388939039999997E-17</v>
      </c>
      <c r="F305">
        <v>0</v>
      </c>
      <c r="G305">
        <v>0</v>
      </c>
      <c r="H305">
        <v>0</v>
      </c>
      <c r="I305">
        <v>-2.1684043449999999E-19</v>
      </c>
    </row>
    <row r="306" spans="1:9" x14ac:dyDescent="0.2">
      <c r="A306" t="s">
        <v>148</v>
      </c>
      <c r="B306" t="s">
        <v>821</v>
      </c>
      <c r="C306" t="s">
        <v>20</v>
      </c>
      <c r="D306">
        <v>2.1452013129999998E-6</v>
      </c>
      <c r="E306">
        <v>3.2662032039999997E-2</v>
      </c>
      <c r="F306">
        <v>4.2840833579999996E-3</v>
      </c>
      <c r="G306">
        <v>6.0098419910000001E-3</v>
      </c>
      <c r="H306">
        <v>5.920712002E-6</v>
      </c>
      <c r="I306">
        <v>2.2677025179999998E-5</v>
      </c>
    </row>
    <row r="307" spans="1:9" x14ac:dyDescent="0.2">
      <c r="A307" t="s">
        <v>149</v>
      </c>
      <c r="B307" t="s">
        <v>821</v>
      </c>
      <c r="C307" t="s">
        <v>20</v>
      </c>
      <c r="D307">
        <v>-2.3547515929999998E-19</v>
      </c>
      <c r="E307">
        <v>7.0479320370000001E-3</v>
      </c>
      <c r="F307">
        <v>6.0657343810000004E-3</v>
      </c>
      <c r="G307">
        <v>6.0411598020000002E-3</v>
      </c>
      <c r="H307">
        <v>2.1726507329999999E-7</v>
      </c>
      <c r="I307">
        <v>1.018913999E-6</v>
      </c>
    </row>
    <row r="308" spans="1:9" x14ac:dyDescent="0.2">
      <c r="A308" t="s">
        <v>150</v>
      </c>
      <c r="B308" t="s">
        <v>821</v>
      </c>
      <c r="C308" t="s">
        <v>20</v>
      </c>
      <c r="D308">
        <v>-3.8370592509999998E-19</v>
      </c>
      <c r="E308">
        <v>-3.794707604E-19</v>
      </c>
      <c r="F308">
        <v>-3.3881317889999998E-20</v>
      </c>
      <c r="G308">
        <v>0</v>
      </c>
      <c r="H308">
        <v>0</v>
      </c>
      <c r="I308">
        <v>-8.1315162939999997E-20</v>
      </c>
    </row>
    <row r="309" spans="1:9" x14ac:dyDescent="0.2">
      <c r="A309" t="s">
        <v>151</v>
      </c>
      <c r="B309" t="s">
        <v>821</v>
      </c>
      <c r="C309" t="s">
        <v>20</v>
      </c>
      <c r="D309">
        <v>7.2127492229999997E-7</v>
      </c>
      <c r="E309">
        <v>1.459285487E-5</v>
      </c>
      <c r="F309">
        <v>6.653729705E-6</v>
      </c>
      <c r="G309">
        <v>5.3909449770000003E-8</v>
      </c>
      <c r="H309">
        <v>1.823414465E-6</v>
      </c>
      <c r="I309">
        <v>6.2951385879999999E-6</v>
      </c>
    </row>
    <row r="310" spans="1:9" x14ac:dyDescent="0.2">
      <c r="A310" t="s">
        <v>152</v>
      </c>
      <c r="B310" t="s">
        <v>821</v>
      </c>
      <c r="C310" t="s">
        <v>20</v>
      </c>
      <c r="D310">
        <v>1.2014242139999999E-7</v>
      </c>
      <c r="E310">
        <v>1.8357579950000001E-6</v>
      </c>
      <c r="F310">
        <v>9.2079886310000001E-7</v>
      </c>
      <c r="G310">
        <v>8.7293417989999996E-9</v>
      </c>
      <c r="H310">
        <v>2.9178872350000002E-7</v>
      </c>
      <c r="I310">
        <v>1.20114412E-6</v>
      </c>
    </row>
    <row r="311" spans="1:9" x14ac:dyDescent="0.2">
      <c r="A311" t="s">
        <v>153</v>
      </c>
      <c r="B311" t="s">
        <v>821</v>
      </c>
      <c r="C311" t="s">
        <v>20</v>
      </c>
      <c r="E311">
        <v>2.2204460490000001E-16</v>
      </c>
      <c r="F311">
        <v>2.9221070010000002E-13</v>
      </c>
      <c r="G311">
        <v>-8.881784197E-16</v>
      </c>
      <c r="H311">
        <v>0</v>
      </c>
      <c r="I311">
        <v>-2.131628207E-14</v>
      </c>
    </row>
    <row r="312" spans="1:9" hidden="1" x14ac:dyDescent="0.2">
      <c r="A312" t="s">
        <v>861</v>
      </c>
      <c r="B312" t="s">
        <v>821</v>
      </c>
      <c r="C312">
        <v>0</v>
      </c>
      <c r="D312">
        <v>2.8104553189999998E-18</v>
      </c>
    </row>
    <row r="313" spans="1:9" x14ac:dyDescent="0.2">
      <c r="A313" t="s">
        <v>154</v>
      </c>
      <c r="B313" t="s">
        <v>821</v>
      </c>
      <c r="C313" t="s">
        <v>20</v>
      </c>
      <c r="E313">
        <v>0.14127904080000001</v>
      </c>
      <c r="F313">
        <v>1.253700619</v>
      </c>
      <c r="G313">
        <v>0.88476408429999998</v>
      </c>
      <c r="H313">
        <v>1.7747048999999999</v>
      </c>
      <c r="I313">
        <v>2.7127950510000001</v>
      </c>
    </row>
    <row r="314" spans="1:9" hidden="1" x14ac:dyDescent="0.2">
      <c r="A314" t="s">
        <v>862</v>
      </c>
      <c r="B314" t="s">
        <v>821</v>
      </c>
      <c r="C314">
        <v>0</v>
      </c>
      <c r="D314">
        <v>1.5404985109999999E-6</v>
      </c>
    </row>
    <row r="315" spans="1:9" x14ac:dyDescent="0.2">
      <c r="A315" t="s">
        <v>155</v>
      </c>
      <c r="B315" t="s">
        <v>821</v>
      </c>
      <c r="C315" t="s">
        <v>20</v>
      </c>
      <c r="E315">
        <v>1.6242314040000001E-2</v>
      </c>
      <c r="F315">
        <v>0.17090367209999999</v>
      </c>
      <c r="G315">
        <v>0.17953788849999999</v>
      </c>
      <c r="H315">
        <v>0.12895507</v>
      </c>
      <c r="I315">
        <v>0.21142238320000001</v>
      </c>
    </row>
    <row r="316" spans="1:9" x14ac:dyDescent="0.2">
      <c r="A316" t="s">
        <v>156</v>
      </c>
      <c r="B316" t="s">
        <v>821</v>
      </c>
      <c r="C316" t="s">
        <v>20</v>
      </c>
      <c r="D316">
        <v>4.5739779150000001E-20</v>
      </c>
      <c r="E316">
        <v>9.1479558300000002E-20</v>
      </c>
      <c r="F316">
        <v>-2.371692252E-20</v>
      </c>
      <c r="G316">
        <v>0</v>
      </c>
      <c r="H316">
        <v>0</v>
      </c>
      <c r="I316">
        <v>-5.421010862E-20</v>
      </c>
    </row>
    <row r="317" spans="1:9" x14ac:dyDescent="0.2">
      <c r="A317" t="s">
        <v>157</v>
      </c>
      <c r="B317" t="s">
        <v>821</v>
      </c>
      <c r="C317" t="s">
        <v>20</v>
      </c>
      <c r="D317">
        <v>1.1423694359999999E-6</v>
      </c>
      <c r="E317">
        <v>8.7684061850000005E-6</v>
      </c>
      <c r="F317">
        <v>6.5972684599999999E-6</v>
      </c>
      <c r="G317">
        <v>7.6559512150000001E-8</v>
      </c>
      <c r="H317">
        <v>2.3349229299999998E-6</v>
      </c>
      <c r="I317">
        <v>7.7553024299999998E-6</v>
      </c>
    </row>
    <row r="318" spans="1:9" x14ac:dyDescent="0.2">
      <c r="A318" t="s">
        <v>158</v>
      </c>
      <c r="B318" t="s">
        <v>821</v>
      </c>
      <c r="C318" t="s">
        <v>20</v>
      </c>
      <c r="D318">
        <v>5.844527336E-20</v>
      </c>
      <c r="E318">
        <v>9.5545316450000002E-19</v>
      </c>
      <c r="F318">
        <v>9.1479558300000002E-20</v>
      </c>
      <c r="G318">
        <v>-2.6469779600000001E-23</v>
      </c>
      <c r="H318">
        <v>-8.0468129989999995E-20</v>
      </c>
      <c r="I318">
        <v>1.28749008E-19</v>
      </c>
    </row>
    <row r="319" spans="1:9" x14ac:dyDescent="0.2">
      <c r="A319" t="s">
        <v>159</v>
      </c>
      <c r="B319" t="s">
        <v>821</v>
      </c>
      <c r="C319" t="s">
        <v>20</v>
      </c>
      <c r="D319">
        <v>-5.844527336E-20</v>
      </c>
      <c r="E319">
        <v>1.6940658949999999E-20</v>
      </c>
      <c r="F319">
        <v>3.0493186100000001E-20</v>
      </c>
      <c r="G319">
        <v>0</v>
      </c>
      <c r="H319">
        <v>0</v>
      </c>
      <c r="I319">
        <v>5.0821976840000003E-20</v>
      </c>
    </row>
    <row r="320" spans="1:9" x14ac:dyDescent="0.2">
      <c r="A320" t="s">
        <v>160</v>
      </c>
      <c r="B320" t="s">
        <v>821</v>
      </c>
      <c r="C320" t="s">
        <v>20</v>
      </c>
      <c r="D320">
        <v>3.455438097E-7</v>
      </c>
      <c r="E320">
        <v>8.6163475930000002E-6</v>
      </c>
      <c r="F320">
        <v>5.9492382420000002E-6</v>
      </c>
      <c r="G320">
        <v>6.7680092920000002E-8</v>
      </c>
      <c r="H320">
        <v>2.3584011930000001E-6</v>
      </c>
      <c r="I320">
        <v>8.8583351199999999E-6</v>
      </c>
    </row>
    <row r="321" spans="1:9" x14ac:dyDescent="0.2">
      <c r="A321" t="s">
        <v>161</v>
      </c>
      <c r="B321" t="s">
        <v>821</v>
      </c>
      <c r="C321" t="s">
        <v>20</v>
      </c>
      <c r="D321">
        <v>-6.6280328120000005E-20</v>
      </c>
      <c r="E321">
        <v>9.1479558300000002E-20</v>
      </c>
      <c r="F321">
        <v>4.4045713260000002E-20</v>
      </c>
      <c r="G321">
        <v>-3.441071348E-22</v>
      </c>
      <c r="H321">
        <v>5.0821976839999998E-21</v>
      </c>
      <c r="I321">
        <v>3.0493186100000001E-20</v>
      </c>
    </row>
    <row r="322" spans="1:9" hidden="1" x14ac:dyDescent="0.2">
      <c r="A322" t="s">
        <v>162</v>
      </c>
      <c r="B322" t="s">
        <v>821</v>
      </c>
      <c r="C322" t="s">
        <v>11</v>
      </c>
      <c r="D322">
        <v>3.17275653E-6</v>
      </c>
      <c r="E322">
        <v>3.2961136420000002E-2</v>
      </c>
      <c r="F322">
        <v>2.2324351130000001E-4</v>
      </c>
      <c r="G322">
        <v>2.0574559589999999E-4</v>
      </c>
      <c r="H322">
        <v>0.1350096637</v>
      </c>
      <c r="I322">
        <v>0.36626642370000001</v>
      </c>
    </row>
    <row r="323" spans="1:9" hidden="1" x14ac:dyDescent="0.2">
      <c r="A323" t="s">
        <v>162</v>
      </c>
      <c r="B323" t="s">
        <v>824</v>
      </c>
      <c r="C323" t="s">
        <v>11</v>
      </c>
      <c r="D323">
        <v>-3.9193908540000001E-17</v>
      </c>
      <c r="E323">
        <v>0</v>
      </c>
      <c r="F323">
        <v>3.4694469519999998E-18</v>
      </c>
      <c r="G323">
        <v>0</v>
      </c>
      <c r="H323">
        <v>-4.1566750039999999E-13</v>
      </c>
      <c r="I323">
        <v>-6.9277916740000002E-14</v>
      </c>
    </row>
    <row r="324" spans="1:9" hidden="1" x14ac:dyDescent="0.2">
      <c r="A324" t="s">
        <v>163</v>
      </c>
      <c r="B324" t="s">
        <v>824</v>
      </c>
      <c r="C324" t="s">
        <v>11</v>
      </c>
      <c r="D324">
        <v>-1.038665681E-16</v>
      </c>
      <c r="E324">
        <v>0</v>
      </c>
      <c r="F324">
        <v>-1.7347234759999999E-18</v>
      </c>
      <c r="G324">
        <v>0</v>
      </c>
      <c r="H324">
        <v>1.3233858450000001E-13</v>
      </c>
      <c r="I324">
        <v>-8.8817841969999996E-15</v>
      </c>
    </row>
    <row r="325" spans="1:9" hidden="1" x14ac:dyDescent="0.2">
      <c r="A325" t="s">
        <v>164</v>
      </c>
      <c r="B325" t="s">
        <v>824</v>
      </c>
      <c r="C325" t="s">
        <v>11</v>
      </c>
      <c r="D325">
        <v>-2.836272883E-16</v>
      </c>
      <c r="E325">
        <v>-8.4376949869999998E-15</v>
      </c>
      <c r="F325">
        <v>-4.3368086900000002E-17</v>
      </c>
      <c r="G325">
        <v>6.9388939039999997E-18</v>
      </c>
      <c r="H325">
        <v>-2.7446489530000001E-11</v>
      </c>
      <c r="I325">
        <v>4.8316906030000002E-12</v>
      </c>
    </row>
    <row r="326" spans="1:9" hidden="1" x14ac:dyDescent="0.2">
      <c r="A326" t="s">
        <v>165</v>
      </c>
      <c r="B326" t="s">
        <v>827</v>
      </c>
      <c r="C326" t="s">
        <v>113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hidden="1" x14ac:dyDescent="0.2">
      <c r="A327" t="s">
        <v>165</v>
      </c>
      <c r="B327" t="s">
        <v>863</v>
      </c>
      <c r="C327" t="s">
        <v>113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hidden="1" x14ac:dyDescent="0.2">
      <c r="A328" t="s">
        <v>165</v>
      </c>
      <c r="B328" t="s">
        <v>825</v>
      </c>
      <c r="C328" t="s">
        <v>113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hidden="1" x14ac:dyDescent="0.2">
      <c r="A329" t="s">
        <v>165</v>
      </c>
      <c r="B329" t="s">
        <v>824</v>
      </c>
      <c r="C329" t="s">
        <v>113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hidden="1" x14ac:dyDescent="0.2">
      <c r="A330" t="s">
        <v>166</v>
      </c>
      <c r="B330" t="s">
        <v>824</v>
      </c>
      <c r="C330" t="s">
        <v>11</v>
      </c>
      <c r="D330">
        <v>7.907226844E-7</v>
      </c>
      <c r="E330">
        <v>3.1681256930000002E-4</v>
      </c>
      <c r="F330">
        <v>2.6099954430000002E-4</v>
      </c>
      <c r="G330">
        <v>2.5548281709999998E-4</v>
      </c>
      <c r="H330">
        <v>2.6754827340000001E-4</v>
      </c>
      <c r="I330">
        <v>2.6824315929999999E-4</v>
      </c>
    </row>
    <row r="331" spans="1:9" hidden="1" x14ac:dyDescent="0.2">
      <c r="A331" t="s">
        <v>167</v>
      </c>
      <c r="B331" t="s">
        <v>821</v>
      </c>
      <c r="C331" t="s">
        <v>87</v>
      </c>
      <c r="E331">
        <v>1.3095038050000001E-3</v>
      </c>
      <c r="F331">
        <v>1.359043073E-3</v>
      </c>
      <c r="G331">
        <v>1.323501913E-3</v>
      </c>
      <c r="H331">
        <v>1.3417933490000001E-3</v>
      </c>
      <c r="I331">
        <v>1.358296205E-3</v>
      </c>
    </row>
    <row r="332" spans="1:9" hidden="1" x14ac:dyDescent="0.2">
      <c r="A332" t="s">
        <v>167</v>
      </c>
      <c r="B332" t="s">
        <v>824</v>
      </c>
      <c r="C332" t="s">
        <v>87</v>
      </c>
      <c r="E332">
        <v>0</v>
      </c>
      <c r="F332">
        <v>-3.1225022569999998E-17</v>
      </c>
      <c r="G332">
        <v>3.4694469519999998E-18</v>
      </c>
      <c r="H332">
        <v>0</v>
      </c>
      <c r="I332">
        <v>6.9388939039999997E-18</v>
      </c>
    </row>
    <row r="333" spans="1:9" hidden="1" x14ac:dyDescent="0.2">
      <c r="A333" t="s">
        <v>864</v>
      </c>
      <c r="B333" t="s">
        <v>821</v>
      </c>
      <c r="C333">
        <v>0</v>
      </c>
      <c r="D333">
        <v>4.5411718889999999E-7</v>
      </c>
    </row>
    <row r="334" spans="1:9" hidden="1" x14ac:dyDescent="0.2">
      <c r="A334" t="s">
        <v>864</v>
      </c>
      <c r="B334" t="s">
        <v>824</v>
      </c>
      <c r="C334">
        <v>0</v>
      </c>
      <c r="D334">
        <v>-1.6517142470000001E-19</v>
      </c>
    </row>
    <row r="335" spans="1:9" hidden="1" x14ac:dyDescent="0.2">
      <c r="A335" t="s">
        <v>168</v>
      </c>
      <c r="B335" t="s">
        <v>824</v>
      </c>
      <c r="C335" t="s">
        <v>11</v>
      </c>
      <c r="D335">
        <v>0.67038042450000002</v>
      </c>
      <c r="E335">
        <v>0.65206427810000001</v>
      </c>
      <c r="F335">
        <v>0.61607693819999998</v>
      </c>
      <c r="G335">
        <v>0.59777232489999998</v>
      </c>
      <c r="H335">
        <v>0.63126398480000001</v>
      </c>
      <c r="I335">
        <v>0.72104518449999999</v>
      </c>
    </row>
    <row r="336" spans="1:9" hidden="1" x14ac:dyDescent="0.2">
      <c r="A336" t="s">
        <v>169</v>
      </c>
      <c r="B336" t="s">
        <v>828</v>
      </c>
      <c r="C336" t="s">
        <v>11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 hidden="1" x14ac:dyDescent="0.2">
      <c r="A337" t="s">
        <v>169</v>
      </c>
      <c r="B337" t="s">
        <v>824</v>
      </c>
      <c r="C337" t="s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 hidden="1" x14ac:dyDescent="0.2">
      <c r="A338" t="s">
        <v>169</v>
      </c>
      <c r="B338" t="s">
        <v>829</v>
      </c>
      <c r="C338" t="s">
        <v>11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hidden="1" x14ac:dyDescent="0.2">
      <c r="A339" t="s">
        <v>170</v>
      </c>
      <c r="B339" t="s">
        <v>824</v>
      </c>
      <c r="C339" t="s">
        <v>11</v>
      </c>
      <c r="D339">
        <v>-6.2138337009999997E-18</v>
      </c>
      <c r="E339">
        <v>-1.040834086E-17</v>
      </c>
      <c r="F339">
        <v>1.3877787809999999E-17</v>
      </c>
      <c r="G339">
        <v>3.4694469519999998E-17</v>
      </c>
      <c r="H339">
        <v>1.2490009030000001E-16</v>
      </c>
      <c r="I339">
        <v>1.3877787809999999E-17</v>
      </c>
    </row>
    <row r="340" spans="1:9" hidden="1" x14ac:dyDescent="0.2">
      <c r="A340" t="s">
        <v>171</v>
      </c>
      <c r="B340" t="s">
        <v>824</v>
      </c>
      <c r="C340" t="s">
        <v>11</v>
      </c>
      <c r="D340">
        <v>3.8878812279999999E-19</v>
      </c>
      <c r="E340">
        <v>3.4694469519999998E-18</v>
      </c>
      <c r="F340">
        <v>2.7755575619999998E-17</v>
      </c>
      <c r="G340">
        <v>1.040834086E-17</v>
      </c>
      <c r="H340">
        <v>-6.9388939039999997E-18</v>
      </c>
      <c r="I340">
        <v>0</v>
      </c>
    </row>
    <row r="341" spans="1:9" hidden="1" x14ac:dyDescent="0.2">
      <c r="A341" t="s">
        <v>172</v>
      </c>
      <c r="B341" t="s">
        <v>853</v>
      </c>
      <c r="C341" t="s">
        <v>87</v>
      </c>
      <c r="D341">
        <v>136.0314506</v>
      </c>
      <c r="E341">
        <v>121.0610585</v>
      </c>
      <c r="F341">
        <v>84.214793200000003</v>
      </c>
      <c r="G341">
        <v>0</v>
      </c>
      <c r="H341">
        <v>31.415122620000002</v>
      </c>
      <c r="I341">
        <v>5.1525807529999996</v>
      </c>
    </row>
    <row r="342" spans="1:9" hidden="1" x14ac:dyDescent="0.2">
      <c r="A342" t="s">
        <v>172</v>
      </c>
      <c r="B342" t="s">
        <v>865</v>
      </c>
      <c r="C342" t="s">
        <v>87</v>
      </c>
      <c r="D342">
        <v>2.619891395E-2</v>
      </c>
      <c r="E342">
        <v>2.395607923E-2</v>
      </c>
      <c r="F342">
        <v>2.3988469580000001E-2</v>
      </c>
      <c r="G342">
        <v>0</v>
      </c>
      <c r="H342">
        <v>2.2310134320000001E-2</v>
      </c>
      <c r="I342">
        <v>9.0476669489999995E-3</v>
      </c>
    </row>
    <row r="343" spans="1:9" hidden="1" x14ac:dyDescent="0.2">
      <c r="A343" t="s">
        <v>172</v>
      </c>
      <c r="B343" t="s">
        <v>819</v>
      </c>
      <c r="C343" t="s">
        <v>87</v>
      </c>
      <c r="D343">
        <v>9.5212341039999995</v>
      </c>
      <c r="E343">
        <v>10.675021299999999</v>
      </c>
      <c r="F343">
        <v>4.4468463460000001</v>
      </c>
      <c r="G343">
        <v>0</v>
      </c>
      <c r="H343">
        <v>0.61992595969999997</v>
      </c>
      <c r="I343">
        <v>0.1033211107</v>
      </c>
    </row>
    <row r="344" spans="1:9" hidden="1" x14ac:dyDescent="0.2">
      <c r="A344" t="s">
        <v>172</v>
      </c>
      <c r="B344" t="s">
        <v>854</v>
      </c>
      <c r="C344" t="s">
        <v>87</v>
      </c>
      <c r="D344">
        <v>1.1456935049999999</v>
      </c>
      <c r="E344">
        <v>2.8335482889999999E-2</v>
      </c>
      <c r="F344">
        <v>2.2751627399999998E-2</v>
      </c>
      <c r="G344">
        <v>0</v>
      </c>
      <c r="H344">
        <v>1.337117695E-5</v>
      </c>
      <c r="I344">
        <v>5.4522067760000001E-2</v>
      </c>
    </row>
    <row r="345" spans="1:9" hidden="1" x14ac:dyDescent="0.2">
      <c r="A345" t="s">
        <v>172</v>
      </c>
      <c r="B345" t="s">
        <v>851</v>
      </c>
      <c r="C345" t="s">
        <v>87</v>
      </c>
      <c r="D345">
        <v>6.5114156049999998</v>
      </c>
      <c r="E345">
        <v>1.2627019E-4</v>
      </c>
      <c r="F345">
        <v>2.1035331190000001E-4</v>
      </c>
      <c r="G345">
        <v>0</v>
      </c>
      <c r="H345">
        <v>1.800593952E-4</v>
      </c>
      <c r="I345">
        <v>3.7265336519999998E-2</v>
      </c>
    </row>
    <row r="346" spans="1:9" hidden="1" x14ac:dyDescent="0.2">
      <c r="A346" t="s">
        <v>172</v>
      </c>
      <c r="B346" t="s">
        <v>848</v>
      </c>
      <c r="C346" t="s">
        <v>87</v>
      </c>
      <c r="D346">
        <v>22.887229019999999</v>
      </c>
      <c r="E346">
        <v>8.8630426109999991</v>
      </c>
      <c r="F346">
        <v>3.7582459799999999</v>
      </c>
      <c r="G346">
        <v>0</v>
      </c>
      <c r="H346">
        <v>0.56234950510000004</v>
      </c>
      <c r="I346">
        <v>3.832017092E-2</v>
      </c>
    </row>
    <row r="347" spans="1:9" hidden="1" x14ac:dyDescent="0.2">
      <c r="A347" t="s">
        <v>172</v>
      </c>
      <c r="B347" t="s">
        <v>850</v>
      </c>
      <c r="C347" t="s">
        <v>87</v>
      </c>
      <c r="D347">
        <v>2.5366433480000001</v>
      </c>
      <c r="E347">
        <v>0.67604474219999999</v>
      </c>
      <c r="F347">
        <v>0.50228760809999995</v>
      </c>
      <c r="G347">
        <v>0</v>
      </c>
      <c r="H347">
        <v>0.17916963359999999</v>
      </c>
      <c r="I347">
        <v>1.9307903550000002E-2</v>
      </c>
    </row>
    <row r="348" spans="1:9" hidden="1" x14ac:dyDescent="0.2">
      <c r="A348" t="s">
        <v>172</v>
      </c>
      <c r="B348" t="s">
        <v>866</v>
      </c>
      <c r="C348" t="s">
        <v>87</v>
      </c>
      <c r="D348">
        <v>2.594890717E-2</v>
      </c>
      <c r="E348">
        <v>2.4328610970000001E-2</v>
      </c>
      <c r="F348">
        <v>2.4041011120000001E-2</v>
      </c>
      <c r="G348">
        <v>0</v>
      </c>
      <c r="H348">
        <v>1.9867150909999999E-2</v>
      </c>
      <c r="I348">
        <v>8.5358325820000004E-3</v>
      </c>
    </row>
    <row r="349" spans="1:9" hidden="1" x14ac:dyDescent="0.2">
      <c r="A349" t="s">
        <v>172</v>
      </c>
      <c r="B349" t="s">
        <v>855</v>
      </c>
      <c r="C349" t="s">
        <v>87</v>
      </c>
      <c r="D349">
        <v>3.8427751509999997E-2</v>
      </c>
      <c r="E349">
        <v>2.596928397E-2</v>
      </c>
      <c r="F349">
        <v>2.1527347669999999E-2</v>
      </c>
      <c r="G349">
        <v>0</v>
      </c>
      <c r="H349">
        <v>1.158447168E-5</v>
      </c>
      <c r="I349">
        <v>2.8757308879999999E-2</v>
      </c>
    </row>
    <row r="350" spans="1:9" hidden="1" x14ac:dyDescent="0.2">
      <c r="A350" t="s">
        <v>172</v>
      </c>
      <c r="B350" t="s">
        <v>852</v>
      </c>
      <c r="C350" t="s">
        <v>87</v>
      </c>
      <c r="D350">
        <v>2.1456933619999999E-6</v>
      </c>
      <c r="E350">
        <v>1.3148543959999999E-4</v>
      </c>
      <c r="F350">
        <v>2.3982475640000001E-4</v>
      </c>
      <c r="G350">
        <v>0</v>
      </c>
      <c r="H350">
        <v>1.8200926299999999E-4</v>
      </c>
      <c r="I350">
        <v>1.8200026139999999E-2</v>
      </c>
    </row>
    <row r="351" spans="1:9" hidden="1" x14ac:dyDescent="0.2">
      <c r="A351" t="s">
        <v>173</v>
      </c>
      <c r="B351" t="s">
        <v>853</v>
      </c>
      <c r="C351" t="s">
        <v>87</v>
      </c>
      <c r="D351">
        <v>2.7789875010000002E-4</v>
      </c>
      <c r="E351">
        <v>1.5058904440000001</v>
      </c>
      <c r="F351">
        <v>9.1324035940000001E-6</v>
      </c>
      <c r="G351">
        <v>0</v>
      </c>
      <c r="H351">
        <v>0</v>
      </c>
      <c r="I351">
        <v>0</v>
      </c>
    </row>
    <row r="352" spans="1:9" hidden="1" x14ac:dyDescent="0.2">
      <c r="A352" t="s">
        <v>173</v>
      </c>
      <c r="B352" t="s">
        <v>819</v>
      </c>
      <c r="C352" t="s">
        <v>87</v>
      </c>
      <c r="D352">
        <v>3.4884116279999999E-5</v>
      </c>
      <c r="E352">
        <v>0.1358463265</v>
      </c>
      <c r="F352">
        <v>1.471730764E-6</v>
      </c>
      <c r="G352">
        <v>0</v>
      </c>
      <c r="H352">
        <v>0</v>
      </c>
      <c r="I352">
        <v>0</v>
      </c>
    </row>
    <row r="353" spans="1:9" hidden="1" x14ac:dyDescent="0.2">
      <c r="A353" t="s">
        <v>173</v>
      </c>
      <c r="B353" t="s">
        <v>854</v>
      </c>
      <c r="C353" t="s">
        <v>87</v>
      </c>
      <c r="D353">
        <v>1.3418870299999999E-4</v>
      </c>
      <c r="E353">
        <v>1.7215947169999999E-2</v>
      </c>
      <c r="F353">
        <v>9.2095107050000007E-6</v>
      </c>
      <c r="G353">
        <v>0</v>
      </c>
      <c r="H353">
        <v>0</v>
      </c>
      <c r="I353">
        <v>0</v>
      </c>
    </row>
    <row r="354" spans="1:9" hidden="1" x14ac:dyDescent="0.2">
      <c r="A354" t="s">
        <v>173</v>
      </c>
      <c r="B354" t="s">
        <v>821</v>
      </c>
      <c r="C354" t="s">
        <v>87</v>
      </c>
      <c r="D354">
        <v>1.2713999680000001E-4</v>
      </c>
      <c r="E354">
        <v>0.25942053180000002</v>
      </c>
      <c r="F354">
        <v>4.3258596929999997E-6</v>
      </c>
      <c r="G354">
        <v>0</v>
      </c>
      <c r="H354">
        <v>0</v>
      </c>
      <c r="I354">
        <v>0</v>
      </c>
    </row>
    <row r="355" spans="1:9" hidden="1" x14ac:dyDescent="0.2">
      <c r="A355" t="s">
        <v>173</v>
      </c>
      <c r="B355" t="s">
        <v>855</v>
      </c>
      <c r="C355" t="s">
        <v>87</v>
      </c>
      <c r="D355">
        <v>9.6652707029999999E-5</v>
      </c>
      <c r="E355">
        <v>1.816025085E-2</v>
      </c>
      <c r="F355">
        <v>8.5129148819999998E-6</v>
      </c>
      <c r="G355">
        <v>0</v>
      </c>
      <c r="H355">
        <v>0</v>
      </c>
      <c r="I355">
        <v>0</v>
      </c>
    </row>
    <row r="356" spans="1:9" hidden="1" x14ac:dyDescent="0.2">
      <c r="A356" t="s">
        <v>174</v>
      </c>
      <c r="B356" t="s">
        <v>821</v>
      </c>
      <c r="C356" t="s">
        <v>87</v>
      </c>
      <c r="D356">
        <v>28.704146909999999</v>
      </c>
      <c r="E356">
        <v>17.707875470000001</v>
      </c>
      <c r="F356">
        <v>37.82045085</v>
      </c>
      <c r="G356">
        <v>38.331792110000002</v>
      </c>
      <c r="H356">
        <v>48.977034889999999</v>
      </c>
      <c r="I356">
        <v>61.186375699999999</v>
      </c>
    </row>
    <row r="357" spans="1:9" hidden="1" x14ac:dyDescent="0.2">
      <c r="A357" t="s">
        <v>175</v>
      </c>
      <c r="B357" t="s">
        <v>828</v>
      </c>
      <c r="C357" t="s">
        <v>87</v>
      </c>
      <c r="D357">
        <v>3.9842058310000001</v>
      </c>
      <c r="E357">
        <v>2.3206208829999999E-4</v>
      </c>
      <c r="F357">
        <v>2.1748350229999999E-4</v>
      </c>
      <c r="G357">
        <v>2.2018887949999999</v>
      </c>
      <c r="H357">
        <v>1.610956652</v>
      </c>
      <c r="I357">
        <v>2.2920350529999999E-5</v>
      </c>
    </row>
    <row r="358" spans="1:9" hidden="1" x14ac:dyDescent="0.2">
      <c r="A358" t="s">
        <v>176</v>
      </c>
      <c r="B358" t="s">
        <v>821</v>
      </c>
      <c r="C358" t="s">
        <v>87</v>
      </c>
      <c r="D358">
        <v>0</v>
      </c>
      <c r="E358">
        <v>6.0231740629999998E-6</v>
      </c>
      <c r="F358">
        <v>6.7241771749999996E-7</v>
      </c>
      <c r="G358">
        <v>5.2437815920000002E-7</v>
      </c>
      <c r="H358">
        <v>1.265001207E-6</v>
      </c>
      <c r="I358">
        <v>1.8736024749999999E-6</v>
      </c>
    </row>
    <row r="359" spans="1:9" hidden="1" x14ac:dyDescent="0.2">
      <c r="A359" t="s">
        <v>177</v>
      </c>
      <c r="B359" t="s">
        <v>824</v>
      </c>
      <c r="C359" t="s">
        <v>87</v>
      </c>
      <c r="E359">
        <v>2.0935437330000001E-2</v>
      </c>
      <c r="F359">
        <v>2.1734726999999999E-2</v>
      </c>
      <c r="G359">
        <v>2.1177406869999998E-2</v>
      </c>
      <c r="H359">
        <v>2.14586685E-2</v>
      </c>
      <c r="I359">
        <v>2.171399882E-2</v>
      </c>
    </row>
    <row r="360" spans="1:9" hidden="1" x14ac:dyDescent="0.2">
      <c r="A360" t="s">
        <v>178</v>
      </c>
      <c r="B360" t="s">
        <v>851</v>
      </c>
      <c r="C360" t="s">
        <v>87</v>
      </c>
      <c r="D360">
        <v>7.5439294540000004E-7</v>
      </c>
      <c r="E360">
        <v>4.4379164529999998E-6</v>
      </c>
      <c r="F360">
        <v>3.5782598469999998E-6</v>
      </c>
      <c r="G360">
        <v>0</v>
      </c>
      <c r="H360">
        <v>0</v>
      </c>
      <c r="I360">
        <v>0</v>
      </c>
    </row>
    <row r="361" spans="1:9" hidden="1" x14ac:dyDescent="0.2">
      <c r="A361" t="s">
        <v>178</v>
      </c>
      <c r="B361" t="s">
        <v>848</v>
      </c>
      <c r="C361" t="s">
        <v>87</v>
      </c>
      <c r="D361">
        <v>7.2486075159999999E-7</v>
      </c>
      <c r="E361">
        <v>8.8537641350000007E-6</v>
      </c>
      <c r="F361">
        <v>3.7697105910000001E-6</v>
      </c>
      <c r="G361">
        <v>0</v>
      </c>
      <c r="H361">
        <v>0</v>
      </c>
      <c r="I361">
        <v>0</v>
      </c>
    </row>
    <row r="362" spans="1:9" hidden="1" x14ac:dyDescent="0.2">
      <c r="A362" t="s">
        <v>178</v>
      </c>
      <c r="B362" t="s">
        <v>852</v>
      </c>
      <c r="C362" t="s">
        <v>87</v>
      </c>
      <c r="D362">
        <v>2.7247355220000001E-7</v>
      </c>
      <c r="E362">
        <v>3.8799196339999998E-6</v>
      </c>
      <c r="F362">
        <v>2.7565293079999998E-6</v>
      </c>
      <c r="G362">
        <v>0</v>
      </c>
      <c r="H362">
        <v>0</v>
      </c>
      <c r="I362">
        <v>0</v>
      </c>
    </row>
    <row r="363" spans="1:9" hidden="1" x14ac:dyDescent="0.2">
      <c r="A363" t="s">
        <v>179</v>
      </c>
      <c r="B363" t="s">
        <v>853</v>
      </c>
      <c r="C363" t="s">
        <v>87</v>
      </c>
      <c r="D363">
        <v>9.3563537210000001E-6</v>
      </c>
      <c r="E363">
        <v>3.585374863E-6</v>
      </c>
      <c r="F363">
        <v>3.9521554779999997E-6</v>
      </c>
      <c r="G363">
        <v>19.957254429999999</v>
      </c>
      <c r="H363">
        <v>1.4250476830000001</v>
      </c>
      <c r="I363">
        <v>1.8363800049999999E-6</v>
      </c>
    </row>
    <row r="364" spans="1:9" hidden="1" x14ac:dyDescent="0.2">
      <c r="A364" t="s">
        <v>179</v>
      </c>
      <c r="B364" t="s">
        <v>854</v>
      </c>
      <c r="C364" t="s">
        <v>87</v>
      </c>
      <c r="D364">
        <v>5.7257186620000002E-6</v>
      </c>
      <c r="E364">
        <v>3.7993054020000001E-6</v>
      </c>
      <c r="F364">
        <v>3.8164618400000003E-6</v>
      </c>
      <c r="G364">
        <v>3.8304523280000002E-2</v>
      </c>
      <c r="H364">
        <v>1.105532256E-5</v>
      </c>
      <c r="I364">
        <v>1.8368903969999999E-6</v>
      </c>
    </row>
    <row r="365" spans="1:9" hidden="1" x14ac:dyDescent="0.2">
      <c r="A365" t="s">
        <v>179</v>
      </c>
      <c r="B365" t="s">
        <v>851</v>
      </c>
      <c r="C365" t="s">
        <v>87</v>
      </c>
      <c r="D365">
        <v>3.7357169179999998E-6</v>
      </c>
      <c r="E365">
        <v>1.3265710280000001E-6</v>
      </c>
      <c r="F365">
        <v>1.6112836380000001E-6</v>
      </c>
      <c r="G365">
        <v>2.2509253309999999</v>
      </c>
      <c r="H365">
        <v>1.8215016149999999E-4</v>
      </c>
      <c r="I365">
        <v>6.8827346460000005E-7</v>
      </c>
    </row>
    <row r="366" spans="1:9" hidden="1" x14ac:dyDescent="0.2">
      <c r="A366" t="s">
        <v>179</v>
      </c>
      <c r="B366" t="s">
        <v>848</v>
      </c>
      <c r="C366" t="s">
        <v>87</v>
      </c>
      <c r="D366">
        <v>4.0884434420000004E-6</v>
      </c>
      <c r="E366">
        <v>2.3867936970000001E-6</v>
      </c>
      <c r="F366">
        <v>1.7041935000000001E-6</v>
      </c>
      <c r="G366">
        <v>5.4464464750000001</v>
      </c>
      <c r="H366">
        <v>0.52716497220000003</v>
      </c>
      <c r="I366">
        <v>8.4967638850000005E-7</v>
      </c>
    </row>
    <row r="367" spans="1:9" hidden="1" x14ac:dyDescent="0.2">
      <c r="A367" t="s">
        <v>179</v>
      </c>
      <c r="B367" t="s">
        <v>821</v>
      </c>
      <c r="C367" t="s">
        <v>87</v>
      </c>
      <c r="D367">
        <v>2.626728719E-5</v>
      </c>
      <c r="E367">
        <v>1.6771177920000001E-5</v>
      </c>
      <c r="F367">
        <v>2.0732315260000001E-5</v>
      </c>
      <c r="G367">
        <v>43.126607790000001</v>
      </c>
      <c r="H367">
        <v>3.5647123519999999</v>
      </c>
      <c r="I367">
        <v>1.569984471E-5</v>
      </c>
    </row>
    <row r="368" spans="1:9" hidden="1" x14ac:dyDescent="0.2">
      <c r="A368" t="s">
        <v>179</v>
      </c>
      <c r="B368" t="s">
        <v>855</v>
      </c>
      <c r="C368" t="s">
        <v>87</v>
      </c>
      <c r="D368">
        <v>4.8585075510000001E-6</v>
      </c>
      <c r="E368">
        <v>3.3558396130000001E-6</v>
      </c>
      <c r="F368">
        <v>3.372686434E-6</v>
      </c>
      <c r="G368">
        <v>3.7893987359999999E-2</v>
      </c>
      <c r="H368">
        <v>1.081316176E-5</v>
      </c>
      <c r="I368">
        <v>1.8403123380000001E-6</v>
      </c>
    </row>
    <row r="369" spans="1:9" hidden="1" x14ac:dyDescent="0.2">
      <c r="A369" t="s">
        <v>179</v>
      </c>
      <c r="B369" t="s">
        <v>852</v>
      </c>
      <c r="C369" t="s">
        <v>87</v>
      </c>
      <c r="D369">
        <v>5.9180027880000001E-7</v>
      </c>
      <c r="E369">
        <v>1.1101437099999999E-6</v>
      </c>
      <c r="F369">
        <v>1.180860047E-6</v>
      </c>
      <c r="G369">
        <v>1.5306515979999999E-2</v>
      </c>
      <c r="H369">
        <v>1.8393213650000001E-4</v>
      </c>
      <c r="I369">
        <v>5.4900794350000002E-7</v>
      </c>
    </row>
    <row r="370" spans="1:9" hidden="1" x14ac:dyDescent="0.2">
      <c r="A370" t="s">
        <v>180</v>
      </c>
      <c r="B370" t="s">
        <v>867</v>
      </c>
      <c r="C370" t="s">
        <v>2</v>
      </c>
      <c r="D370">
        <v>4.1369229819999999E-6</v>
      </c>
      <c r="E370">
        <v>1.5135027240000001E-4</v>
      </c>
      <c r="F370">
        <v>5.1432575009999996E-4</v>
      </c>
      <c r="G370">
        <v>5.0704289720000003E-4</v>
      </c>
      <c r="H370">
        <v>2.250389147E-5</v>
      </c>
      <c r="I370">
        <v>7.2919670559999997E-3</v>
      </c>
    </row>
    <row r="371" spans="1:9" hidden="1" x14ac:dyDescent="0.2">
      <c r="A371" t="s">
        <v>180</v>
      </c>
      <c r="B371" t="s">
        <v>859</v>
      </c>
      <c r="C371" t="s">
        <v>2</v>
      </c>
      <c r="D371">
        <v>9.1350989289999998E-6</v>
      </c>
      <c r="E371">
        <v>2.8643968830000002E-2</v>
      </c>
      <c r="F371">
        <v>1.9564321730000001E-2</v>
      </c>
      <c r="G371">
        <v>2.031014938E-2</v>
      </c>
      <c r="H371">
        <v>0.1124179713</v>
      </c>
      <c r="I371">
        <v>0.13820326150000001</v>
      </c>
    </row>
    <row r="372" spans="1:9" hidden="1" x14ac:dyDescent="0.2">
      <c r="A372" t="s">
        <v>180</v>
      </c>
      <c r="B372" t="s">
        <v>860</v>
      </c>
      <c r="C372" t="s">
        <v>2</v>
      </c>
      <c r="D372">
        <v>20.678345520000001</v>
      </c>
      <c r="E372">
        <v>1.575913588E-2</v>
      </c>
      <c r="F372">
        <v>2.954450586E-2</v>
      </c>
      <c r="G372">
        <v>2.3359301459999999E-2</v>
      </c>
      <c r="H372">
        <v>1.3038756659999999</v>
      </c>
      <c r="I372">
        <v>3.4663763250000001</v>
      </c>
    </row>
    <row r="373" spans="1:9" hidden="1" x14ac:dyDescent="0.2">
      <c r="A373" t="s">
        <v>180</v>
      </c>
      <c r="B373" t="s">
        <v>858</v>
      </c>
      <c r="C373" t="s">
        <v>2</v>
      </c>
      <c r="D373">
        <v>3.4443636910000001E-4</v>
      </c>
      <c r="E373">
        <v>2.4607581109999999E-4</v>
      </c>
      <c r="F373">
        <v>1.2776448120000001E-3</v>
      </c>
      <c r="G373">
        <v>8.3058531650000004E-4</v>
      </c>
      <c r="H373">
        <v>2.573436249E-5</v>
      </c>
      <c r="I373">
        <v>1.514980843E-2</v>
      </c>
    </row>
    <row r="374" spans="1:9" hidden="1" x14ac:dyDescent="0.2">
      <c r="A374" t="s">
        <v>180</v>
      </c>
      <c r="B374" t="s">
        <v>868</v>
      </c>
      <c r="C374" t="s">
        <v>2</v>
      </c>
      <c r="D374">
        <v>0</v>
      </c>
      <c r="E374">
        <v>2.0983153329999999E-6</v>
      </c>
      <c r="F374">
        <v>1.6373193679999999E-6</v>
      </c>
      <c r="G374">
        <v>0</v>
      </c>
      <c r="H374">
        <v>5.2866790739999998E-6</v>
      </c>
      <c r="I374">
        <v>1.9538547680000001E-3</v>
      </c>
    </row>
    <row r="375" spans="1:9" hidden="1" x14ac:dyDescent="0.2">
      <c r="A375" t="s">
        <v>180</v>
      </c>
      <c r="B375" t="s">
        <v>825</v>
      </c>
      <c r="C375" t="s">
        <v>2</v>
      </c>
      <c r="D375">
        <v>-15.509027339999999</v>
      </c>
      <c r="E375">
        <v>-3.3601257920000002E-2</v>
      </c>
      <c r="F375">
        <v>-3.8176709099999998E-2</v>
      </c>
      <c r="G375">
        <v>-3.3755370290000003E-2</v>
      </c>
      <c r="H375">
        <v>-1.0622603719999999</v>
      </c>
      <c r="I375">
        <v>-2.7217311959999999</v>
      </c>
    </row>
    <row r="376" spans="1:9" hidden="1" x14ac:dyDescent="0.2">
      <c r="A376" t="s">
        <v>181</v>
      </c>
      <c r="B376" t="s">
        <v>867</v>
      </c>
      <c r="C376" t="s">
        <v>2</v>
      </c>
      <c r="D376">
        <v>1.440202067E-6</v>
      </c>
      <c r="E376">
        <v>1.3867586859999999E-5</v>
      </c>
      <c r="F376">
        <v>2.6504911819999999E-6</v>
      </c>
      <c r="G376">
        <v>0</v>
      </c>
      <c r="H376">
        <v>0</v>
      </c>
      <c r="I376">
        <v>4.0738219669999996E-6</v>
      </c>
    </row>
    <row r="377" spans="1:9" hidden="1" x14ac:dyDescent="0.2">
      <c r="A377" t="s">
        <v>181</v>
      </c>
      <c r="B377" t="s">
        <v>859</v>
      </c>
      <c r="C377" t="s">
        <v>2</v>
      </c>
      <c r="D377">
        <v>1.9530669199999998E-6</v>
      </c>
      <c r="E377">
        <v>2.053891375E-5</v>
      </c>
      <c r="F377">
        <v>2.7420532759999999E-6</v>
      </c>
      <c r="G377">
        <v>0</v>
      </c>
      <c r="H377">
        <v>0</v>
      </c>
      <c r="I377">
        <v>4.4755913329999998E-6</v>
      </c>
    </row>
    <row r="378" spans="1:9" hidden="1" x14ac:dyDescent="0.2">
      <c r="A378" t="s">
        <v>181</v>
      </c>
      <c r="B378" t="s">
        <v>821</v>
      </c>
      <c r="C378" t="s">
        <v>2</v>
      </c>
      <c r="D378">
        <v>-2.115943349E-6</v>
      </c>
      <c r="E378">
        <v>-1.3950171499999999E-5</v>
      </c>
      <c r="F378">
        <v>-2.3504184659999998E-6</v>
      </c>
      <c r="G378">
        <v>0</v>
      </c>
      <c r="H378">
        <v>0</v>
      </c>
      <c r="I378">
        <v>-4.2373150799999997E-6</v>
      </c>
    </row>
    <row r="379" spans="1:9" hidden="1" x14ac:dyDescent="0.2">
      <c r="A379" t="s">
        <v>181</v>
      </c>
      <c r="B379" t="s">
        <v>860</v>
      </c>
      <c r="C379" t="s">
        <v>2</v>
      </c>
      <c r="D379">
        <v>4.8294976460000002E-6</v>
      </c>
      <c r="E379">
        <v>2.246776034E-5</v>
      </c>
      <c r="F379">
        <v>3.3756541099999999E-6</v>
      </c>
      <c r="G379">
        <v>0</v>
      </c>
      <c r="H379">
        <v>0</v>
      </c>
      <c r="I379">
        <v>5.6132964590000001E-6</v>
      </c>
    </row>
    <row r="380" spans="1:9" hidden="1" x14ac:dyDescent="0.2">
      <c r="A380" t="s">
        <v>181</v>
      </c>
      <c r="B380" t="s">
        <v>858</v>
      </c>
      <c r="C380" t="s">
        <v>2</v>
      </c>
      <c r="D380">
        <v>3.3361727719999998E-6</v>
      </c>
      <c r="E380">
        <v>2.065185355E-5</v>
      </c>
      <c r="F380">
        <v>4.1609000920000002E-6</v>
      </c>
      <c r="G380">
        <v>0</v>
      </c>
      <c r="H380">
        <v>0</v>
      </c>
      <c r="I380">
        <v>5.983920577E-6</v>
      </c>
    </row>
    <row r="381" spans="1:9" hidden="1" x14ac:dyDescent="0.2">
      <c r="A381" t="s">
        <v>181</v>
      </c>
      <c r="B381" t="s">
        <v>868</v>
      </c>
      <c r="C381" t="s">
        <v>2</v>
      </c>
      <c r="D381">
        <v>0</v>
      </c>
      <c r="E381">
        <v>3.8767936180000001E-7</v>
      </c>
      <c r="F381">
        <v>2.133725413E-7</v>
      </c>
      <c r="G381">
        <v>0</v>
      </c>
      <c r="H381">
        <v>0</v>
      </c>
      <c r="I381">
        <v>3.5001473880000001E-6</v>
      </c>
    </row>
    <row r="382" spans="1:9" hidden="1" x14ac:dyDescent="0.2">
      <c r="A382" t="s">
        <v>181</v>
      </c>
      <c r="B382" t="s">
        <v>825</v>
      </c>
      <c r="C382" t="s">
        <v>2</v>
      </c>
      <c r="D382">
        <v>-2.0276566290000002E-6</v>
      </c>
      <c r="E382">
        <v>-1.389558471E-5</v>
      </c>
      <c r="F382">
        <v>-2.346363275E-6</v>
      </c>
      <c r="G382">
        <v>0</v>
      </c>
      <c r="H382">
        <v>0</v>
      </c>
      <c r="I382">
        <v>-4.213835055E-6</v>
      </c>
    </row>
    <row r="383" spans="1:9" hidden="1" x14ac:dyDescent="0.2">
      <c r="A383" t="s">
        <v>182</v>
      </c>
      <c r="B383" t="s">
        <v>867</v>
      </c>
      <c r="C383" t="s">
        <v>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hidden="1" x14ac:dyDescent="0.2">
      <c r="A384" t="s">
        <v>182</v>
      </c>
      <c r="B384" t="s">
        <v>859</v>
      </c>
      <c r="C384" t="s">
        <v>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hidden="1" x14ac:dyDescent="0.2">
      <c r="A385" t="s">
        <v>182</v>
      </c>
      <c r="B385" t="s">
        <v>860</v>
      </c>
      <c r="C385" t="s">
        <v>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hidden="1" x14ac:dyDescent="0.2">
      <c r="A386" t="s">
        <v>182</v>
      </c>
      <c r="B386" t="s">
        <v>858</v>
      </c>
      <c r="C386" t="s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hidden="1" x14ac:dyDescent="0.2">
      <c r="A387" t="s">
        <v>182</v>
      </c>
      <c r="B387" t="s">
        <v>868</v>
      </c>
      <c r="C387" t="s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hidden="1" x14ac:dyDescent="0.2">
      <c r="A388" t="s">
        <v>182</v>
      </c>
      <c r="B388" t="s">
        <v>825</v>
      </c>
      <c r="C388" t="s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hidden="1" x14ac:dyDescent="0.2">
      <c r="A389" t="s">
        <v>183</v>
      </c>
      <c r="B389" t="s">
        <v>853</v>
      </c>
      <c r="C389" t="s">
        <v>87</v>
      </c>
      <c r="D389">
        <v>0.43630240619999999</v>
      </c>
      <c r="E389">
        <v>7.0873793229999995E-7</v>
      </c>
      <c r="F389">
        <v>0.68861597959999998</v>
      </c>
      <c r="G389">
        <v>0</v>
      </c>
      <c r="H389">
        <v>0</v>
      </c>
      <c r="I389">
        <v>0</v>
      </c>
    </row>
    <row r="390" spans="1:9" hidden="1" x14ac:dyDescent="0.2">
      <c r="A390" t="s">
        <v>183</v>
      </c>
      <c r="B390" t="s">
        <v>819</v>
      </c>
      <c r="C390" t="s">
        <v>87</v>
      </c>
      <c r="D390">
        <v>2.4787259210000001</v>
      </c>
      <c r="E390">
        <v>5.0855758070000001E-6</v>
      </c>
      <c r="F390">
        <v>2.677206043</v>
      </c>
      <c r="G390">
        <v>0</v>
      </c>
      <c r="H390">
        <v>0</v>
      </c>
      <c r="I390">
        <v>0</v>
      </c>
    </row>
    <row r="391" spans="1:9" hidden="1" x14ac:dyDescent="0.2">
      <c r="A391" t="s">
        <v>183</v>
      </c>
      <c r="B391" t="s">
        <v>854</v>
      </c>
      <c r="C391" t="s">
        <v>87</v>
      </c>
      <c r="D391">
        <v>0.20340183719999999</v>
      </c>
      <c r="E391">
        <v>7.4323505070000001E-7</v>
      </c>
      <c r="F391">
        <v>1.2307983729999999E-2</v>
      </c>
      <c r="G391">
        <v>0</v>
      </c>
      <c r="H391">
        <v>0</v>
      </c>
      <c r="I391">
        <v>0</v>
      </c>
    </row>
    <row r="392" spans="1:9" hidden="1" x14ac:dyDescent="0.2">
      <c r="A392" t="s">
        <v>183</v>
      </c>
      <c r="B392" t="s">
        <v>855</v>
      </c>
      <c r="C392" t="s">
        <v>87</v>
      </c>
      <c r="D392">
        <v>2.149666766E-2</v>
      </c>
      <c r="E392">
        <v>6.1417026830000003E-7</v>
      </c>
      <c r="F392">
        <v>1.3221583699999999E-2</v>
      </c>
      <c r="G392">
        <v>0</v>
      </c>
      <c r="H392">
        <v>0</v>
      </c>
      <c r="I392">
        <v>0</v>
      </c>
    </row>
    <row r="393" spans="1:9" hidden="1" x14ac:dyDescent="0.2">
      <c r="A393" t="s">
        <v>184</v>
      </c>
      <c r="B393" t="s">
        <v>828</v>
      </c>
      <c r="C393" t="s">
        <v>87</v>
      </c>
      <c r="D393">
        <v>1.3264392949999999</v>
      </c>
      <c r="E393">
        <v>1.9372382829999999</v>
      </c>
      <c r="F393">
        <v>1.9084953490000001</v>
      </c>
      <c r="G393">
        <v>1.8981100470000001</v>
      </c>
      <c r="H393">
        <v>1.876893868</v>
      </c>
      <c r="I393">
        <v>1.8589714260000001</v>
      </c>
    </row>
    <row r="394" spans="1:9" hidden="1" x14ac:dyDescent="0.2">
      <c r="A394" t="s">
        <v>184</v>
      </c>
      <c r="B394" t="s">
        <v>865</v>
      </c>
      <c r="C394" t="s">
        <v>87</v>
      </c>
      <c r="D394">
        <v>1.817045925E-2</v>
      </c>
      <c r="E394">
        <v>2.349453156E-2</v>
      </c>
      <c r="F394">
        <v>2.4488193530000001E-2</v>
      </c>
      <c r="G394">
        <v>5.7907274219999999E-2</v>
      </c>
      <c r="H394">
        <v>3.2025021600000002E-2</v>
      </c>
      <c r="I394">
        <v>3.6432304319999997E-2</v>
      </c>
    </row>
    <row r="395" spans="1:9" hidden="1" x14ac:dyDescent="0.2">
      <c r="A395" t="s">
        <v>184</v>
      </c>
      <c r="B395" t="s">
        <v>851</v>
      </c>
      <c r="C395" t="s">
        <v>87</v>
      </c>
      <c r="D395">
        <v>10.312205629999999</v>
      </c>
      <c r="E395">
        <v>1.293382651E-4</v>
      </c>
      <c r="F395">
        <v>3.4896259260000002E-4</v>
      </c>
      <c r="G395">
        <v>7.3767805790000001</v>
      </c>
      <c r="H395">
        <v>1.9884946830000001E-4</v>
      </c>
      <c r="I395">
        <v>6.9997584870000003</v>
      </c>
    </row>
    <row r="396" spans="1:9" hidden="1" x14ac:dyDescent="0.2">
      <c r="A396" t="s">
        <v>184</v>
      </c>
      <c r="B396" t="s">
        <v>848</v>
      </c>
      <c r="C396" t="s">
        <v>87</v>
      </c>
      <c r="D396">
        <v>95.90723903</v>
      </c>
      <c r="E396">
        <v>108.44430920000001</v>
      </c>
      <c r="F396">
        <v>101.4526274</v>
      </c>
      <c r="G396">
        <v>88.028550319999994</v>
      </c>
      <c r="H396">
        <v>92.891839700000006</v>
      </c>
      <c r="I396">
        <v>83.422423739999999</v>
      </c>
    </row>
    <row r="397" spans="1:9" hidden="1" x14ac:dyDescent="0.2">
      <c r="A397" t="s">
        <v>184</v>
      </c>
      <c r="B397" t="s">
        <v>850</v>
      </c>
      <c r="C397" t="s">
        <v>87</v>
      </c>
      <c r="D397">
        <v>0.56562098029999996</v>
      </c>
      <c r="E397">
        <v>0.60463916819999997</v>
      </c>
      <c r="F397">
        <v>0.57191013229999998</v>
      </c>
      <c r="G397">
        <v>0.48039360549999999</v>
      </c>
      <c r="H397">
        <v>0.50878683059999996</v>
      </c>
      <c r="I397">
        <v>0.47297679440000001</v>
      </c>
    </row>
    <row r="398" spans="1:9" hidden="1" x14ac:dyDescent="0.2">
      <c r="A398" t="s">
        <v>184</v>
      </c>
      <c r="B398" t="s">
        <v>866</v>
      </c>
      <c r="C398" t="s">
        <v>87</v>
      </c>
      <c r="D398">
        <v>1.8232711079999998E-2</v>
      </c>
      <c r="E398">
        <v>2.3411740390000001E-2</v>
      </c>
      <c r="F398">
        <v>2.4474278969999999E-2</v>
      </c>
      <c r="G398">
        <v>5.780685528E-2</v>
      </c>
      <c r="H398">
        <v>2.7939894699999999E-2</v>
      </c>
      <c r="I398">
        <v>3.3001839409999997E-2</v>
      </c>
    </row>
    <row r="399" spans="1:9" hidden="1" x14ac:dyDescent="0.2">
      <c r="A399" t="s">
        <v>184</v>
      </c>
      <c r="B399" t="s">
        <v>852</v>
      </c>
      <c r="C399" t="s">
        <v>87</v>
      </c>
      <c r="D399">
        <v>2.1330030589999999E-6</v>
      </c>
      <c r="E399">
        <v>1.1248411290000001E-4</v>
      </c>
      <c r="F399">
        <v>2.8840018560000001E-4</v>
      </c>
      <c r="G399">
        <v>1.5951956409999999E-2</v>
      </c>
      <c r="H399">
        <v>1.792186061E-4</v>
      </c>
      <c r="I399">
        <v>0.10517461929999999</v>
      </c>
    </row>
    <row r="400" spans="1:9" hidden="1" x14ac:dyDescent="0.2">
      <c r="A400" t="s">
        <v>185</v>
      </c>
      <c r="B400" t="s">
        <v>828</v>
      </c>
      <c r="C400" t="s">
        <v>87</v>
      </c>
      <c r="D400">
        <v>1.9601342889999999E-6</v>
      </c>
      <c r="E400">
        <v>2.9869443540000001E-5</v>
      </c>
      <c r="F400">
        <v>1.557149258E-5</v>
      </c>
      <c r="G400">
        <v>2.2341376859999999E-7</v>
      </c>
      <c r="H400">
        <v>9.3498721449999993E-6</v>
      </c>
      <c r="I400">
        <v>1.675636802E-5</v>
      </c>
    </row>
    <row r="401" spans="1:9" hidden="1" x14ac:dyDescent="0.2">
      <c r="A401" t="s">
        <v>186</v>
      </c>
      <c r="B401" t="s">
        <v>824</v>
      </c>
      <c r="C401" t="s">
        <v>87</v>
      </c>
      <c r="D401">
        <v>1.6426400729999999E-6</v>
      </c>
      <c r="E401">
        <v>2.3516795860000001E-6</v>
      </c>
      <c r="F401">
        <v>6.3864456360000001E-7</v>
      </c>
      <c r="G401">
        <v>0</v>
      </c>
      <c r="H401">
        <v>2.0240132849999998E-6</v>
      </c>
      <c r="I401">
        <v>2.4793013050000001E-6</v>
      </c>
    </row>
    <row r="402" spans="1:9" hidden="1" x14ac:dyDescent="0.2">
      <c r="A402" t="s">
        <v>187</v>
      </c>
      <c r="B402" t="s">
        <v>825</v>
      </c>
      <c r="C402" t="s">
        <v>188</v>
      </c>
      <c r="D402">
        <v>10.00000161</v>
      </c>
      <c r="E402">
        <v>14</v>
      </c>
      <c r="F402">
        <v>10.822390459999999</v>
      </c>
      <c r="G402">
        <v>13.447430669999999</v>
      </c>
      <c r="H402">
        <v>19.12707099</v>
      </c>
      <c r="I402">
        <v>23.202045689999999</v>
      </c>
    </row>
    <row r="403" spans="1:9" hidden="1" x14ac:dyDescent="0.2">
      <c r="A403" t="s">
        <v>189</v>
      </c>
      <c r="B403" t="s">
        <v>828</v>
      </c>
      <c r="C403" t="s">
        <v>3</v>
      </c>
      <c r="D403">
        <v>1.189188595E-6</v>
      </c>
      <c r="E403">
        <v>1.7429990979999999E-3</v>
      </c>
      <c r="F403">
        <v>1.946757799E-4</v>
      </c>
      <c r="G403">
        <v>1.053147137E-5</v>
      </c>
      <c r="H403">
        <v>9.4273857990000004E-6</v>
      </c>
      <c r="I403">
        <v>2.0702292499999999E-5</v>
      </c>
    </row>
    <row r="404" spans="1:9" hidden="1" x14ac:dyDescent="0.2">
      <c r="A404" t="s">
        <v>189</v>
      </c>
      <c r="B404" t="s">
        <v>832</v>
      </c>
      <c r="C404" t="s">
        <v>3</v>
      </c>
      <c r="D404">
        <v>-1.073852072E-6</v>
      </c>
      <c r="E404">
        <v>-1.568560778E-3</v>
      </c>
      <c r="F404">
        <v>-1.7516762819999999E-4</v>
      </c>
      <c r="G404">
        <v>-9.4770587119999996E-6</v>
      </c>
      <c r="H404">
        <v>-8.4844425630000008E-6</v>
      </c>
      <c r="I404">
        <v>-1.8641260319999999E-5</v>
      </c>
    </row>
    <row r="405" spans="1:9" hidden="1" x14ac:dyDescent="0.2">
      <c r="A405" t="s">
        <v>190</v>
      </c>
      <c r="B405" t="s">
        <v>828</v>
      </c>
      <c r="C405" t="s">
        <v>128</v>
      </c>
      <c r="D405">
        <v>22.810005369999999</v>
      </c>
      <c r="E405">
        <v>3.6981846200000001</v>
      </c>
      <c r="F405">
        <v>0.803373483</v>
      </c>
      <c r="G405">
        <v>5.3856104379999996</v>
      </c>
      <c r="H405">
        <v>1.8487287229999999E-5</v>
      </c>
      <c r="I405">
        <v>9.6513739990000003E-3</v>
      </c>
    </row>
    <row r="406" spans="1:9" hidden="1" x14ac:dyDescent="0.2">
      <c r="A406" t="s">
        <v>190</v>
      </c>
      <c r="B406" t="s">
        <v>832</v>
      </c>
      <c r="C406" t="s">
        <v>128</v>
      </c>
      <c r="D406">
        <v>-20.53105794</v>
      </c>
      <c r="E406">
        <v>-3.3287086079999999</v>
      </c>
      <c r="F406">
        <v>-0.72311004150000002</v>
      </c>
      <c r="G406">
        <v>-4.8475341470000002</v>
      </c>
      <c r="H406">
        <v>-1.664355489E-5</v>
      </c>
      <c r="I406">
        <v>-8.6900456639999995E-3</v>
      </c>
    </row>
    <row r="407" spans="1:9" hidden="1" x14ac:dyDescent="0.2">
      <c r="A407" t="s">
        <v>191</v>
      </c>
      <c r="B407" t="s">
        <v>828</v>
      </c>
      <c r="C407" t="s">
        <v>3</v>
      </c>
      <c r="D407">
        <v>1.519474277</v>
      </c>
      <c r="E407">
        <v>3.7499501689999999E-3</v>
      </c>
      <c r="F407">
        <v>1.847004617E-4</v>
      </c>
      <c r="G407">
        <v>2.2965413659999999E-6</v>
      </c>
      <c r="H407">
        <v>2.088778243E-5</v>
      </c>
      <c r="I407">
        <v>4.9467647199999999E-5</v>
      </c>
    </row>
    <row r="408" spans="1:9" hidden="1" x14ac:dyDescent="0.2">
      <c r="A408" t="s">
        <v>191</v>
      </c>
      <c r="B408" t="s">
        <v>821</v>
      </c>
      <c r="C408" t="s">
        <v>3</v>
      </c>
      <c r="D408">
        <v>-0.50115548929999998</v>
      </c>
      <c r="E408">
        <v>-1.065595565E-3</v>
      </c>
      <c r="F408">
        <v>-3.9979855420000003E-5</v>
      </c>
      <c r="G408">
        <v>-4.1674797229999998E-7</v>
      </c>
      <c r="H408">
        <v>-3.038148197E-6</v>
      </c>
      <c r="I408">
        <v>-1.028603781E-5</v>
      </c>
    </row>
    <row r="409" spans="1:9" hidden="1" x14ac:dyDescent="0.2">
      <c r="A409" t="s">
        <v>191</v>
      </c>
      <c r="B409" t="s">
        <v>832</v>
      </c>
      <c r="C409" t="s">
        <v>3</v>
      </c>
      <c r="D409">
        <v>0.63337400990000003</v>
      </c>
      <c r="E409">
        <v>-2.0151348500000001E-3</v>
      </c>
      <c r="F409">
        <v>-1.1303487210000001E-4</v>
      </c>
      <c r="G409">
        <v>-1.4810599420000001E-6</v>
      </c>
      <c r="H409">
        <v>-1.422309986E-5</v>
      </c>
      <c r="I409">
        <v>-3.0685177859999998E-5</v>
      </c>
    </row>
    <row r="410" spans="1:9" hidden="1" x14ac:dyDescent="0.2">
      <c r="A410" t="s">
        <v>192</v>
      </c>
      <c r="B410" t="s">
        <v>828</v>
      </c>
      <c r="C410" t="s">
        <v>128</v>
      </c>
      <c r="D410">
        <v>1.835161765E-4</v>
      </c>
      <c r="E410">
        <v>20.047214350000001</v>
      </c>
      <c r="F410">
        <v>10.247452490000001</v>
      </c>
      <c r="G410">
        <v>6.4363077329999996</v>
      </c>
      <c r="H410">
        <v>0.1535665111</v>
      </c>
      <c r="I410">
        <v>3.9835308820000002</v>
      </c>
    </row>
    <row r="411" spans="1:9" hidden="1" x14ac:dyDescent="0.2">
      <c r="A411" t="s">
        <v>192</v>
      </c>
      <c r="B411" t="s">
        <v>821</v>
      </c>
      <c r="C411" t="s">
        <v>128</v>
      </c>
      <c r="D411">
        <v>-2.6597043659999999E-5</v>
      </c>
      <c r="E411">
        <v>-5.0147246919999997</v>
      </c>
      <c r="F411">
        <v>-2.5633635340000001</v>
      </c>
      <c r="G411">
        <v>-1.6100415530000001</v>
      </c>
      <c r="H411">
        <v>-3.841001133E-2</v>
      </c>
      <c r="I411">
        <v>-0.99647103739999998</v>
      </c>
    </row>
    <row r="412" spans="1:9" hidden="1" x14ac:dyDescent="0.2">
      <c r="A412" t="s">
        <v>192</v>
      </c>
      <c r="B412" t="s">
        <v>832</v>
      </c>
      <c r="C412" t="s">
        <v>128</v>
      </c>
      <c r="D412">
        <v>-1.2943907810000001E-4</v>
      </c>
      <c r="E412">
        <v>-12.025996299999999</v>
      </c>
      <c r="F412">
        <v>-6.1472763669999999</v>
      </c>
      <c r="G412">
        <v>-3.8610130709999999</v>
      </c>
      <c r="H412">
        <v>-9.2126124810000001E-2</v>
      </c>
      <c r="I412">
        <v>-2.3896458589999998</v>
      </c>
    </row>
    <row r="413" spans="1:9" hidden="1" x14ac:dyDescent="0.2">
      <c r="A413" t="s">
        <v>193</v>
      </c>
      <c r="B413" t="s">
        <v>828</v>
      </c>
      <c r="C413" t="s">
        <v>194</v>
      </c>
      <c r="D413">
        <v>13.89204958</v>
      </c>
      <c r="E413">
        <v>12.188888459999999</v>
      </c>
      <c r="F413">
        <v>10.94405145</v>
      </c>
      <c r="G413">
        <v>9.7591055600000001</v>
      </c>
      <c r="H413">
        <v>8.3691919719999994</v>
      </c>
      <c r="I413">
        <v>6.8922920550000004</v>
      </c>
    </row>
    <row r="414" spans="1:9" hidden="1" x14ac:dyDescent="0.2">
      <c r="A414" t="s">
        <v>193</v>
      </c>
      <c r="B414" t="s">
        <v>869</v>
      </c>
      <c r="C414" t="s">
        <v>194</v>
      </c>
      <c r="D414">
        <v>60.426173390000002</v>
      </c>
      <c r="E414">
        <v>53.01796341</v>
      </c>
      <c r="F414">
        <v>47.603285300000003</v>
      </c>
      <c r="G414">
        <v>42.449129110000001</v>
      </c>
      <c r="H414">
        <v>36.403429430000003</v>
      </c>
      <c r="I414">
        <v>29.979372130000002</v>
      </c>
    </row>
    <row r="415" spans="1:9" hidden="1" x14ac:dyDescent="0.2">
      <c r="A415" t="s">
        <v>193</v>
      </c>
      <c r="B415" t="s">
        <v>821</v>
      </c>
      <c r="C415" t="s">
        <v>194</v>
      </c>
      <c r="D415">
        <v>4.4237774920000001</v>
      </c>
      <c r="E415">
        <v>3.8814238720000001</v>
      </c>
      <c r="F415">
        <v>3.4850184319999999</v>
      </c>
      <c r="G415">
        <v>3.1076848149999998</v>
      </c>
      <c r="H415">
        <v>2.6650814089999999</v>
      </c>
      <c r="I415">
        <v>2.1947781740000001</v>
      </c>
    </row>
    <row r="416" spans="1:9" hidden="1" x14ac:dyDescent="0.2">
      <c r="A416" t="s">
        <v>193</v>
      </c>
      <c r="B416" t="s">
        <v>825</v>
      </c>
      <c r="C416" t="s">
        <v>194</v>
      </c>
      <c r="D416">
        <v>1.664805187</v>
      </c>
      <c r="E416">
        <v>1.460700769</v>
      </c>
      <c r="F416">
        <v>1.3115209290000001</v>
      </c>
      <c r="G416">
        <v>1.1695185180000001</v>
      </c>
      <c r="H416">
        <v>1.002953081</v>
      </c>
      <c r="I416">
        <v>0.82596338540000003</v>
      </c>
    </row>
    <row r="417" spans="1:9" hidden="1" x14ac:dyDescent="0.2">
      <c r="A417" t="s">
        <v>195</v>
      </c>
      <c r="B417" t="s">
        <v>821</v>
      </c>
      <c r="C417" t="s">
        <v>194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hidden="1" x14ac:dyDescent="0.2">
      <c r="A418" t="s">
        <v>196</v>
      </c>
      <c r="B418" t="s">
        <v>828</v>
      </c>
      <c r="C418" t="s">
        <v>194</v>
      </c>
      <c r="D418">
        <v>60.426173429999999</v>
      </c>
      <c r="E418">
        <v>53.017941870000001</v>
      </c>
      <c r="F418">
        <v>47.603281709999997</v>
      </c>
      <c r="G418">
        <v>42.449129110000001</v>
      </c>
      <c r="H418">
        <v>36.403429420000002</v>
      </c>
      <c r="I418">
        <v>29.979365520000002</v>
      </c>
    </row>
    <row r="419" spans="1:9" hidden="1" x14ac:dyDescent="0.2">
      <c r="A419" t="s">
        <v>196</v>
      </c>
      <c r="B419" t="s">
        <v>869</v>
      </c>
      <c r="C419" t="s">
        <v>194</v>
      </c>
      <c r="D419">
        <v>-60.426173409999997</v>
      </c>
      <c r="E419">
        <v>-53.017941870000001</v>
      </c>
      <c r="F419">
        <v>-47.603281709999997</v>
      </c>
      <c r="G419">
        <v>-42.449129110000001</v>
      </c>
      <c r="H419">
        <v>-36.403429420000002</v>
      </c>
      <c r="I419">
        <v>-29.979365520000002</v>
      </c>
    </row>
    <row r="420" spans="1:9" hidden="1" x14ac:dyDescent="0.2">
      <c r="A420" t="s">
        <v>197</v>
      </c>
      <c r="B420" t="s">
        <v>833</v>
      </c>
      <c r="C420" t="s">
        <v>3</v>
      </c>
      <c r="D420">
        <v>58.638201950000003</v>
      </c>
      <c r="E420">
        <v>45.625601979999999</v>
      </c>
      <c r="F420">
        <v>40.284987809999997</v>
      </c>
      <c r="G420">
        <v>38.031813040000003</v>
      </c>
      <c r="H420">
        <v>30.221328459999999</v>
      </c>
      <c r="I420">
        <v>24.951867849999999</v>
      </c>
    </row>
    <row r="421" spans="1:9" hidden="1" x14ac:dyDescent="0.2">
      <c r="A421" t="s">
        <v>197</v>
      </c>
      <c r="B421" t="s">
        <v>832</v>
      </c>
      <c r="C421" t="s">
        <v>3</v>
      </c>
      <c r="D421">
        <v>4.1920000279999998</v>
      </c>
      <c r="E421">
        <v>3.3947997289999998</v>
      </c>
      <c r="F421">
        <v>3.0574501879999998</v>
      </c>
      <c r="G421">
        <v>2.8994997520000001</v>
      </c>
      <c r="H421">
        <v>2.4168917310000002</v>
      </c>
      <c r="I421">
        <v>2.0714113919999999</v>
      </c>
    </row>
    <row r="422" spans="1:9" hidden="1" x14ac:dyDescent="0.2">
      <c r="A422" t="s">
        <v>197</v>
      </c>
      <c r="B422" t="s">
        <v>846</v>
      </c>
      <c r="C422" t="s">
        <v>3</v>
      </c>
      <c r="D422">
        <v>18.86565388</v>
      </c>
      <c r="E422">
        <v>16.12164606</v>
      </c>
      <c r="F422">
        <v>12.229114989999999</v>
      </c>
      <c r="G422">
        <v>10.03958314</v>
      </c>
      <c r="H422">
        <v>8.2165406979999993</v>
      </c>
      <c r="I422">
        <v>7.0154537120000002</v>
      </c>
    </row>
    <row r="423" spans="1:9" hidden="1" x14ac:dyDescent="0.2">
      <c r="A423" t="s">
        <v>197</v>
      </c>
      <c r="B423" t="s">
        <v>834</v>
      </c>
      <c r="C423" t="s">
        <v>3</v>
      </c>
      <c r="D423">
        <v>12.507953519999999</v>
      </c>
      <c r="E423">
        <v>1.5148712209999999</v>
      </c>
      <c r="F423">
        <v>0</v>
      </c>
      <c r="G423">
        <v>0</v>
      </c>
      <c r="H423">
        <v>0</v>
      </c>
      <c r="I423">
        <v>0</v>
      </c>
    </row>
    <row r="424" spans="1:9" hidden="1" x14ac:dyDescent="0.2">
      <c r="A424" t="s">
        <v>198</v>
      </c>
      <c r="B424" t="s">
        <v>832</v>
      </c>
      <c r="C424" t="s">
        <v>199</v>
      </c>
      <c r="D424">
        <v>0.3734999859</v>
      </c>
      <c r="E424">
        <v>0.33614999020000003</v>
      </c>
      <c r="F424">
        <v>0.32214373819999997</v>
      </c>
      <c r="G424">
        <v>0.30813748619999998</v>
      </c>
      <c r="H424">
        <v>0.29413123429999999</v>
      </c>
      <c r="I424">
        <v>0.28012498229999999</v>
      </c>
    </row>
    <row r="425" spans="1:9" hidden="1" x14ac:dyDescent="0.2">
      <c r="A425" t="s">
        <v>198</v>
      </c>
      <c r="B425" t="s">
        <v>846</v>
      </c>
      <c r="C425" t="s">
        <v>199</v>
      </c>
      <c r="D425">
        <v>0.3734999859</v>
      </c>
      <c r="E425">
        <v>0.33614999020000003</v>
      </c>
      <c r="F425">
        <v>0.32214373819999997</v>
      </c>
      <c r="G425">
        <v>0.30813748619999998</v>
      </c>
      <c r="H425">
        <v>0.29413123429999999</v>
      </c>
      <c r="I425">
        <v>0.28012498229999999</v>
      </c>
    </row>
    <row r="426" spans="1:9" hidden="1" x14ac:dyDescent="0.2">
      <c r="A426" t="s">
        <v>198</v>
      </c>
      <c r="B426" t="s">
        <v>834</v>
      </c>
      <c r="C426" t="s">
        <v>199</v>
      </c>
      <c r="D426">
        <v>2.904599787</v>
      </c>
      <c r="E426">
        <v>5.4998995620000004</v>
      </c>
      <c r="F426">
        <v>5.2872969000000003</v>
      </c>
      <c r="G426">
        <v>5.0574142369999997</v>
      </c>
      <c r="H426">
        <v>4.827531574</v>
      </c>
      <c r="I426">
        <v>4.5976489110000003</v>
      </c>
    </row>
    <row r="427" spans="1:9" hidden="1" x14ac:dyDescent="0.2">
      <c r="A427" t="s">
        <v>198</v>
      </c>
      <c r="B427" t="s">
        <v>825</v>
      </c>
      <c r="C427" t="s">
        <v>199</v>
      </c>
      <c r="D427">
        <v>2.4899999990000001</v>
      </c>
      <c r="E427">
        <v>2.2410000179999998</v>
      </c>
      <c r="F427">
        <v>2.1476250010000002</v>
      </c>
      <c r="G427">
        <v>2.0542499849999998</v>
      </c>
      <c r="H427">
        <v>1.9608749679999999</v>
      </c>
      <c r="I427">
        <v>1.867499952</v>
      </c>
    </row>
    <row r="428" spans="1:9" hidden="1" x14ac:dyDescent="0.2">
      <c r="A428" t="s">
        <v>200</v>
      </c>
      <c r="B428" t="s">
        <v>821</v>
      </c>
      <c r="C428" t="s">
        <v>3</v>
      </c>
      <c r="D428">
        <v>35.890099939999999</v>
      </c>
      <c r="E428">
        <v>42.179225119999998</v>
      </c>
      <c r="F428">
        <v>39.600021939999998</v>
      </c>
      <c r="G428">
        <v>35.818599499999998</v>
      </c>
      <c r="H428">
        <v>33.799771409999998</v>
      </c>
      <c r="I428">
        <v>31.232230619999999</v>
      </c>
    </row>
    <row r="429" spans="1:9" hidden="1" x14ac:dyDescent="0.2">
      <c r="A429" t="s">
        <v>201</v>
      </c>
      <c r="B429" t="s">
        <v>821</v>
      </c>
      <c r="C429" t="s">
        <v>199</v>
      </c>
      <c r="D429">
        <v>9.5</v>
      </c>
      <c r="E429">
        <v>7.0613796439999996</v>
      </c>
      <c r="F429">
        <v>6.7671556129999999</v>
      </c>
      <c r="G429">
        <v>6.4729310680000003</v>
      </c>
      <c r="H429">
        <v>6.1787066829999997</v>
      </c>
      <c r="I429">
        <v>5.8844828429999998</v>
      </c>
    </row>
    <row r="430" spans="1:9" hidden="1" x14ac:dyDescent="0.2">
      <c r="A430" t="s">
        <v>202</v>
      </c>
      <c r="B430" t="s">
        <v>828</v>
      </c>
      <c r="C430" t="s">
        <v>199</v>
      </c>
      <c r="D430">
        <v>1.791322161E-5</v>
      </c>
      <c r="E430">
        <v>3.5794523179999997E-5</v>
      </c>
      <c r="F430">
        <v>3.8094177989999998E-4</v>
      </c>
      <c r="G430">
        <v>0</v>
      </c>
      <c r="H430">
        <v>0</v>
      </c>
      <c r="I430">
        <v>0</v>
      </c>
    </row>
    <row r="431" spans="1:9" hidden="1" x14ac:dyDescent="0.2">
      <c r="A431" t="s">
        <v>202</v>
      </c>
      <c r="B431" t="s">
        <v>821</v>
      </c>
      <c r="C431" t="s">
        <v>199</v>
      </c>
      <c r="D431">
        <v>-1.204999947E-6</v>
      </c>
      <c r="E431">
        <v>-5.7622196379999999E-6</v>
      </c>
      <c r="F431">
        <v>-1.3919237049999999E-5</v>
      </c>
      <c r="G431">
        <v>0</v>
      </c>
      <c r="H431">
        <v>0</v>
      </c>
      <c r="I431">
        <v>0</v>
      </c>
    </row>
    <row r="432" spans="1:9" hidden="1" x14ac:dyDescent="0.2">
      <c r="A432" t="s">
        <v>202</v>
      </c>
      <c r="B432" t="s">
        <v>832</v>
      </c>
      <c r="C432" t="s">
        <v>199</v>
      </c>
      <c r="D432">
        <v>-1.509446154E-5</v>
      </c>
      <c r="E432">
        <v>-2.747167665E-5</v>
      </c>
      <c r="F432">
        <v>-3.3584403460000002E-4</v>
      </c>
      <c r="G432">
        <v>0</v>
      </c>
      <c r="H432">
        <v>0</v>
      </c>
      <c r="I432">
        <v>0</v>
      </c>
    </row>
    <row r="433" spans="1:9" hidden="1" x14ac:dyDescent="0.2">
      <c r="A433" t="s">
        <v>203</v>
      </c>
      <c r="B433" t="s">
        <v>828</v>
      </c>
      <c r="C433" t="s">
        <v>199</v>
      </c>
      <c r="D433">
        <v>6.6749613279999999E-6</v>
      </c>
      <c r="E433">
        <v>2.8043463179999999E-5</v>
      </c>
      <c r="F433">
        <v>3.307299897E-4</v>
      </c>
      <c r="G433">
        <v>2.5975675149999999E-6</v>
      </c>
      <c r="H433">
        <v>0.1150577958</v>
      </c>
      <c r="I433">
        <v>0.1209308949</v>
      </c>
    </row>
    <row r="434" spans="1:9" hidden="1" x14ac:dyDescent="0.2">
      <c r="A434" t="s">
        <v>203</v>
      </c>
      <c r="B434" t="s">
        <v>832</v>
      </c>
      <c r="C434" t="s">
        <v>199</v>
      </c>
      <c r="D434">
        <v>-6.0114515079999998E-6</v>
      </c>
      <c r="E434">
        <v>-2.5262282180000001E-5</v>
      </c>
      <c r="F434">
        <v>-2.9747121309999999E-4</v>
      </c>
      <c r="G434">
        <v>-2.337542285E-6</v>
      </c>
      <c r="H434">
        <v>-0.1036037858</v>
      </c>
      <c r="I434">
        <v>-0.10897193249999999</v>
      </c>
    </row>
    <row r="435" spans="1:9" hidden="1" x14ac:dyDescent="0.2">
      <c r="A435" t="s">
        <v>204</v>
      </c>
      <c r="B435" t="s">
        <v>821</v>
      </c>
      <c r="C435" t="s">
        <v>3</v>
      </c>
      <c r="D435">
        <v>0</v>
      </c>
      <c r="E435">
        <v>-2.468897567E-5</v>
      </c>
      <c r="F435">
        <v>-1.3534026079999999E-5</v>
      </c>
      <c r="G435">
        <v>-3.0852525289999999E-7</v>
      </c>
      <c r="H435">
        <v>-4.1123170920000002E-6</v>
      </c>
      <c r="I435">
        <v>-9.6249354539999992E-6</v>
      </c>
    </row>
    <row r="436" spans="1:9" hidden="1" x14ac:dyDescent="0.2">
      <c r="A436" t="s">
        <v>204</v>
      </c>
      <c r="B436" t="s">
        <v>832</v>
      </c>
      <c r="C436" t="s">
        <v>3</v>
      </c>
      <c r="D436">
        <v>-1.7484897840000001E-7</v>
      </c>
      <c r="E436">
        <v>-8.7600010590000002E-5</v>
      </c>
      <c r="F436">
        <v>-5.6233296149999999E-5</v>
      </c>
      <c r="G436">
        <v>-1.2538555639999999E-6</v>
      </c>
      <c r="H436">
        <v>-1.6266909470000002E-5</v>
      </c>
      <c r="I436">
        <v>-3.6727419219999998E-5</v>
      </c>
    </row>
    <row r="437" spans="1:9" hidden="1" x14ac:dyDescent="0.2">
      <c r="A437" t="s">
        <v>204</v>
      </c>
      <c r="B437" t="s">
        <v>841</v>
      </c>
      <c r="C437" t="s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hidden="1" x14ac:dyDescent="0.2">
      <c r="A438" t="s">
        <v>204</v>
      </c>
      <c r="B438" t="s">
        <v>858</v>
      </c>
      <c r="C438" t="s">
        <v>3</v>
      </c>
      <c r="D438">
        <v>1.8924179659999999E-7</v>
      </c>
      <c r="E438">
        <v>1.2737880929999999E-4</v>
      </c>
      <c r="F438">
        <v>7.8069730679999999E-5</v>
      </c>
      <c r="G438">
        <v>1.746832696E-6</v>
      </c>
      <c r="H438">
        <v>2.274632388E-5</v>
      </c>
      <c r="I438">
        <v>5.1540517640000001E-5</v>
      </c>
    </row>
    <row r="439" spans="1:9" hidden="1" x14ac:dyDescent="0.2">
      <c r="A439" t="s">
        <v>205</v>
      </c>
      <c r="B439" t="s">
        <v>848</v>
      </c>
      <c r="C439" t="s">
        <v>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hidden="1" x14ac:dyDescent="0.2">
      <c r="A440" t="s">
        <v>205</v>
      </c>
      <c r="B440" t="s">
        <v>832</v>
      </c>
      <c r="C440" t="s">
        <v>3</v>
      </c>
      <c r="D440">
        <v>-9.3005738220000003E-7</v>
      </c>
      <c r="E440">
        <v>-3.7319166009999998E-4</v>
      </c>
      <c r="F440">
        <v>-2.923795398E-4</v>
      </c>
      <c r="G440">
        <v>-9.4120286289999994E-6</v>
      </c>
      <c r="H440">
        <v>-9.6626703970000003E-5</v>
      </c>
      <c r="I440">
        <v>-2.7115810190000002E-4</v>
      </c>
    </row>
    <row r="441" spans="1:9" hidden="1" x14ac:dyDescent="0.2">
      <c r="A441" t="s">
        <v>205</v>
      </c>
      <c r="B441" t="s">
        <v>844</v>
      </c>
      <c r="C441" t="s">
        <v>3</v>
      </c>
      <c r="D441">
        <v>0</v>
      </c>
      <c r="E441">
        <v>1.3386558400000001E-6</v>
      </c>
      <c r="F441">
        <v>7.8748300570000005E-7</v>
      </c>
      <c r="G441">
        <v>0</v>
      </c>
      <c r="H441">
        <v>2.2412586250000001E-7</v>
      </c>
      <c r="I441">
        <v>6.8020057109999999E-7</v>
      </c>
    </row>
    <row r="442" spans="1:9" hidden="1" x14ac:dyDescent="0.2">
      <c r="A442" t="s">
        <v>205</v>
      </c>
      <c r="B442" t="s">
        <v>850</v>
      </c>
      <c r="C442" t="s">
        <v>3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hidden="1" x14ac:dyDescent="0.2">
      <c r="A443" t="s">
        <v>205</v>
      </c>
      <c r="B443" t="s">
        <v>841</v>
      </c>
      <c r="C443" t="s">
        <v>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hidden="1" x14ac:dyDescent="0.2">
      <c r="A444" t="s">
        <v>205</v>
      </c>
      <c r="B444" t="s">
        <v>858</v>
      </c>
      <c r="C444" t="s">
        <v>3</v>
      </c>
      <c r="D444">
        <v>1.026716922E-6</v>
      </c>
      <c r="E444">
        <v>4.1353618239999999E-4</v>
      </c>
      <c r="F444">
        <v>3.2412971670000001E-4</v>
      </c>
      <c r="G444">
        <v>1.04346479E-5</v>
      </c>
      <c r="H444">
        <v>1.0712891329999999E-4</v>
      </c>
      <c r="I444">
        <v>3.006308227E-4</v>
      </c>
    </row>
    <row r="445" spans="1:9" hidden="1" x14ac:dyDescent="0.2">
      <c r="A445" t="s">
        <v>206</v>
      </c>
      <c r="B445" t="s">
        <v>828</v>
      </c>
      <c r="C445" t="s">
        <v>199</v>
      </c>
      <c r="D445">
        <v>0</v>
      </c>
      <c r="E445">
        <v>0</v>
      </c>
      <c r="F445">
        <v>-0.1409972233</v>
      </c>
      <c r="G445">
        <v>0</v>
      </c>
      <c r="H445">
        <v>0</v>
      </c>
      <c r="I445">
        <v>0</v>
      </c>
    </row>
    <row r="446" spans="1:9" hidden="1" x14ac:dyDescent="0.2">
      <c r="A446" t="s">
        <v>206</v>
      </c>
      <c r="B446" t="s">
        <v>859</v>
      </c>
      <c r="C446" t="s">
        <v>199</v>
      </c>
      <c r="D446">
        <v>3.0055166270000001E-7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hidden="1" x14ac:dyDescent="0.2">
      <c r="A447" t="s">
        <v>206</v>
      </c>
      <c r="B447" t="s">
        <v>821</v>
      </c>
      <c r="C447" t="s">
        <v>199</v>
      </c>
      <c r="D447">
        <v>-2.182367359E-7</v>
      </c>
      <c r="E447">
        <v>-7.5242231349999994E-2</v>
      </c>
      <c r="F447">
        <v>-2.3999562820000001E-2</v>
      </c>
      <c r="G447">
        <v>0</v>
      </c>
      <c r="H447">
        <v>0</v>
      </c>
      <c r="I447">
        <v>0</v>
      </c>
    </row>
    <row r="448" spans="1:9" hidden="1" x14ac:dyDescent="0.2">
      <c r="A448" t="s">
        <v>206</v>
      </c>
      <c r="B448" t="s">
        <v>832</v>
      </c>
      <c r="C448" t="s">
        <v>199</v>
      </c>
      <c r="D448">
        <v>-9.7107184880000002E-7</v>
      </c>
      <c r="E448">
        <v>-0.33605857290000002</v>
      </c>
      <c r="F448">
        <v>-0.1059979231</v>
      </c>
      <c r="G448">
        <v>0</v>
      </c>
      <c r="H448">
        <v>0</v>
      </c>
      <c r="I448">
        <v>0</v>
      </c>
    </row>
    <row r="449" spans="1:9" hidden="1" x14ac:dyDescent="0.2">
      <c r="A449" t="s">
        <v>206</v>
      </c>
      <c r="B449" t="s">
        <v>860</v>
      </c>
      <c r="C449" t="s">
        <v>199</v>
      </c>
      <c r="D449">
        <v>1.15344541E-6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hidden="1" x14ac:dyDescent="0.2">
      <c r="A450" t="s">
        <v>206</v>
      </c>
      <c r="B450" t="s">
        <v>825</v>
      </c>
      <c r="C450" t="s">
        <v>199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hidden="1" x14ac:dyDescent="0.2">
      <c r="A451" t="s">
        <v>207</v>
      </c>
      <c r="B451" t="s">
        <v>867</v>
      </c>
      <c r="C451" t="s">
        <v>128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hidden="1" x14ac:dyDescent="0.2">
      <c r="A452" t="s">
        <v>207</v>
      </c>
      <c r="B452" t="s">
        <v>859</v>
      </c>
      <c r="C452" t="s">
        <v>128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hidden="1" x14ac:dyDescent="0.2">
      <c r="A453" t="s">
        <v>207</v>
      </c>
      <c r="B453" t="s">
        <v>860</v>
      </c>
      <c r="C453" t="s">
        <v>128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hidden="1" x14ac:dyDescent="0.2">
      <c r="A454" t="s">
        <v>207</v>
      </c>
      <c r="B454" t="s">
        <v>870</v>
      </c>
      <c r="C454" t="s">
        <v>128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hidden="1" x14ac:dyDescent="0.2">
      <c r="A455" t="s">
        <v>207</v>
      </c>
      <c r="B455" t="s">
        <v>858</v>
      </c>
      <c r="C455" t="s">
        <v>128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hidden="1" x14ac:dyDescent="0.2">
      <c r="A456" t="s">
        <v>207</v>
      </c>
      <c r="B456" t="s">
        <v>868</v>
      </c>
      <c r="C456" t="s">
        <v>128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hidden="1" x14ac:dyDescent="0.2">
      <c r="A457" t="s">
        <v>208</v>
      </c>
      <c r="B457" t="s">
        <v>867</v>
      </c>
      <c r="C457" t="s">
        <v>128</v>
      </c>
      <c r="D457">
        <v>3.4676831570000001E-6</v>
      </c>
      <c r="E457">
        <v>3.6130600409999999E-5</v>
      </c>
      <c r="F457">
        <v>6.3632312590000003E-6</v>
      </c>
      <c r="G457">
        <v>0</v>
      </c>
      <c r="H457">
        <v>0</v>
      </c>
      <c r="I457">
        <v>1.076437395E-5</v>
      </c>
    </row>
    <row r="458" spans="1:9" hidden="1" x14ac:dyDescent="0.2">
      <c r="A458" t="s">
        <v>208</v>
      </c>
      <c r="B458" t="s">
        <v>859</v>
      </c>
      <c r="C458" t="s">
        <v>128</v>
      </c>
      <c r="D458">
        <v>2.72372601E-6</v>
      </c>
      <c r="E458">
        <v>4.3734276200000003E-5</v>
      </c>
      <c r="F458">
        <v>6.4418586159999999E-6</v>
      </c>
      <c r="G458">
        <v>0</v>
      </c>
      <c r="H458">
        <v>0</v>
      </c>
      <c r="I458">
        <v>1.116883727E-5</v>
      </c>
    </row>
    <row r="459" spans="1:9" hidden="1" x14ac:dyDescent="0.2">
      <c r="A459" t="s">
        <v>208</v>
      </c>
      <c r="B459" t="s">
        <v>821</v>
      </c>
      <c r="C459" t="s">
        <v>128</v>
      </c>
      <c r="D459">
        <v>-1.86932983E-6</v>
      </c>
      <c r="E459">
        <v>-1.358285596E-5</v>
      </c>
      <c r="F459">
        <v>-2.3706558149999999E-6</v>
      </c>
      <c r="G459">
        <v>0</v>
      </c>
      <c r="H459">
        <v>0</v>
      </c>
      <c r="I459">
        <v>-4.3006545289999999E-6</v>
      </c>
    </row>
    <row r="460" spans="1:9" hidden="1" x14ac:dyDescent="0.2">
      <c r="A460" t="s">
        <v>208</v>
      </c>
      <c r="B460" t="s">
        <v>860</v>
      </c>
      <c r="C460" t="s">
        <v>128</v>
      </c>
      <c r="D460">
        <v>1.580744763E-6</v>
      </c>
      <c r="E460">
        <v>4.5814973810000003E-5</v>
      </c>
      <c r="F460">
        <v>7.1206746620000001E-6</v>
      </c>
      <c r="G460">
        <v>0</v>
      </c>
      <c r="H460">
        <v>0</v>
      </c>
      <c r="I460">
        <v>1.232483569E-5</v>
      </c>
    </row>
    <row r="461" spans="1:9" hidden="1" x14ac:dyDescent="0.2">
      <c r="A461" t="s">
        <v>208</v>
      </c>
      <c r="B461" t="s">
        <v>858</v>
      </c>
      <c r="C461" t="s">
        <v>128</v>
      </c>
      <c r="D461">
        <v>3.7892296169999998E-6</v>
      </c>
      <c r="E461">
        <v>4.2954064060000003E-5</v>
      </c>
      <c r="F461">
        <v>7.9880334850000007E-6</v>
      </c>
      <c r="G461">
        <v>0</v>
      </c>
      <c r="H461">
        <v>0</v>
      </c>
      <c r="I461">
        <v>1.285825241E-5</v>
      </c>
    </row>
    <row r="462" spans="1:9" hidden="1" x14ac:dyDescent="0.2">
      <c r="A462" t="s">
        <v>208</v>
      </c>
      <c r="B462" t="s">
        <v>868</v>
      </c>
      <c r="C462" t="s">
        <v>128</v>
      </c>
      <c r="D462">
        <v>0</v>
      </c>
      <c r="E462">
        <v>1.4781183650000001E-5</v>
      </c>
      <c r="F462">
        <v>3.3009095029999999E-6</v>
      </c>
      <c r="G462">
        <v>0</v>
      </c>
      <c r="H462">
        <v>0</v>
      </c>
      <c r="I462">
        <v>9.9958339920000006E-6</v>
      </c>
    </row>
    <row r="463" spans="1:9" hidden="1" x14ac:dyDescent="0.2">
      <c r="A463" t="s">
        <v>208</v>
      </c>
      <c r="B463" t="s">
        <v>825</v>
      </c>
      <c r="C463" t="s">
        <v>128</v>
      </c>
      <c r="D463">
        <v>-1.872594239E-6</v>
      </c>
      <c r="E463">
        <v>-1.8657959990000001E-5</v>
      </c>
      <c r="F463">
        <v>-3.2367671670000001E-6</v>
      </c>
      <c r="G463">
        <v>0</v>
      </c>
      <c r="H463">
        <v>0</v>
      </c>
      <c r="I463">
        <v>-5.8887545880000003E-6</v>
      </c>
    </row>
    <row r="464" spans="1:9" hidden="1" x14ac:dyDescent="0.2">
      <c r="A464" t="s">
        <v>209</v>
      </c>
      <c r="B464" t="s">
        <v>867</v>
      </c>
      <c r="C464" t="s">
        <v>128</v>
      </c>
      <c r="D464">
        <v>9.4245971109999997E-6</v>
      </c>
      <c r="E464">
        <v>1.714542056E-4</v>
      </c>
      <c r="F464">
        <v>1.339793951E-3</v>
      </c>
      <c r="G464">
        <v>1.750958264E-3</v>
      </c>
      <c r="H464">
        <v>2.2658653610000001E-5</v>
      </c>
      <c r="I464">
        <v>6.0290335320000001E-3</v>
      </c>
    </row>
    <row r="465" spans="1:9" hidden="1" x14ac:dyDescent="0.2">
      <c r="A465" t="s">
        <v>209</v>
      </c>
      <c r="B465" t="s">
        <v>859</v>
      </c>
      <c r="C465" t="s">
        <v>128</v>
      </c>
      <c r="D465">
        <v>1.428007493E-5</v>
      </c>
      <c r="E465">
        <v>0.23370493710000001</v>
      </c>
      <c r="F465">
        <v>0.1524805062</v>
      </c>
      <c r="G465">
        <v>0.13112720259999999</v>
      </c>
      <c r="H465">
        <v>0.1260974222</v>
      </c>
      <c r="I465">
        <v>0.13808467159999999</v>
      </c>
    </row>
    <row r="466" spans="1:9" hidden="1" x14ac:dyDescent="0.2">
      <c r="A466" t="s">
        <v>209</v>
      </c>
      <c r="B466" t="s">
        <v>860</v>
      </c>
      <c r="C466" t="s">
        <v>128</v>
      </c>
      <c r="D466">
        <v>8.516098667E-6</v>
      </c>
      <c r="E466">
        <v>4.9218667739999997</v>
      </c>
      <c r="F466">
        <v>2.7449485509999998</v>
      </c>
      <c r="G466">
        <v>2.3929208750000002</v>
      </c>
      <c r="H466">
        <v>2.4477402499999998</v>
      </c>
      <c r="I466">
        <v>1.843853105</v>
      </c>
    </row>
    <row r="467" spans="1:9" hidden="1" x14ac:dyDescent="0.2">
      <c r="A467" t="s">
        <v>209</v>
      </c>
      <c r="B467" t="s">
        <v>858</v>
      </c>
      <c r="C467" t="s">
        <v>128</v>
      </c>
      <c r="D467">
        <v>1.3490549340000001E-5</v>
      </c>
      <c r="E467">
        <v>2.6688092009999998E-4</v>
      </c>
      <c r="F467">
        <v>5.073602959E-3</v>
      </c>
      <c r="G467">
        <v>9.8312551829999994E-3</v>
      </c>
      <c r="H467">
        <v>2.696441343E-5</v>
      </c>
      <c r="I467">
        <v>1.3200982450000001E-2</v>
      </c>
    </row>
    <row r="468" spans="1:9" hidden="1" x14ac:dyDescent="0.2">
      <c r="A468" t="s">
        <v>209</v>
      </c>
      <c r="B468" t="s">
        <v>868</v>
      </c>
      <c r="C468" t="s">
        <v>128</v>
      </c>
      <c r="D468">
        <v>0</v>
      </c>
      <c r="E468">
        <v>2.0184260910000001E-5</v>
      </c>
      <c r="F468">
        <v>5.0108124719999999E-6</v>
      </c>
      <c r="G468">
        <v>0</v>
      </c>
      <c r="H468">
        <v>5.2951169680000001E-6</v>
      </c>
      <c r="I468">
        <v>1.838720238E-3</v>
      </c>
    </row>
    <row r="469" spans="1:9" hidden="1" x14ac:dyDescent="0.2">
      <c r="A469" t="s">
        <v>209</v>
      </c>
      <c r="B469" t="s">
        <v>825</v>
      </c>
      <c r="C469" t="s">
        <v>128</v>
      </c>
      <c r="D469">
        <v>-3.336420453E-5</v>
      </c>
      <c r="E469">
        <v>-3.8669532289999999</v>
      </c>
      <c r="F469">
        <v>-2.1778737960000001</v>
      </c>
      <c r="G469">
        <v>-1.9017227779999999</v>
      </c>
      <c r="H469">
        <v>-1.9304194189999999</v>
      </c>
      <c r="I469">
        <v>-1.5022331390000001</v>
      </c>
    </row>
    <row r="470" spans="1:9" hidden="1" x14ac:dyDescent="0.2">
      <c r="A470" t="s">
        <v>210</v>
      </c>
      <c r="B470" t="s">
        <v>867</v>
      </c>
      <c r="C470" t="s">
        <v>3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hidden="1" x14ac:dyDescent="0.2">
      <c r="A471" t="s">
        <v>210</v>
      </c>
      <c r="B471" t="s">
        <v>859</v>
      </c>
      <c r="C471" t="s">
        <v>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hidden="1" x14ac:dyDescent="0.2">
      <c r="A472" t="s">
        <v>210</v>
      </c>
      <c r="B472" t="s">
        <v>860</v>
      </c>
      <c r="C472" t="s">
        <v>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hidden="1" x14ac:dyDescent="0.2">
      <c r="A473" t="s">
        <v>210</v>
      </c>
      <c r="B473" t="s">
        <v>858</v>
      </c>
      <c r="C473" t="s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hidden="1" x14ac:dyDescent="0.2">
      <c r="A474" t="s">
        <v>210</v>
      </c>
      <c r="B474" t="s">
        <v>868</v>
      </c>
      <c r="C474" t="s">
        <v>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hidden="1" x14ac:dyDescent="0.2">
      <c r="A475" t="s">
        <v>210</v>
      </c>
      <c r="B475" t="s">
        <v>825</v>
      </c>
      <c r="C475" t="s">
        <v>3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hidden="1" x14ac:dyDescent="0.2">
      <c r="A476" t="s">
        <v>211</v>
      </c>
      <c r="B476" t="s">
        <v>867</v>
      </c>
      <c r="C476" t="s">
        <v>3</v>
      </c>
      <c r="D476">
        <v>5.7557722540000004E-6</v>
      </c>
      <c r="E476">
        <v>8.452875304E-5</v>
      </c>
      <c r="F476">
        <v>3.030886086E-5</v>
      </c>
      <c r="G476">
        <v>4.5767467430000002E-7</v>
      </c>
      <c r="H476">
        <v>1.119281608E-5</v>
      </c>
      <c r="I476">
        <v>4.518798274E-5</v>
      </c>
    </row>
    <row r="477" spans="1:9" hidden="1" x14ac:dyDescent="0.2">
      <c r="A477" t="s">
        <v>211</v>
      </c>
      <c r="B477" t="s">
        <v>859</v>
      </c>
      <c r="C477" t="s">
        <v>3</v>
      </c>
      <c r="D477">
        <v>7.5822706740000004E-6</v>
      </c>
      <c r="E477">
        <v>2.8965045409999997E-4</v>
      </c>
      <c r="F477">
        <v>4.5955365780000001E-5</v>
      </c>
      <c r="G477">
        <v>6.7604315309999998E-7</v>
      </c>
      <c r="H477">
        <v>1.9909841850000001E-5</v>
      </c>
      <c r="I477">
        <v>5.2602512780000003E-5</v>
      </c>
    </row>
    <row r="478" spans="1:9" hidden="1" x14ac:dyDescent="0.2">
      <c r="A478" t="s">
        <v>211</v>
      </c>
      <c r="B478" t="s">
        <v>821</v>
      </c>
      <c r="C478" t="s">
        <v>3</v>
      </c>
      <c r="D478">
        <v>-1.468802034E-6</v>
      </c>
      <c r="E478">
        <v>-8.4577512850000003E-5</v>
      </c>
      <c r="F478">
        <v>-1.5751553790000001E-5</v>
      </c>
      <c r="G478">
        <v>-1.9706504949999999E-7</v>
      </c>
      <c r="H478">
        <v>-4.9463598739999997E-6</v>
      </c>
      <c r="I478">
        <v>-2.4340049970000001E-5</v>
      </c>
    </row>
    <row r="479" spans="1:9" hidden="1" x14ac:dyDescent="0.2">
      <c r="A479" t="s">
        <v>211</v>
      </c>
      <c r="B479" t="s">
        <v>860</v>
      </c>
      <c r="C479" t="s">
        <v>3</v>
      </c>
      <c r="D479">
        <v>4.035700801E-6</v>
      </c>
      <c r="E479">
        <v>3.0109778119999999E-4</v>
      </c>
      <c r="F479">
        <v>7.24446734E-5</v>
      </c>
      <c r="G479">
        <v>8.0931161660000005E-7</v>
      </c>
      <c r="H479">
        <v>2.15008928E-5</v>
      </c>
      <c r="I479">
        <v>7.557693774E-5</v>
      </c>
    </row>
    <row r="480" spans="1:9" hidden="1" x14ac:dyDescent="0.2">
      <c r="A480" t="s">
        <v>211</v>
      </c>
      <c r="B480" t="s">
        <v>858</v>
      </c>
      <c r="C480" t="s">
        <v>3</v>
      </c>
      <c r="D480">
        <v>9.3133230720000001E-6</v>
      </c>
      <c r="E480">
        <v>1.4435802949999999E-4</v>
      </c>
      <c r="F480">
        <v>5.6673834110000001E-5</v>
      </c>
      <c r="G480">
        <v>6.5331727840000004E-7</v>
      </c>
      <c r="H480">
        <v>1.315634149E-5</v>
      </c>
      <c r="I480">
        <v>7.37901253E-5</v>
      </c>
    </row>
    <row r="481" spans="1:9" hidden="1" x14ac:dyDescent="0.2">
      <c r="A481" t="s">
        <v>211</v>
      </c>
      <c r="B481" t="s">
        <v>868</v>
      </c>
      <c r="C481" t="s">
        <v>3</v>
      </c>
      <c r="D481">
        <v>0</v>
      </c>
      <c r="E481">
        <v>1.209096558E-6</v>
      </c>
      <c r="F481">
        <v>1.2839516079999999E-6</v>
      </c>
      <c r="G481">
        <v>0</v>
      </c>
      <c r="H481">
        <v>4.1023241130000002E-6</v>
      </c>
      <c r="I481">
        <v>3.5452337510000002E-5</v>
      </c>
    </row>
    <row r="482" spans="1:9" hidden="1" x14ac:dyDescent="0.2">
      <c r="A482" t="s">
        <v>211</v>
      </c>
      <c r="B482" t="s">
        <v>825</v>
      </c>
      <c r="C482" t="s">
        <v>3</v>
      </c>
      <c r="D482">
        <v>-8.0705471420000002E-6</v>
      </c>
      <c r="E482">
        <v>-2.082492008E-4</v>
      </c>
      <c r="F482">
        <v>-5.796950955E-5</v>
      </c>
      <c r="G482">
        <v>-7.5472555339999998E-7</v>
      </c>
      <c r="H482">
        <v>-1.9971416150000001E-5</v>
      </c>
      <c r="I482">
        <v>-7.6475475590000001E-5</v>
      </c>
    </row>
    <row r="483" spans="1:9" hidden="1" x14ac:dyDescent="0.2">
      <c r="A483" t="s">
        <v>212</v>
      </c>
      <c r="B483" t="s">
        <v>867</v>
      </c>
      <c r="C483" t="s">
        <v>3</v>
      </c>
      <c r="D483">
        <v>1.7837073400000002E-5</v>
      </c>
      <c r="E483">
        <v>1.5285916420000001E-4</v>
      </c>
      <c r="F483">
        <v>1.492233966E-3</v>
      </c>
      <c r="G483">
        <v>2.065734017E-3</v>
      </c>
      <c r="H483">
        <v>2.3001656130000001E-5</v>
      </c>
      <c r="I483">
        <v>7.3300853199999997E-3</v>
      </c>
    </row>
    <row r="484" spans="1:9" hidden="1" x14ac:dyDescent="0.2">
      <c r="A484" t="s">
        <v>212</v>
      </c>
      <c r="B484" t="s">
        <v>859</v>
      </c>
      <c r="C484" t="s">
        <v>3</v>
      </c>
      <c r="D484">
        <v>2.616927355E-5</v>
      </c>
      <c r="E484">
        <v>0.24071356830000001</v>
      </c>
      <c r="F484">
        <v>0.14937853249999999</v>
      </c>
      <c r="G484">
        <v>0.1319330504</v>
      </c>
      <c r="H484">
        <v>0.12753882359999999</v>
      </c>
      <c r="I484">
        <v>0.13952622749999999</v>
      </c>
    </row>
    <row r="485" spans="1:9" hidden="1" x14ac:dyDescent="0.2">
      <c r="A485" t="s">
        <v>212</v>
      </c>
      <c r="B485" t="s">
        <v>860</v>
      </c>
      <c r="C485" t="s">
        <v>3</v>
      </c>
      <c r="D485">
        <v>1.3364813060000001E-5</v>
      </c>
      <c r="E485">
        <v>4.5568970039999996</v>
      </c>
      <c r="F485">
        <v>2.4580838709999999</v>
      </c>
      <c r="G485">
        <v>2.1467865150000001</v>
      </c>
      <c r="H485">
        <v>2.1763229019999999</v>
      </c>
      <c r="I485">
        <v>1.612302715</v>
      </c>
    </row>
    <row r="486" spans="1:9" hidden="1" x14ac:dyDescent="0.2">
      <c r="A486" t="s">
        <v>212</v>
      </c>
      <c r="B486" t="s">
        <v>858</v>
      </c>
      <c r="C486" t="s">
        <v>3</v>
      </c>
      <c r="D486">
        <v>3.7721181199999998E-5</v>
      </c>
      <c r="E486">
        <v>2.508409564E-4</v>
      </c>
      <c r="F486">
        <v>5.4107556590000001E-3</v>
      </c>
      <c r="G486">
        <v>1.089813987E-2</v>
      </c>
      <c r="H486">
        <v>2.7200081179999999E-5</v>
      </c>
      <c r="I486">
        <v>1.735779518E-2</v>
      </c>
    </row>
    <row r="487" spans="1:9" hidden="1" x14ac:dyDescent="0.2">
      <c r="A487" t="s">
        <v>212</v>
      </c>
      <c r="B487" t="s">
        <v>868</v>
      </c>
      <c r="C487" t="s">
        <v>3</v>
      </c>
      <c r="D487">
        <v>0</v>
      </c>
      <c r="E487">
        <v>1.4885324629999999E-6</v>
      </c>
      <c r="F487">
        <v>1.5555041120000001E-6</v>
      </c>
      <c r="G487">
        <v>0</v>
      </c>
      <c r="H487">
        <v>5.353348038E-6</v>
      </c>
      <c r="I487">
        <v>1.9440336190000001E-3</v>
      </c>
    </row>
    <row r="488" spans="1:9" hidden="1" x14ac:dyDescent="0.2">
      <c r="A488" t="s">
        <v>212</v>
      </c>
      <c r="B488" t="s">
        <v>825</v>
      </c>
      <c r="C488" t="s">
        <v>3</v>
      </c>
      <c r="D488">
        <v>-7.1246441210000001E-5</v>
      </c>
      <c r="E488">
        <v>-3.5985111070000002</v>
      </c>
      <c r="F488">
        <v>-1.9607750939999999</v>
      </c>
      <c r="G488">
        <v>-1.7187626410000001</v>
      </c>
      <c r="H488">
        <v>-1.72793796</v>
      </c>
      <c r="I488">
        <v>-1.3338454259999999</v>
      </c>
    </row>
    <row r="489" spans="1:9" hidden="1" x14ac:dyDescent="0.2">
      <c r="A489" t="s">
        <v>213</v>
      </c>
      <c r="B489" t="s">
        <v>867</v>
      </c>
      <c r="C489" t="s">
        <v>199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hidden="1" x14ac:dyDescent="0.2">
      <c r="A490" t="s">
        <v>213</v>
      </c>
      <c r="B490" t="s">
        <v>859</v>
      </c>
      <c r="C490" t="s">
        <v>199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hidden="1" x14ac:dyDescent="0.2">
      <c r="A491" t="s">
        <v>213</v>
      </c>
      <c r="B491" t="s">
        <v>860</v>
      </c>
      <c r="C491" t="s">
        <v>199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hidden="1" x14ac:dyDescent="0.2">
      <c r="A492" t="s">
        <v>213</v>
      </c>
      <c r="B492" t="s">
        <v>858</v>
      </c>
      <c r="C492" t="s">
        <v>199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hidden="1" x14ac:dyDescent="0.2">
      <c r="A493" t="s">
        <v>213</v>
      </c>
      <c r="B493" t="s">
        <v>868</v>
      </c>
      <c r="C493" t="s">
        <v>199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hidden="1" x14ac:dyDescent="0.2">
      <c r="A494" t="s">
        <v>213</v>
      </c>
      <c r="B494" t="s">
        <v>825</v>
      </c>
      <c r="C494" t="s">
        <v>199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hidden="1" x14ac:dyDescent="0.2">
      <c r="A495" t="s">
        <v>214</v>
      </c>
      <c r="B495" t="s">
        <v>867</v>
      </c>
      <c r="C495" t="s">
        <v>199</v>
      </c>
      <c r="D495">
        <v>2.57313251E-6</v>
      </c>
      <c r="E495">
        <v>1.416015859E-5</v>
      </c>
      <c r="F495">
        <v>2.7451758779999999E-6</v>
      </c>
      <c r="G495">
        <v>0</v>
      </c>
      <c r="H495">
        <v>0</v>
      </c>
      <c r="I495">
        <v>4.206682686E-6</v>
      </c>
    </row>
    <row r="496" spans="1:9" hidden="1" x14ac:dyDescent="0.2">
      <c r="A496" t="s">
        <v>214</v>
      </c>
      <c r="B496" t="s">
        <v>859</v>
      </c>
      <c r="C496" t="s">
        <v>199</v>
      </c>
      <c r="D496">
        <v>2.783093262E-6</v>
      </c>
      <c r="E496">
        <v>4.1421428240000002E-5</v>
      </c>
      <c r="F496">
        <v>6.3037508910000004E-6</v>
      </c>
      <c r="G496">
        <v>0</v>
      </c>
      <c r="H496">
        <v>0</v>
      </c>
      <c r="I496">
        <v>1.1016894019999999E-5</v>
      </c>
    </row>
    <row r="497" spans="1:9" hidden="1" x14ac:dyDescent="0.2">
      <c r="A497" t="s">
        <v>214</v>
      </c>
      <c r="B497" t="s">
        <v>821</v>
      </c>
      <c r="C497" t="s">
        <v>199</v>
      </c>
      <c r="D497">
        <v>-1.9473170029999999E-6</v>
      </c>
      <c r="E497">
        <v>-1.375096055E-5</v>
      </c>
      <c r="F497">
        <v>-2.3777763339999998E-6</v>
      </c>
      <c r="G497">
        <v>0</v>
      </c>
      <c r="H497">
        <v>0</v>
      </c>
      <c r="I497">
        <v>-4.2802062330000002E-6</v>
      </c>
    </row>
    <row r="498" spans="1:9" hidden="1" x14ac:dyDescent="0.2">
      <c r="A498" t="s">
        <v>214</v>
      </c>
      <c r="B498" t="s">
        <v>860</v>
      </c>
      <c r="C498" t="s">
        <v>199</v>
      </c>
      <c r="D498">
        <v>1.592723396E-6</v>
      </c>
      <c r="E498">
        <v>4.2882692309999998E-5</v>
      </c>
      <c r="F498">
        <v>6.9077548170000001E-6</v>
      </c>
      <c r="G498">
        <v>0</v>
      </c>
      <c r="H498">
        <v>0</v>
      </c>
      <c r="I498">
        <v>1.200775078E-5</v>
      </c>
    </row>
    <row r="499" spans="1:9" hidden="1" x14ac:dyDescent="0.2">
      <c r="A499" t="s">
        <v>214</v>
      </c>
      <c r="B499" t="s">
        <v>858</v>
      </c>
      <c r="C499" t="s">
        <v>199</v>
      </c>
      <c r="D499">
        <v>3.6275648049999999E-6</v>
      </c>
      <c r="E499">
        <v>2.097450891E-5</v>
      </c>
      <c r="F499">
        <v>4.2715436210000003E-6</v>
      </c>
      <c r="G499">
        <v>0</v>
      </c>
      <c r="H499">
        <v>0</v>
      </c>
      <c r="I499">
        <v>6.1663026809999996E-6</v>
      </c>
    </row>
    <row r="500" spans="1:9" hidden="1" x14ac:dyDescent="0.2">
      <c r="A500" t="s">
        <v>214</v>
      </c>
      <c r="B500" t="s">
        <v>868</v>
      </c>
      <c r="C500" t="s">
        <v>199</v>
      </c>
      <c r="D500">
        <v>0</v>
      </c>
      <c r="E500">
        <v>4.1498242299999998E-7</v>
      </c>
      <c r="F500">
        <v>2.2466554889999999E-7</v>
      </c>
      <c r="G500">
        <v>0</v>
      </c>
      <c r="H500">
        <v>0</v>
      </c>
      <c r="I500">
        <v>3.6437904860000002E-6</v>
      </c>
    </row>
    <row r="501" spans="1:9" hidden="1" x14ac:dyDescent="0.2">
      <c r="A501" t="s">
        <v>214</v>
      </c>
      <c r="B501" t="s">
        <v>825</v>
      </c>
      <c r="C501" t="s">
        <v>199</v>
      </c>
      <c r="D501">
        <v>-1.8458812960000001E-6</v>
      </c>
      <c r="E501">
        <v>-1.368305316E-5</v>
      </c>
      <c r="F501">
        <v>-2.366260699E-6</v>
      </c>
      <c r="G501">
        <v>0</v>
      </c>
      <c r="H501">
        <v>0</v>
      </c>
      <c r="I501">
        <v>-4.2316759960000002E-6</v>
      </c>
    </row>
    <row r="502" spans="1:9" hidden="1" x14ac:dyDescent="0.2">
      <c r="A502" t="s">
        <v>215</v>
      </c>
      <c r="B502" t="s">
        <v>867</v>
      </c>
      <c r="C502" t="s">
        <v>199</v>
      </c>
      <c r="D502">
        <v>0.31662898950000001</v>
      </c>
      <c r="E502">
        <v>1.506460703E-4</v>
      </c>
      <c r="F502">
        <v>1.471464282E-3</v>
      </c>
      <c r="G502">
        <v>2.0445676520000002E-3</v>
      </c>
      <c r="H502">
        <v>2.2479769900000001E-5</v>
      </c>
      <c r="I502">
        <v>6.7787155250000003E-3</v>
      </c>
    </row>
    <row r="503" spans="1:9" hidden="1" x14ac:dyDescent="0.2">
      <c r="A503" t="s">
        <v>215</v>
      </c>
      <c r="B503" t="s">
        <v>859</v>
      </c>
      <c r="C503" t="s">
        <v>199</v>
      </c>
      <c r="D503">
        <v>1.1727851490000001</v>
      </c>
      <c r="E503">
        <v>0.2211422824</v>
      </c>
      <c r="F503">
        <v>0.137419662</v>
      </c>
      <c r="G503">
        <v>0.12980227529999999</v>
      </c>
      <c r="H503">
        <v>0.1199125613</v>
      </c>
      <c r="I503">
        <v>0.11922042350000001</v>
      </c>
    </row>
    <row r="504" spans="1:9" hidden="1" x14ac:dyDescent="0.2">
      <c r="A504" t="s">
        <v>215</v>
      </c>
      <c r="B504" t="s">
        <v>860</v>
      </c>
      <c r="C504" t="s">
        <v>199</v>
      </c>
      <c r="D504">
        <v>0.16594564270000001</v>
      </c>
      <c r="E504">
        <v>2.7664657199999998</v>
      </c>
      <c r="F504">
        <v>2.7202914059999999</v>
      </c>
      <c r="G504">
        <v>2.5975195219999998</v>
      </c>
      <c r="H504">
        <v>2.4945334849999998</v>
      </c>
      <c r="I504">
        <v>2.3509303020000001</v>
      </c>
    </row>
    <row r="505" spans="1:9" hidden="1" x14ac:dyDescent="0.2">
      <c r="A505" t="s">
        <v>215</v>
      </c>
      <c r="B505" t="s">
        <v>858</v>
      </c>
      <c r="C505" t="s">
        <v>199</v>
      </c>
      <c r="D505">
        <v>1.664633869</v>
      </c>
      <c r="E505">
        <v>2.0470036530000001E-4</v>
      </c>
      <c r="F505">
        <v>4.302020464E-3</v>
      </c>
      <c r="G505">
        <v>9.633366761E-3</v>
      </c>
      <c r="H505">
        <v>2.29944329E-5</v>
      </c>
      <c r="I505">
        <v>1.116198432E-2</v>
      </c>
    </row>
    <row r="506" spans="1:9" hidden="1" x14ac:dyDescent="0.2">
      <c r="A506" t="s">
        <v>215</v>
      </c>
      <c r="B506" t="s">
        <v>868</v>
      </c>
      <c r="C506" t="s">
        <v>199</v>
      </c>
      <c r="D506">
        <v>0</v>
      </c>
      <c r="E506">
        <v>1.9953458209999999E-6</v>
      </c>
      <c r="F506">
        <v>1.528019515E-6</v>
      </c>
      <c r="G506">
        <v>0</v>
      </c>
      <c r="H506">
        <v>5.2914656629999997E-6</v>
      </c>
      <c r="I506">
        <v>1.9011143470000001E-3</v>
      </c>
    </row>
    <row r="507" spans="1:9" hidden="1" x14ac:dyDescent="0.2">
      <c r="A507" t="s">
        <v>215</v>
      </c>
      <c r="B507" t="s">
        <v>825</v>
      </c>
      <c r="C507" t="s">
        <v>199</v>
      </c>
      <c r="D507">
        <v>-2.4899951649999998</v>
      </c>
      <c r="E507">
        <v>-2.2409732939999998</v>
      </c>
      <c r="F507">
        <v>-2.1476144430000002</v>
      </c>
      <c r="G507">
        <v>-2.054249859</v>
      </c>
      <c r="H507">
        <v>-1.9608726080000001</v>
      </c>
      <c r="I507">
        <v>-1.867494188</v>
      </c>
    </row>
    <row r="508" spans="1:9" hidden="1" x14ac:dyDescent="0.2">
      <c r="A508" t="s">
        <v>216</v>
      </c>
      <c r="B508" t="s">
        <v>832</v>
      </c>
      <c r="C508" t="s">
        <v>199</v>
      </c>
      <c r="D508">
        <v>-1.7147729839999999E-6</v>
      </c>
      <c r="E508">
        <v>-7.5783018910000001E-6</v>
      </c>
      <c r="F508">
        <v>-1.3016933500000001E-5</v>
      </c>
      <c r="G508">
        <v>-1.7638080000000001E-7</v>
      </c>
      <c r="H508">
        <v>-5.6175001099999998E-6</v>
      </c>
      <c r="I508">
        <v>-1.769875623E-5</v>
      </c>
    </row>
    <row r="509" spans="1:9" hidden="1" x14ac:dyDescent="0.2">
      <c r="A509" t="s">
        <v>216</v>
      </c>
      <c r="B509" t="s">
        <v>824</v>
      </c>
      <c r="C509" t="s">
        <v>199</v>
      </c>
      <c r="D509">
        <v>1.8993932040000001E-6</v>
      </c>
      <c r="E509">
        <v>8.3833585800000002E-6</v>
      </c>
      <c r="F509">
        <v>1.4444096349999999E-5</v>
      </c>
      <c r="G509">
        <v>1.9578237820000001E-7</v>
      </c>
      <c r="H509">
        <v>6.235415309E-6</v>
      </c>
      <c r="I509">
        <v>1.9636960599999999E-5</v>
      </c>
    </row>
    <row r="510" spans="1:9" hidden="1" x14ac:dyDescent="0.2">
      <c r="A510" t="s">
        <v>217</v>
      </c>
      <c r="B510" t="s">
        <v>820</v>
      </c>
      <c r="C510" t="s">
        <v>199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hidden="1" x14ac:dyDescent="0.2">
      <c r="A511" t="s">
        <v>217</v>
      </c>
      <c r="B511" t="s">
        <v>827</v>
      </c>
      <c r="C511" t="s">
        <v>199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hidden="1" x14ac:dyDescent="0.2">
      <c r="A512" t="s">
        <v>217</v>
      </c>
      <c r="B512" t="s">
        <v>821</v>
      </c>
      <c r="C512" t="s">
        <v>199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hidden="1" x14ac:dyDescent="0.2">
      <c r="A513" t="s">
        <v>217</v>
      </c>
      <c r="B513" t="s">
        <v>832</v>
      </c>
      <c r="C513" t="s">
        <v>199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hidden="1" x14ac:dyDescent="0.2">
      <c r="A514" t="s">
        <v>218</v>
      </c>
      <c r="B514" t="s">
        <v>828</v>
      </c>
      <c r="C514" t="s">
        <v>199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hidden="1" x14ac:dyDescent="0.2">
      <c r="A515" t="s">
        <v>218</v>
      </c>
      <c r="B515" t="s">
        <v>827</v>
      </c>
      <c r="C515" t="s">
        <v>199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hidden="1" x14ac:dyDescent="0.2">
      <c r="A516" t="s">
        <v>218</v>
      </c>
      <c r="B516" t="s">
        <v>821</v>
      </c>
      <c r="C516" t="s">
        <v>199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hidden="1" x14ac:dyDescent="0.2">
      <c r="A517" t="s">
        <v>218</v>
      </c>
      <c r="B517" t="s">
        <v>832</v>
      </c>
      <c r="C517" t="s">
        <v>199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hidden="1" x14ac:dyDescent="0.2">
      <c r="A518" t="s">
        <v>219</v>
      </c>
      <c r="B518" t="s">
        <v>820</v>
      </c>
      <c r="C518" t="s">
        <v>199</v>
      </c>
      <c r="D518">
        <v>1.04723476E-6</v>
      </c>
      <c r="E518">
        <v>8.3304110800000005E-7</v>
      </c>
      <c r="F518">
        <v>2.416210843E-4</v>
      </c>
      <c r="G518">
        <v>2.4071638360000001E-6</v>
      </c>
      <c r="H518">
        <v>3.8605494620000001E-5</v>
      </c>
      <c r="I518">
        <v>1.5690814299999999E-5</v>
      </c>
    </row>
    <row r="519" spans="1:9" hidden="1" x14ac:dyDescent="0.2">
      <c r="A519" t="s">
        <v>219</v>
      </c>
      <c r="B519" t="s">
        <v>827</v>
      </c>
      <c r="C519" t="s">
        <v>199</v>
      </c>
      <c r="D519">
        <v>-1.024806823E-6</v>
      </c>
      <c r="E519">
        <v>-8.9334084259999997E-6</v>
      </c>
      <c r="F519">
        <v>-2.103471931E-5</v>
      </c>
      <c r="G519">
        <v>-1.948603132E-7</v>
      </c>
      <c r="H519">
        <v>-3.1253025889999999E-6</v>
      </c>
      <c r="I519">
        <v>-1.590282271E-6</v>
      </c>
    </row>
    <row r="520" spans="1:9" hidden="1" x14ac:dyDescent="0.2">
      <c r="A520" t="s">
        <v>219</v>
      </c>
      <c r="B520" t="s">
        <v>821</v>
      </c>
      <c r="C520" t="s">
        <v>199</v>
      </c>
      <c r="D520">
        <v>0</v>
      </c>
      <c r="E520">
        <v>2.751514896E-7</v>
      </c>
      <c r="F520">
        <v>1.2008051380000001E-5</v>
      </c>
      <c r="G520">
        <v>1.1924967050000001E-7</v>
      </c>
      <c r="H520">
        <v>1.9125318530000001E-6</v>
      </c>
      <c r="I520">
        <v>8.4041870020000004E-7</v>
      </c>
    </row>
    <row r="521" spans="1:9" hidden="1" x14ac:dyDescent="0.2">
      <c r="A521" t="s">
        <v>219</v>
      </c>
      <c r="B521" t="s">
        <v>832</v>
      </c>
      <c r="C521" t="s">
        <v>199</v>
      </c>
      <c r="D521">
        <v>-8.1151223279999995E-7</v>
      </c>
      <c r="E521">
        <v>-7.509905851E-7</v>
      </c>
      <c r="F521">
        <v>-1.7847218179999999E-4</v>
      </c>
      <c r="G521">
        <v>-1.77781403E-6</v>
      </c>
      <c r="H521">
        <v>-2.8512097019999999E-5</v>
      </c>
      <c r="I521">
        <v>-1.1513377120000001E-5</v>
      </c>
    </row>
    <row r="522" spans="1:9" hidden="1" x14ac:dyDescent="0.2">
      <c r="A522" t="s">
        <v>220</v>
      </c>
      <c r="B522" t="s">
        <v>820</v>
      </c>
      <c r="C522" t="s">
        <v>199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hidden="1" x14ac:dyDescent="0.2">
      <c r="A523" t="s">
        <v>220</v>
      </c>
      <c r="B523" t="s">
        <v>834</v>
      </c>
      <c r="C523" t="s">
        <v>199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hidden="1" x14ac:dyDescent="0.2">
      <c r="A524" t="s">
        <v>221</v>
      </c>
      <c r="B524" t="s">
        <v>833</v>
      </c>
      <c r="C524" t="s">
        <v>3</v>
      </c>
      <c r="D524">
        <v>-1.6345512859999999E-5</v>
      </c>
      <c r="E524">
        <v>-1.059573319E-4</v>
      </c>
      <c r="F524">
        <v>-6.8893176299999995E-5</v>
      </c>
      <c r="G524">
        <v>-7.8905250580000004E-7</v>
      </c>
      <c r="H524">
        <v>-2.099676669E-5</v>
      </c>
      <c r="I524">
        <v>-6.6709879610000005E-5</v>
      </c>
    </row>
    <row r="525" spans="1:9" hidden="1" x14ac:dyDescent="0.2">
      <c r="A525" t="s">
        <v>221</v>
      </c>
      <c r="B525" t="s">
        <v>824</v>
      </c>
      <c r="C525" t="s">
        <v>3</v>
      </c>
      <c r="D525">
        <v>1.8139514470000002E-5</v>
      </c>
      <c r="E525">
        <v>1.175840819E-4</v>
      </c>
      <c r="F525">
        <v>7.6466725860000005E-5</v>
      </c>
      <c r="G525">
        <v>8.7584797160000002E-7</v>
      </c>
      <c r="H525">
        <v>2.330640121E-5</v>
      </c>
      <c r="I525">
        <v>7.4039307559999997E-5</v>
      </c>
    </row>
    <row r="526" spans="1:9" hidden="1" x14ac:dyDescent="0.2">
      <c r="A526" t="s">
        <v>222</v>
      </c>
      <c r="B526" t="s">
        <v>820</v>
      </c>
      <c r="C526" t="s">
        <v>3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hidden="1" x14ac:dyDescent="0.2">
      <c r="A527" t="s">
        <v>222</v>
      </c>
      <c r="B527" t="s">
        <v>827</v>
      </c>
      <c r="C527" t="s">
        <v>3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hidden="1" x14ac:dyDescent="0.2">
      <c r="A528" t="s">
        <v>222</v>
      </c>
      <c r="B528" t="s">
        <v>821</v>
      </c>
      <c r="C528" t="s">
        <v>3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hidden="1" x14ac:dyDescent="0.2">
      <c r="A529" t="s">
        <v>222</v>
      </c>
      <c r="B529" t="s">
        <v>832</v>
      </c>
      <c r="C529" t="s">
        <v>3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hidden="1" x14ac:dyDescent="0.2">
      <c r="A530" t="s">
        <v>223</v>
      </c>
      <c r="B530" t="s">
        <v>828</v>
      </c>
      <c r="C530" t="s">
        <v>3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hidden="1" x14ac:dyDescent="0.2">
      <c r="A531" t="s">
        <v>223</v>
      </c>
      <c r="B531" t="s">
        <v>827</v>
      </c>
      <c r="C531" t="s">
        <v>3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hidden="1" x14ac:dyDescent="0.2">
      <c r="A532" t="s">
        <v>223</v>
      </c>
      <c r="B532" t="s">
        <v>821</v>
      </c>
      <c r="C532" t="s">
        <v>3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hidden="1" x14ac:dyDescent="0.2">
      <c r="A533" t="s">
        <v>223</v>
      </c>
      <c r="B533" t="s">
        <v>832</v>
      </c>
      <c r="C533" t="s">
        <v>3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hidden="1" x14ac:dyDescent="0.2">
      <c r="A534" t="s">
        <v>224</v>
      </c>
      <c r="B534" t="s">
        <v>820</v>
      </c>
      <c r="C534" t="s">
        <v>3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hidden="1" x14ac:dyDescent="0.2">
      <c r="A535" t="s">
        <v>224</v>
      </c>
      <c r="B535" t="s">
        <v>821</v>
      </c>
      <c r="C535" t="s">
        <v>3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hidden="1" x14ac:dyDescent="0.2">
      <c r="A536" t="s">
        <v>224</v>
      </c>
      <c r="B536" t="s">
        <v>832</v>
      </c>
      <c r="C536" t="s">
        <v>3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hidden="1" x14ac:dyDescent="0.2">
      <c r="A537" t="s">
        <v>225</v>
      </c>
      <c r="B537" t="s">
        <v>820</v>
      </c>
      <c r="C537" t="s">
        <v>3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hidden="1" x14ac:dyDescent="0.2">
      <c r="A538" t="s">
        <v>225</v>
      </c>
      <c r="B538" t="s">
        <v>846</v>
      </c>
      <c r="C538" t="s">
        <v>3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hidden="1" x14ac:dyDescent="0.2">
      <c r="A539" t="s">
        <v>226</v>
      </c>
      <c r="B539" t="s">
        <v>820</v>
      </c>
      <c r="C539" t="s">
        <v>3</v>
      </c>
      <c r="D539">
        <v>5.863314727E-6</v>
      </c>
      <c r="E539">
        <v>1.065683674E-4</v>
      </c>
      <c r="F539">
        <v>1.2747245310000001E-4</v>
      </c>
      <c r="G539">
        <v>3.4318294449999999E-6</v>
      </c>
      <c r="H539">
        <v>1.540394152E-5</v>
      </c>
      <c r="I539">
        <v>9.7029137020000007E-6</v>
      </c>
    </row>
    <row r="540" spans="1:9" hidden="1" x14ac:dyDescent="0.2">
      <c r="A540" t="s">
        <v>226</v>
      </c>
      <c r="B540" t="s">
        <v>832</v>
      </c>
      <c r="C540" t="s">
        <v>3</v>
      </c>
      <c r="D540">
        <v>-5.415091083E-6</v>
      </c>
      <c r="E540">
        <v>-8.8850240330000006E-5</v>
      </c>
      <c r="F540">
        <v>-1.11161448E-4</v>
      </c>
      <c r="G540">
        <v>-2.930763849E-6</v>
      </c>
      <c r="H540">
        <v>-1.285857561E-5</v>
      </c>
      <c r="I540">
        <v>-7.9143460749999993E-6</v>
      </c>
    </row>
    <row r="541" spans="1:9" hidden="1" x14ac:dyDescent="0.2">
      <c r="A541" t="s">
        <v>227</v>
      </c>
      <c r="B541" t="s">
        <v>832</v>
      </c>
      <c r="C541" t="s">
        <v>128</v>
      </c>
      <c r="D541">
        <v>-3.3265161540000002E-6</v>
      </c>
      <c r="E541">
        <v>-3.4287676340000002E-5</v>
      </c>
      <c r="F541">
        <v>-1.8387806520000001E-5</v>
      </c>
      <c r="G541">
        <v>-2.0625087159999999E-7</v>
      </c>
      <c r="H541">
        <v>-5.7851709629999999E-6</v>
      </c>
      <c r="I541">
        <v>-2.4052417150000001E-5</v>
      </c>
    </row>
    <row r="542" spans="1:9" hidden="1" x14ac:dyDescent="0.2">
      <c r="A542" t="s">
        <v>227</v>
      </c>
      <c r="B542" t="s">
        <v>824</v>
      </c>
      <c r="C542" t="s">
        <v>128</v>
      </c>
      <c r="D542">
        <v>3.6884281230000002E-6</v>
      </c>
      <c r="E542">
        <v>3.8059320730000002E-5</v>
      </c>
      <c r="F542">
        <v>2.0410465240000001E-5</v>
      </c>
      <c r="G542">
        <v>2.2893846739999999E-7</v>
      </c>
      <c r="H542">
        <v>6.4215397679999997E-6</v>
      </c>
      <c r="I542">
        <v>2.6698183040000001E-5</v>
      </c>
    </row>
    <row r="543" spans="1:9" hidden="1" x14ac:dyDescent="0.2">
      <c r="A543" t="s">
        <v>228</v>
      </c>
      <c r="B543" t="s">
        <v>820</v>
      </c>
      <c r="C543" t="s">
        <v>128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hidden="1" x14ac:dyDescent="0.2">
      <c r="A544" t="s">
        <v>228</v>
      </c>
      <c r="B544" t="s">
        <v>827</v>
      </c>
      <c r="C544" t="s">
        <v>128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hidden="1" x14ac:dyDescent="0.2">
      <c r="A545" t="s">
        <v>228</v>
      </c>
      <c r="B545" t="s">
        <v>821</v>
      </c>
      <c r="C545" t="s">
        <v>128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hidden="1" x14ac:dyDescent="0.2">
      <c r="A546" t="s">
        <v>228</v>
      </c>
      <c r="B546" t="s">
        <v>832</v>
      </c>
      <c r="C546" t="s">
        <v>128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hidden="1" x14ac:dyDescent="0.2">
      <c r="A547" t="s">
        <v>229</v>
      </c>
      <c r="B547" t="s">
        <v>828</v>
      </c>
      <c r="C547" t="s">
        <v>128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hidden="1" x14ac:dyDescent="0.2">
      <c r="A548" t="s">
        <v>229</v>
      </c>
      <c r="B548" t="s">
        <v>827</v>
      </c>
      <c r="C548" t="s">
        <v>128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hidden="1" x14ac:dyDescent="0.2">
      <c r="A549" t="s">
        <v>229</v>
      </c>
      <c r="B549" t="s">
        <v>821</v>
      </c>
      <c r="C549" t="s">
        <v>128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hidden="1" x14ac:dyDescent="0.2">
      <c r="A550" t="s">
        <v>229</v>
      </c>
      <c r="B550" t="s">
        <v>832</v>
      </c>
      <c r="C550" t="s">
        <v>128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hidden="1" x14ac:dyDescent="0.2">
      <c r="A551" t="s">
        <v>230</v>
      </c>
      <c r="B551" t="s">
        <v>820</v>
      </c>
      <c r="C551" t="s">
        <v>128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hidden="1" x14ac:dyDescent="0.2">
      <c r="A552" t="s">
        <v>230</v>
      </c>
      <c r="B552" t="s">
        <v>846</v>
      </c>
      <c r="C552" t="s">
        <v>128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hidden="1" x14ac:dyDescent="0.2">
      <c r="A553" t="s">
        <v>231</v>
      </c>
      <c r="B553" t="s">
        <v>820</v>
      </c>
      <c r="C553" t="s">
        <v>128</v>
      </c>
      <c r="D553">
        <v>5.2554748419999999</v>
      </c>
      <c r="E553">
        <v>1.2409547439999999E-3</v>
      </c>
      <c r="F553">
        <v>3.060134465E-4</v>
      </c>
      <c r="G553">
        <v>8.6842018080000004E-6</v>
      </c>
      <c r="H553">
        <v>3.9197435939999998E-5</v>
      </c>
      <c r="I553">
        <v>1.8957916129999998E-5</v>
      </c>
    </row>
    <row r="554" spans="1:9" hidden="1" x14ac:dyDescent="0.2">
      <c r="A554" t="s">
        <v>231</v>
      </c>
      <c r="B554" t="s">
        <v>832</v>
      </c>
      <c r="C554" t="s">
        <v>128</v>
      </c>
      <c r="D554">
        <v>-4.6756893650000002</v>
      </c>
      <c r="E554">
        <v>-1.1040522639999999E-3</v>
      </c>
      <c r="F554">
        <v>-2.7225395590000002E-4</v>
      </c>
      <c r="G554">
        <v>-7.7261581919999998E-6</v>
      </c>
      <c r="H554">
        <v>-3.4873163650000001E-5</v>
      </c>
      <c r="I554">
        <v>-1.6866473420000001E-5</v>
      </c>
    </row>
    <row r="555" spans="1:9" hidden="1" x14ac:dyDescent="0.2">
      <c r="A555" t="s">
        <v>232</v>
      </c>
      <c r="B555" t="s">
        <v>820</v>
      </c>
      <c r="C555" t="s">
        <v>199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hidden="1" x14ac:dyDescent="0.2">
      <c r="A556" t="s">
        <v>232</v>
      </c>
      <c r="B556" t="s">
        <v>821</v>
      </c>
      <c r="C556" t="s">
        <v>199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hidden="1" x14ac:dyDescent="0.2">
      <c r="A557" t="s">
        <v>232</v>
      </c>
      <c r="B557" t="s">
        <v>832</v>
      </c>
      <c r="C557" t="s">
        <v>199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hidden="1" x14ac:dyDescent="0.2">
      <c r="A558" t="s">
        <v>233</v>
      </c>
      <c r="B558" t="s">
        <v>820</v>
      </c>
      <c r="C558" t="s">
        <v>128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hidden="1" x14ac:dyDescent="0.2">
      <c r="A559" t="s">
        <v>233</v>
      </c>
      <c r="B559" t="s">
        <v>821</v>
      </c>
      <c r="C559" t="s">
        <v>128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hidden="1" x14ac:dyDescent="0.2">
      <c r="A560" t="s">
        <v>233</v>
      </c>
      <c r="B560" t="s">
        <v>832</v>
      </c>
      <c r="C560" t="s">
        <v>128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hidden="1" x14ac:dyDescent="0.2">
      <c r="A561" t="s">
        <v>233</v>
      </c>
      <c r="B561" t="s">
        <v>825</v>
      </c>
      <c r="C561" t="s">
        <v>128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2">
      <c r="A562" t="s">
        <v>234</v>
      </c>
      <c r="B562" t="s">
        <v>821</v>
      </c>
      <c r="C562" t="s">
        <v>20</v>
      </c>
      <c r="D562">
        <v>1.074657813E-2</v>
      </c>
      <c r="E562">
        <v>4.8192891860000002E-3</v>
      </c>
      <c r="F562">
        <v>2.4815656579999998E-3</v>
      </c>
      <c r="G562">
        <v>1.826296883E-3</v>
      </c>
      <c r="H562">
        <v>2.667696808E-3</v>
      </c>
      <c r="I562">
        <v>2.5995345490000001E-3</v>
      </c>
    </row>
    <row r="563" spans="1:9" x14ac:dyDescent="0.2">
      <c r="A563" t="s">
        <v>235</v>
      </c>
      <c r="B563" t="s">
        <v>821</v>
      </c>
      <c r="C563" t="s">
        <v>20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2">
      <c r="A564" t="s">
        <v>235</v>
      </c>
      <c r="B564" t="s">
        <v>844</v>
      </c>
      <c r="C564" t="s">
        <v>20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2">
      <c r="A565" t="s">
        <v>236</v>
      </c>
      <c r="B565" t="s">
        <v>827</v>
      </c>
      <c r="C565" t="s">
        <v>20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2">
      <c r="A566" t="s">
        <v>236</v>
      </c>
      <c r="B566" t="s">
        <v>821</v>
      </c>
      <c r="C566" t="s">
        <v>20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2">
      <c r="A567" t="s">
        <v>236</v>
      </c>
      <c r="B567" t="s">
        <v>844</v>
      </c>
      <c r="C567" t="s">
        <v>20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2">
      <c r="A568" t="s">
        <v>237</v>
      </c>
      <c r="B568" t="s">
        <v>821</v>
      </c>
      <c r="C568" t="s">
        <v>20</v>
      </c>
      <c r="D568">
        <v>1.6118779640000001</v>
      </c>
      <c r="E568">
        <v>0.72282108850000004</v>
      </c>
      <c r="F568">
        <v>0.37219762480000002</v>
      </c>
      <c r="G568">
        <v>0.273917138</v>
      </c>
      <c r="H568">
        <v>0.40011450570000001</v>
      </c>
      <c r="I568">
        <v>0.3898911893</v>
      </c>
    </row>
    <row r="569" spans="1:9" hidden="1" x14ac:dyDescent="0.2">
      <c r="A569" t="s">
        <v>238</v>
      </c>
      <c r="B569" t="s">
        <v>821</v>
      </c>
      <c r="C569" t="s">
        <v>24</v>
      </c>
      <c r="D569">
        <v>0</v>
      </c>
      <c r="E569">
        <v>-1.2839199739999999E-4</v>
      </c>
      <c r="F569">
        <v>-6.1647548030000003E-5</v>
      </c>
      <c r="G569">
        <v>-10.76797434</v>
      </c>
      <c r="H569">
        <v>-11.305069530000001</v>
      </c>
      <c r="I569">
        <v>-11.473801010000001</v>
      </c>
    </row>
    <row r="570" spans="1:9" hidden="1" x14ac:dyDescent="0.2">
      <c r="A570" t="s">
        <v>238</v>
      </c>
      <c r="B570" t="s">
        <v>826</v>
      </c>
      <c r="C570" t="s">
        <v>24</v>
      </c>
      <c r="D570">
        <v>0</v>
      </c>
      <c r="E570">
        <v>1.2839199739999999E-4</v>
      </c>
      <c r="F570">
        <v>6.1647548030000003E-5</v>
      </c>
      <c r="G570">
        <v>10.76797434</v>
      </c>
      <c r="H570">
        <v>11.305069530000001</v>
      </c>
      <c r="I570">
        <v>11.473801010000001</v>
      </c>
    </row>
    <row r="571" spans="1:9" hidden="1" x14ac:dyDescent="0.2">
      <c r="A571" t="s">
        <v>239</v>
      </c>
      <c r="B571" t="s">
        <v>821</v>
      </c>
      <c r="C571" t="s">
        <v>5</v>
      </c>
      <c r="D571">
        <v>0</v>
      </c>
      <c r="E571">
        <v>-2.6537095049999999E-5</v>
      </c>
      <c r="F571">
        <v>-1.8205354550000002E-5</v>
      </c>
      <c r="G571">
        <v>-5.764927762E-7</v>
      </c>
      <c r="H571">
        <v>-1.311733671E-5</v>
      </c>
      <c r="I571">
        <v>-2.5018900579999999E-5</v>
      </c>
    </row>
    <row r="572" spans="1:9" hidden="1" x14ac:dyDescent="0.2">
      <c r="A572" t="s">
        <v>239</v>
      </c>
      <c r="B572" t="s">
        <v>826</v>
      </c>
      <c r="C572" t="s">
        <v>5</v>
      </c>
      <c r="D572">
        <v>0</v>
      </c>
      <c r="E572">
        <v>2.6537095049999999E-5</v>
      </c>
      <c r="F572">
        <v>1.8205354550000002E-5</v>
      </c>
      <c r="G572">
        <v>5.764927762E-7</v>
      </c>
      <c r="H572">
        <v>1.311733671E-5</v>
      </c>
      <c r="I572">
        <v>2.5018900579999999E-5</v>
      </c>
    </row>
    <row r="573" spans="1:9" hidden="1" x14ac:dyDescent="0.2">
      <c r="A573" t="s">
        <v>240</v>
      </c>
      <c r="B573" t="s">
        <v>821</v>
      </c>
      <c r="C573" t="s">
        <v>24</v>
      </c>
      <c r="D573">
        <v>-17.37865704</v>
      </c>
      <c r="E573">
        <v>-18.790764769999999</v>
      </c>
      <c r="F573">
        <v>-37.214521089999998</v>
      </c>
      <c r="G573">
        <v>-29.232025660000001</v>
      </c>
      <c r="H573">
        <v>-38.694930360000001</v>
      </c>
      <c r="I573">
        <v>-48.526198659999999</v>
      </c>
    </row>
    <row r="574" spans="1:9" hidden="1" x14ac:dyDescent="0.2">
      <c r="A574" t="s">
        <v>240</v>
      </c>
      <c r="B574" t="s">
        <v>826</v>
      </c>
      <c r="C574" t="s">
        <v>24</v>
      </c>
      <c r="D574">
        <v>17.3786573</v>
      </c>
      <c r="E574">
        <v>18.790764769999999</v>
      </c>
      <c r="F574">
        <v>37.214521089999998</v>
      </c>
      <c r="G574">
        <v>29.232025660000001</v>
      </c>
      <c r="H574">
        <v>38.694930360000001</v>
      </c>
      <c r="I574">
        <v>48.526198659999999</v>
      </c>
    </row>
    <row r="575" spans="1:9" x14ac:dyDescent="0.2">
      <c r="A575" t="s">
        <v>241</v>
      </c>
      <c r="B575" t="s">
        <v>821</v>
      </c>
      <c r="C575" t="s">
        <v>20</v>
      </c>
      <c r="D575">
        <v>-15.587855319999999</v>
      </c>
      <c r="E575">
        <v>-23.478189069999999</v>
      </c>
      <c r="F575">
        <v>-28.072641260000001</v>
      </c>
      <c r="G575">
        <v>-32.406934700000001</v>
      </c>
      <c r="H575">
        <v>-43.990240900000003</v>
      </c>
      <c r="I575">
        <v>-55.904658779999998</v>
      </c>
    </row>
    <row r="576" spans="1:9" x14ac:dyDescent="0.2">
      <c r="A576" t="s">
        <v>241</v>
      </c>
      <c r="B576" t="s">
        <v>826</v>
      </c>
      <c r="C576" t="s">
        <v>20</v>
      </c>
      <c r="D576">
        <v>15.587855319999999</v>
      </c>
      <c r="E576">
        <v>23.47820828</v>
      </c>
      <c r="F576">
        <v>28.07264451</v>
      </c>
      <c r="G576">
        <v>32.406934700000001</v>
      </c>
      <c r="H576">
        <v>43.990240909999997</v>
      </c>
      <c r="I576">
        <v>55.904664920000002</v>
      </c>
    </row>
    <row r="577" spans="1:9" hidden="1" x14ac:dyDescent="0.2">
      <c r="A577" t="s">
        <v>242</v>
      </c>
      <c r="B577" t="s">
        <v>827</v>
      </c>
      <c r="C577" t="s">
        <v>194</v>
      </c>
      <c r="D577">
        <v>-9.1591596309999995E-7</v>
      </c>
      <c r="E577">
        <v>-0.90000034559999997</v>
      </c>
      <c r="F577">
        <v>-2.1837804009999999</v>
      </c>
      <c r="G577">
        <v>-1.947335791</v>
      </c>
      <c r="H577">
        <v>-1.669991853</v>
      </c>
      <c r="I577">
        <v>-1.3752906380000001</v>
      </c>
    </row>
    <row r="578" spans="1:9" hidden="1" x14ac:dyDescent="0.2">
      <c r="A578" t="s">
        <v>242</v>
      </c>
      <c r="B578" t="s">
        <v>821</v>
      </c>
      <c r="C578" t="s">
        <v>194</v>
      </c>
      <c r="D578">
        <v>4.3218622420000001E-7</v>
      </c>
      <c r="E578">
        <v>0.40500029830000001</v>
      </c>
      <c r="F578">
        <v>0.98270120380000003</v>
      </c>
      <c r="G578">
        <v>0.87630110589999999</v>
      </c>
      <c r="H578">
        <v>0.75149633410000005</v>
      </c>
      <c r="I578">
        <v>0.61888083039999997</v>
      </c>
    </row>
    <row r="579" spans="1:9" hidden="1" x14ac:dyDescent="0.2">
      <c r="A579" t="s">
        <v>243</v>
      </c>
      <c r="B579" t="s">
        <v>828</v>
      </c>
      <c r="C579" t="s">
        <v>128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hidden="1" x14ac:dyDescent="0.2">
      <c r="A580" t="s">
        <v>243</v>
      </c>
      <c r="B580" t="s">
        <v>846</v>
      </c>
      <c r="C580" t="s">
        <v>128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hidden="1" x14ac:dyDescent="0.2">
      <c r="A581" t="s">
        <v>244</v>
      </c>
      <c r="B581" t="s">
        <v>828</v>
      </c>
      <c r="C581" t="s">
        <v>199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hidden="1" x14ac:dyDescent="0.2">
      <c r="A582" t="s">
        <v>244</v>
      </c>
      <c r="B582" t="s">
        <v>846</v>
      </c>
      <c r="C582" t="s">
        <v>199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hidden="1" x14ac:dyDescent="0.2">
      <c r="A583" t="s">
        <v>245</v>
      </c>
      <c r="B583" t="s">
        <v>828</v>
      </c>
      <c r="C583" t="s">
        <v>3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hidden="1" x14ac:dyDescent="0.2">
      <c r="A584" t="s">
        <v>245</v>
      </c>
      <c r="B584" t="s">
        <v>846</v>
      </c>
      <c r="C584" t="s">
        <v>3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hidden="1" x14ac:dyDescent="0.2">
      <c r="A585" t="s">
        <v>246</v>
      </c>
      <c r="B585" t="s">
        <v>824</v>
      </c>
      <c r="C585" t="s">
        <v>87</v>
      </c>
      <c r="D585">
        <v>1.727947212E-19</v>
      </c>
      <c r="E585">
        <v>0</v>
      </c>
      <c r="F585">
        <v>-3.1225022569999998E-17</v>
      </c>
      <c r="G585">
        <v>1.040834086E-17</v>
      </c>
      <c r="H585">
        <v>3.4694469519999998E-18</v>
      </c>
      <c r="I585">
        <v>0</v>
      </c>
    </row>
    <row r="586" spans="1:9" hidden="1" x14ac:dyDescent="0.2">
      <c r="A586" t="s">
        <v>247</v>
      </c>
      <c r="B586" t="s">
        <v>824</v>
      </c>
      <c r="C586" t="s">
        <v>87</v>
      </c>
      <c r="E586">
        <v>3.1225022569999998E-17</v>
      </c>
      <c r="F586">
        <v>5.7592819399999998E-16</v>
      </c>
      <c r="G586">
        <v>5.8980598179999998E-16</v>
      </c>
      <c r="H586">
        <v>6.2796989829999996E-16</v>
      </c>
      <c r="I586">
        <v>1.0408340859999999E-16</v>
      </c>
    </row>
    <row r="587" spans="1:9" hidden="1" x14ac:dyDescent="0.2">
      <c r="A587" t="s">
        <v>248</v>
      </c>
      <c r="B587" t="s">
        <v>824</v>
      </c>
      <c r="C587" t="s">
        <v>87</v>
      </c>
      <c r="D587">
        <v>-1.812650507E-19</v>
      </c>
      <c r="E587">
        <v>3.4694469519999998E-18</v>
      </c>
      <c r="F587">
        <v>6.9388939039999997E-18</v>
      </c>
      <c r="G587">
        <v>-3.4694469519999998E-17</v>
      </c>
      <c r="H587">
        <v>-8.6736173800000005E-17</v>
      </c>
      <c r="I587">
        <v>-1.3877787809999999E-17</v>
      </c>
    </row>
    <row r="588" spans="1:9" hidden="1" x14ac:dyDescent="0.2">
      <c r="A588" t="s">
        <v>249</v>
      </c>
      <c r="B588" t="s">
        <v>824</v>
      </c>
      <c r="C588" t="s">
        <v>87</v>
      </c>
      <c r="D588">
        <v>1.499248317E-19</v>
      </c>
      <c r="E588">
        <v>6.9388939039999997E-18</v>
      </c>
      <c r="F588">
        <v>3.4694469519999998E-18</v>
      </c>
      <c r="G588">
        <v>0</v>
      </c>
      <c r="H588">
        <v>-1.040834086E-17</v>
      </c>
      <c r="I588">
        <v>3.4694469519999998E-18</v>
      </c>
    </row>
    <row r="589" spans="1:9" hidden="1" x14ac:dyDescent="0.2">
      <c r="A589" t="s">
        <v>250</v>
      </c>
      <c r="B589" t="s">
        <v>824</v>
      </c>
      <c r="C589" t="s">
        <v>87</v>
      </c>
      <c r="D589">
        <v>5.421010862E-20</v>
      </c>
      <c r="E589">
        <v>-4.510281038E-17</v>
      </c>
      <c r="F589">
        <v>1.7798262860000002E-15</v>
      </c>
      <c r="G589">
        <v>7.3899220080000002E-16</v>
      </c>
      <c r="H589">
        <v>-1.7347234759999999E-17</v>
      </c>
      <c r="I589">
        <v>3.4694469519999998E-17</v>
      </c>
    </row>
    <row r="590" spans="1:9" hidden="1" x14ac:dyDescent="0.2">
      <c r="A590" t="s">
        <v>251</v>
      </c>
      <c r="B590" t="s">
        <v>821</v>
      </c>
      <c r="C590" t="s">
        <v>87</v>
      </c>
      <c r="E590">
        <v>-3.6592950890000002E-13</v>
      </c>
      <c r="F590">
        <v>2.4876101180000001E-11</v>
      </c>
      <c r="G590">
        <v>1.094235813E-12</v>
      </c>
      <c r="H590">
        <v>2.842170943E-14</v>
      </c>
      <c r="I590">
        <v>1.7053025659999999E-13</v>
      </c>
    </row>
    <row r="591" spans="1:9" hidden="1" x14ac:dyDescent="0.2">
      <c r="A591" t="s">
        <v>871</v>
      </c>
      <c r="B591" t="s">
        <v>821</v>
      </c>
      <c r="C591">
        <v>0</v>
      </c>
      <c r="D591">
        <v>1.181277298E-8</v>
      </c>
    </row>
    <row r="592" spans="1:9" hidden="1" x14ac:dyDescent="0.2">
      <c r="A592" t="s">
        <v>872</v>
      </c>
      <c r="B592" t="s">
        <v>821</v>
      </c>
      <c r="C592">
        <v>0</v>
      </c>
      <c r="D592">
        <v>0.3501619896</v>
      </c>
    </row>
    <row r="593" spans="1:9" hidden="1" x14ac:dyDescent="0.2">
      <c r="A593" t="s">
        <v>252</v>
      </c>
      <c r="B593" t="s">
        <v>821</v>
      </c>
      <c r="C593" t="s">
        <v>87</v>
      </c>
      <c r="E593">
        <v>0.63046897850000005</v>
      </c>
      <c r="F593">
        <v>1.316611494</v>
      </c>
      <c r="G593">
        <v>2.6717426909999999</v>
      </c>
      <c r="H593">
        <v>2.0371909260000001</v>
      </c>
      <c r="I593">
        <v>2.41323161</v>
      </c>
    </row>
    <row r="594" spans="1:9" hidden="1" x14ac:dyDescent="0.2">
      <c r="A594" t="s">
        <v>253</v>
      </c>
      <c r="B594" t="s">
        <v>821</v>
      </c>
      <c r="C594" t="s">
        <v>87</v>
      </c>
      <c r="E594">
        <v>-5.0626169920000003E-14</v>
      </c>
      <c r="F594">
        <v>2.176037128E-14</v>
      </c>
      <c r="G594">
        <v>-4.4408920990000004E-15</v>
      </c>
      <c r="H594">
        <v>0</v>
      </c>
      <c r="I594">
        <v>-1.7763568390000001E-14</v>
      </c>
    </row>
    <row r="595" spans="1:9" hidden="1" x14ac:dyDescent="0.2">
      <c r="A595" t="s">
        <v>254</v>
      </c>
      <c r="B595" t="s">
        <v>821</v>
      </c>
      <c r="C595" t="s">
        <v>87</v>
      </c>
      <c r="E595">
        <v>-4.59188243E-13</v>
      </c>
      <c r="F595">
        <v>-2.5259794260000001E-12</v>
      </c>
      <c r="G595">
        <v>-2.131628207E-13</v>
      </c>
      <c r="H595">
        <v>4.2632564149999998E-14</v>
      </c>
      <c r="I595">
        <v>-3.268496584E-13</v>
      </c>
    </row>
    <row r="596" spans="1:9" hidden="1" x14ac:dyDescent="0.2">
      <c r="A596" t="s">
        <v>873</v>
      </c>
      <c r="B596" t="s">
        <v>821</v>
      </c>
      <c r="C596">
        <v>0</v>
      </c>
      <c r="D596">
        <v>3.2538771680000003E-8</v>
      </c>
    </row>
    <row r="597" spans="1:9" hidden="1" x14ac:dyDescent="0.2">
      <c r="A597" t="s">
        <v>255</v>
      </c>
      <c r="B597" t="s">
        <v>821</v>
      </c>
      <c r="C597" t="s">
        <v>87</v>
      </c>
      <c r="E597">
        <v>1.8349766149999999E-12</v>
      </c>
      <c r="F597">
        <v>-5.0448534239999998E-13</v>
      </c>
      <c r="G597">
        <v>1.6697754290000001E-13</v>
      </c>
      <c r="H597">
        <v>2.4868995750000002E-14</v>
      </c>
      <c r="I597">
        <v>-2.5934809860000001E-13</v>
      </c>
    </row>
    <row r="598" spans="1:9" hidden="1" x14ac:dyDescent="0.2">
      <c r="A598" t="s">
        <v>874</v>
      </c>
      <c r="B598" t="s">
        <v>821</v>
      </c>
      <c r="C598">
        <v>0</v>
      </c>
      <c r="D598">
        <v>2.0111950300000002E-17</v>
      </c>
    </row>
    <row r="599" spans="1:9" hidden="1" x14ac:dyDescent="0.2">
      <c r="A599" t="s">
        <v>256</v>
      </c>
      <c r="B599" t="s">
        <v>821</v>
      </c>
      <c r="C599" t="s">
        <v>87</v>
      </c>
      <c r="E599">
        <v>2.4957813590000002E-13</v>
      </c>
      <c r="F599">
        <v>-5.0448534239999998E-13</v>
      </c>
      <c r="G599">
        <v>-1.2079226509999999E-13</v>
      </c>
      <c r="H599">
        <v>7.1054273579999998E-15</v>
      </c>
      <c r="I599">
        <v>8.7752027870000002E-13</v>
      </c>
    </row>
    <row r="600" spans="1:9" hidden="1" x14ac:dyDescent="0.2">
      <c r="A600" t="s">
        <v>875</v>
      </c>
      <c r="B600" t="s">
        <v>821</v>
      </c>
      <c r="C600">
        <v>0</v>
      </c>
      <c r="D600">
        <v>4.743384505E-20</v>
      </c>
    </row>
    <row r="601" spans="1:9" hidden="1" x14ac:dyDescent="0.2">
      <c r="A601" t="s">
        <v>876</v>
      </c>
      <c r="B601" t="s">
        <v>821</v>
      </c>
      <c r="C601">
        <v>0</v>
      </c>
      <c r="D601">
        <v>-4.1002713010000001E-7</v>
      </c>
    </row>
    <row r="602" spans="1:9" hidden="1" x14ac:dyDescent="0.2">
      <c r="A602" t="s">
        <v>876</v>
      </c>
      <c r="B602" t="s">
        <v>824</v>
      </c>
      <c r="C602">
        <v>0</v>
      </c>
      <c r="D602">
        <v>7.2797756569999998E-7</v>
      </c>
    </row>
    <row r="603" spans="1:9" x14ac:dyDescent="0.2">
      <c r="A603" t="s">
        <v>257</v>
      </c>
      <c r="B603" t="s">
        <v>821</v>
      </c>
      <c r="C603" t="s">
        <v>20</v>
      </c>
      <c r="E603">
        <v>-3.9924442709999999E-5</v>
      </c>
      <c r="F603">
        <v>-3.6515239649999998E-5</v>
      </c>
      <c r="G603">
        <v>-2.221779026E-7</v>
      </c>
      <c r="H603">
        <v>0</v>
      </c>
      <c r="I603">
        <v>0</v>
      </c>
    </row>
    <row r="604" spans="1:9" x14ac:dyDescent="0.2">
      <c r="A604" t="s">
        <v>257</v>
      </c>
      <c r="B604" t="s">
        <v>824</v>
      </c>
      <c r="C604" t="s">
        <v>20</v>
      </c>
      <c r="E604">
        <v>8.9397182510000004E-5</v>
      </c>
      <c r="F604">
        <v>6.8509648120000001E-5</v>
      </c>
      <c r="G604">
        <v>3.9094113920000002E-7</v>
      </c>
      <c r="H604">
        <v>0</v>
      </c>
      <c r="I604">
        <v>0</v>
      </c>
    </row>
    <row r="605" spans="1:9" hidden="1" x14ac:dyDescent="0.2">
      <c r="A605" t="s">
        <v>258</v>
      </c>
      <c r="B605" t="s">
        <v>853</v>
      </c>
      <c r="C605" t="s">
        <v>87</v>
      </c>
      <c r="D605">
        <v>0</v>
      </c>
      <c r="E605">
        <v>8.7084144409999995E-7</v>
      </c>
      <c r="F605">
        <v>2.2525053409999998E-6</v>
      </c>
      <c r="G605">
        <v>0</v>
      </c>
      <c r="H605">
        <v>0</v>
      </c>
      <c r="I605">
        <v>0</v>
      </c>
    </row>
    <row r="606" spans="1:9" hidden="1" x14ac:dyDescent="0.2">
      <c r="A606" t="s">
        <v>258</v>
      </c>
      <c r="B606" t="s">
        <v>819</v>
      </c>
      <c r="C606" t="s">
        <v>87</v>
      </c>
      <c r="D606">
        <v>4.85427541E-7</v>
      </c>
      <c r="E606">
        <v>7.3181766950000004E-6</v>
      </c>
      <c r="F606">
        <v>2.367758314E-5</v>
      </c>
      <c r="G606">
        <v>0</v>
      </c>
      <c r="H606">
        <v>0</v>
      </c>
      <c r="I606">
        <v>0</v>
      </c>
    </row>
    <row r="607" spans="1:9" hidden="1" x14ac:dyDescent="0.2">
      <c r="A607" t="s">
        <v>258</v>
      </c>
      <c r="B607" t="s">
        <v>854</v>
      </c>
      <c r="C607" t="s">
        <v>87</v>
      </c>
      <c r="D607">
        <v>0</v>
      </c>
      <c r="E607">
        <v>9.4601750879999997E-7</v>
      </c>
      <c r="F607">
        <v>2.1859445550000001E-6</v>
      </c>
      <c r="G607">
        <v>0</v>
      </c>
      <c r="H607">
        <v>0</v>
      </c>
      <c r="I607">
        <v>0</v>
      </c>
    </row>
    <row r="608" spans="1:9" hidden="1" x14ac:dyDescent="0.2">
      <c r="A608" t="s">
        <v>258</v>
      </c>
      <c r="B608" t="s">
        <v>855</v>
      </c>
      <c r="C608" t="s">
        <v>87</v>
      </c>
      <c r="D608">
        <v>0</v>
      </c>
      <c r="E608">
        <v>8.4483140270000002E-7</v>
      </c>
      <c r="F608">
        <v>1.9943326899999999E-6</v>
      </c>
      <c r="G608">
        <v>0</v>
      </c>
      <c r="H608">
        <v>0</v>
      </c>
      <c r="I608">
        <v>0</v>
      </c>
    </row>
    <row r="609" spans="1:9" hidden="1" x14ac:dyDescent="0.2">
      <c r="A609" t="s">
        <v>259</v>
      </c>
      <c r="B609" t="s">
        <v>827</v>
      </c>
      <c r="C609" t="s">
        <v>113</v>
      </c>
      <c r="E609">
        <v>-6.7969858579999996E-6</v>
      </c>
      <c r="F609">
        <v>-2.5931088839999998E-6</v>
      </c>
      <c r="G609">
        <v>0</v>
      </c>
      <c r="H609">
        <v>-9.4090899979999996E-7</v>
      </c>
      <c r="I609">
        <v>-3.737259246E-6</v>
      </c>
    </row>
    <row r="610" spans="1:9" hidden="1" x14ac:dyDescent="0.2">
      <c r="A610" t="s">
        <v>259</v>
      </c>
      <c r="B610" t="s">
        <v>821</v>
      </c>
      <c r="C610" t="s">
        <v>113</v>
      </c>
      <c r="E610">
        <v>1.582557667E-7</v>
      </c>
      <c r="F610">
        <v>2.4270831170000001E-6</v>
      </c>
      <c r="G610">
        <v>1.020230244E-7</v>
      </c>
      <c r="H610">
        <v>2.6012620250000002E-6</v>
      </c>
      <c r="I610">
        <v>1.669086297E-6</v>
      </c>
    </row>
    <row r="611" spans="1:9" hidden="1" x14ac:dyDescent="0.2">
      <c r="A611" t="s">
        <v>259</v>
      </c>
      <c r="B611" t="s">
        <v>825</v>
      </c>
      <c r="C611" t="s">
        <v>113</v>
      </c>
      <c r="E611">
        <v>2.2307233829999999E-6</v>
      </c>
      <c r="F611">
        <v>1.2435075090000001E-5</v>
      </c>
      <c r="G611">
        <v>2.5350266150000001E-7</v>
      </c>
      <c r="H611">
        <v>6.6911667080000003E-6</v>
      </c>
      <c r="I611">
        <v>1.541451234E-5</v>
      </c>
    </row>
    <row r="612" spans="1:9" hidden="1" x14ac:dyDescent="0.2">
      <c r="A612" t="s">
        <v>260</v>
      </c>
      <c r="B612" t="s">
        <v>877</v>
      </c>
      <c r="C612" t="s">
        <v>113</v>
      </c>
      <c r="D612">
        <v>0</v>
      </c>
      <c r="E612">
        <v>4.236303768</v>
      </c>
      <c r="F612">
        <v>10.50000414</v>
      </c>
      <c r="G612">
        <v>6.9763290480000002</v>
      </c>
      <c r="H612">
        <v>6.452927656</v>
      </c>
      <c r="I612">
        <v>5.0109838240000002</v>
      </c>
    </row>
    <row r="613" spans="1:9" hidden="1" x14ac:dyDescent="0.2">
      <c r="A613" t="s">
        <v>261</v>
      </c>
      <c r="B613" t="s">
        <v>828</v>
      </c>
      <c r="C613" t="s">
        <v>199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hidden="1" x14ac:dyDescent="0.2">
      <c r="A614" t="s">
        <v>261</v>
      </c>
      <c r="B614" t="s">
        <v>817</v>
      </c>
      <c r="C614" t="s">
        <v>199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hidden="1" x14ac:dyDescent="0.2">
      <c r="A615" t="s">
        <v>262</v>
      </c>
      <c r="B615" t="s">
        <v>828</v>
      </c>
      <c r="C615" t="s">
        <v>3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hidden="1" x14ac:dyDescent="0.2">
      <c r="A616" t="s">
        <v>262</v>
      </c>
      <c r="B616" t="s">
        <v>817</v>
      </c>
      <c r="C616" t="s">
        <v>3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hidden="1" x14ac:dyDescent="0.2">
      <c r="A617" t="s">
        <v>263</v>
      </c>
      <c r="B617" t="s">
        <v>828</v>
      </c>
      <c r="C617" t="s">
        <v>7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hidden="1" x14ac:dyDescent="0.2">
      <c r="A618" t="s">
        <v>263</v>
      </c>
      <c r="B618" t="s">
        <v>817</v>
      </c>
      <c r="C618" t="s">
        <v>7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hidden="1" x14ac:dyDescent="0.2">
      <c r="A619" t="s">
        <v>264</v>
      </c>
      <c r="B619" t="s">
        <v>827</v>
      </c>
      <c r="C619" t="s">
        <v>11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hidden="1" x14ac:dyDescent="0.2">
      <c r="A620" t="s">
        <v>264</v>
      </c>
      <c r="B620" t="s">
        <v>821</v>
      </c>
      <c r="C620" t="s">
        <v>11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hidden="1" x14ac:dyDescent="0.2">
      <c r="A621" t="s">
        <v>264</v>
      </c>
      <c r="B621" t="s">
        <v>849</v>
      </c>
      <c r="C621" t="s">
        <v>11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hidden="1" x14ac:dyDescent="0.2">
      <c r="A622" t="s">
        <v>264</v>
      </c>
      <c r="B622" t="s">
        <v>824</v>
      </c>
      <c r="C622" t="s">
        <v>11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hidden="1" x14ac:dyDescent="0.2">
      <c r="A623" t="s">
        <v>265</v>
      </c>
      <c r="B623" t="s">
        <v>920</v>
      </c>
      <c r="C623" t="s">
        <v>2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hidden="1" x14ac:dyDescent="0.2">
      <c r="A624" t="s">
        <v>265</v>
      </c>
      <c r="B624" t="s">
        <v>827</v>
      </c>
      <c r="C624" t="s">
        <v>2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hidden="1" x14ac:dyDescent="0.2">
      <c r="A625" t="s">
        <v>265</v>
      </c>
      <c r="B625" t="s">
        <v>821</v>
      </c>
      <c r="C625" t="s">
        <v>2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hidden="1" x14ac:dyDescent="0.2">
      <c r="A626" t="s">
        <v>265</v>
      </c>
      <c r="B626" t="s">
        <v>825</v>
      </c>
      <c r="C626" t="s">
        <v>2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hidden="1" x14ac:dyDescent="0.2">
      <c r="A627" t="s">
        <v>266</v>
      </c>
      <c r="B627" t="s">
        <v>820</v>
      </c>
      <c r="C627" t="s">
        <v>2</v>
      </c>
      <c r="D627">
        <v>2.911388222E-6</v>
      </c>
      <c r="E627">
        <v>4.9489317730000001E-6</v>
      </c>
      <c r="F627">
        <v>2.30644046E-5</v>
      </c>
      <c r="G627">
        <v>9.5678445720000009E-7</v>
      </c>
      <c r="H627">
        <v>1.977106087E-5</v>
      </c>
      <c r="I627">
        <v>1.7962778730000001E-5</v>
      </c>
    </row>
    <row r="628" spans="1:9" hidden="1" x14ac:dyDescent="0.2">
      <c r="A628" t="s">
        <v>266</v>
      </c>
      <c r="B628" t="s">
        <v>827</v>
      </c>
      <c r="C628" t="s">
        <v>2</v>
      </c>
      <c r="D628">
        <v>-7.7142288130000004E-7</v>
      </c>
      <c r="E628">
        <v>-1.0477981329999999E-5</v>
      </c>
      <c r="F628">
        <v>-3.6061279200000001E-6</v>
      </c>
      <c r="G628">
        <v>0</v>
      </c>
      <c r="H628">
        <v>-1.6548611570000001E-6</v>
      </c>
      <c r="I628">
        <v>-1.7063127260000001E-6</v>
      </c>
    </row>
    <row r="629" spans="1:9" hidden="1" x14ac:dyDescent="0.2">
      <c r="A629" t="s">
        <v>266</v>
      </c>
      <c r="B629" t="s">
        <v>821</v>
      </c>
      <c r="C629" t="s">
        <v>2</v>
      </c>
      <c r="D629">
        <v>-5.3573894189999996E-7</v>
      </c>
      <c r="E629">
        <v>-1.059349187E-6</v>
      </c>
      <c r="F629">
        <v>-4.191358376E-6</v>
      </c>
      <c r="G629">
        <v>-1.727406913E-7</v>
      </c>
      <c r="H629">
        <v>-3.569551122E-6</v>
      </c>
      <c r="I629">
        <v>-3.3075147410000001E-6</v>
      </c>
    </row>
    <row r="630" spans="1:9" hidden="1" x14ac:dyDescent="0.2">
      <c r="A630" t="s">
        <v>266</v>
      </c>
      <c r="B630" t="s">
        <v>832</v>
      </c>
      <c r="C630" t="s">
        <v>2</v>
      </c>
      <c r="D630">
        <v>-1.640634163E-6</v>
      </c>
      <c r="E630">
        <v>-2.913653948E-6</v>
      </c>
      <c r="F630">
        <v>-1.2506507249999999E-5</v>
      </c>
      <c r="G630">
        <v>-5.1718208179999997E-7</v>
      </c>
      <c r="H630">
        <v>-1.0687100920000001E-5</v>
      </c>
      <c r="I630">
        <v>-9.7457771550000002E-6</v>
      </c>
    </row>
    <row r="631" spans="1:9" hidden="1" x14ac:dyDescent="0.2">
      <c r="A631" t="s">
        <v>267</v>
      </c>
      <c r="B631" t="s">
        <v>828</v>
      </c>
      <c r="C631" t="s">
        <v>2</v>
      </c>
      <c r="D631">
        <v>5.9811517570000002E-5</v>
      </c>
      <c r="E631">
        <v>1.6734028670000001E-4</v>
      </c>
      <c r="F631">
        <v>3.9512671849999999E-4</v>
      </c>
      <c r="G631">
        <v>3.840758963E-6</v>
      </c>
      <c r="H631">
        <v>4.4891801850000001E-5</v>
      </c>
      <c r="I631">
        <v>1.031327197E-4</v>
      </c>
    </row>
    <row r="632" spans="1:9" hidden="1" x14ac:dyDescent="0.2">
      <c r="A632" t="s">
        <v>267</v>
      </c>
      <c r="B632" t="s">
        <v>827</v>
      </c>
      <c r="C632" t="s">
        <v>2</v>
      </c>
      <c r="D632">
        <v>-2.8622984949999998E-6</v>
      </c>
      <c r="E632">
        <v>-8.3597366339999995E-6</v>
      </c>
      <c r="F632">
        <v>-1.864199376E-5</v>
      </c>
      <c r="G632">
        <v>-1.8040214910000001E-7</v>
      </c>
      <c r="H632">
        <v>-2.1086975280000002E-6</v>
      </c>
      <c r="I632">
        <v>-4.997477336E-6</v>
      </c>
    </row>
    <row r="633" spans="1:9" hidden="1" x14ac:dyDescent="0.2">
      <c r="A633" t="s">
        <v>267</v>
      </c>
      <c r="B633" t="s">
        <v>821</v>
      </c>
      <c r="C633" t="s">
        <v>2</v>
      </c>
      <c r="D633">
        <v>-8.6135226369999996E-6</v>
      </c>
      <c r="E633">
        <v>-3.6933482169999999E-5</v>
      </c>
      <c r="F633">
        <v>-6.3358692230000005E-5</v>
      </c>
      <c r="G633">
        <v>-6.8660934980000001E-7</v>
      </c>
      <c r="H633">
        <v>-7.5711073670000004E-6</v>
      </c>
      <c r="I633">
        <v>-1.9701067710000001E-5</v>
      </c>
    </row>
    <row r="634" spans="1:9" hidden="1" x14ac:dyDescent="0.2">
      <c r="A634" t="s">
        <v>267</v>
      </c>
      <c r="B634" t="s">
        <v>832</v>
      </c>
      <c r="C634" t="s">
        <v>2</v>
      </c>
      <c r="D634">
        <v>-3.8307373459999997E-5</v>
      </c>
      <c r="E634">
        <v>-9.4533363560000001E-5</v>
      </c>
      <c r="F634">
        <v>-2.4636946820000001E-4</v>
      </c>
      <c r="G634">
        <v>-2.3235464269999998E-6</v>
      </c>
      <c r="H634">
        <v>-2.761245425E-5</v>
      </c>
      <c r="I634">
        <v>-6.1223800259999997E-5</v>
      </c>
    </row>
    <row r="635" spans="1:9" hidden="1" x14ac:dyDescent="0.2">
      <c r="A635" t="s">
        <v>268</v>
      </c>
      <c r="B635" t="s">
        <v>820</v>
      </c>
      <c r="C635" t="s">
        <v>2</v>
      </c>
      <c r="D635">
        <v>1.35479528E-6</v>
      </c>
      <c r="E635">
        <v>1.0971957719999999E-5</v>
      </c>
      <c r="F635">
        <v>3.0740708739999999E-4</v>
      </c>
      <c r="G635">
        <v>2.051225302E-6</v>
      </c>
      <c r="H635">
        <v>3.9388702109999998E-5</v>
      </c>
      <c r="I635">
        <v>1.929821666E-5</v>
      </c>
    </row>
    <row r="636" spans="1:9" hidden="1" x14ac:dyDescent="0.2">
      <c r="A636" t="s">
        <v>268</v>
      </c>
      <c r="B636" t="s">
        <v>827</v>
      </c>
      <c r="C636" t="s">
        <v>2</v>
      </c>
      <c r="D636">
        <v>-1.0489147149999999E-6</v>
      </c>
      <c r="E636">
        <v>-9.7466173389999995E-6</v>
      </c>
      <c r="F636">
        <v>-2.6400020609999999E-5</v>
      </c>
      <c r="G636">
        <v>-1.663271519E-7</v>
      </c>
      <c r="H636">
        <v>-3.1940455309999999E-6</v>
      </c>
      <c r="I636">
        <v>-1.884515722E-6</v>
      </c>
    </row>
    <row r="637" spans="1:9" hidden="1" x14ac:dyDescent="0.2">
      <c r="A637" t="s">
        <v>268</v>
      </c>
      <c r="B637" t="s">
        <v>821</v>
      </c>
      <c r="C637" t="s">
        <v>2</v>
      </c>
      <c r="D637">
        <v>0</v>
      </c>
      <c r="E637">
        <v>7.7880624450000001E-7</v>
      </c>
      <c r="F637">
        <v>1.530778876E-5</v>
      </c>
      <c r="G637">
        <v>1.018892699E-7</v>
      </c>
      <c r="H637">
        <v>1.9565592459999998E-6</v>
      </c>
      <c r="I637">
        <v>1.02164405E-6</v>
      </c>
    </row>
    <row r="638" spans="1:9" hidden="1" x14ac:dyDescent="0.2">
      <c r="A638" t="s">
        <v>268</v>
      </c>
      <c r="B638" t="s">
        <v>833</v>
      </c>
      <c r="C638" t="s">
        <v>2</v>
      </c>
      <c r="D638">
        <v>-1.0288769350000001E-6</v>
      </c>
      <c r="E638">
        <v>-8.1545259329999995E-6</v>
      </c>
      <c r="F638">
        <v>-2.2457167199999999E-4</v>
      </c>
      <c r="G638">
        <v>-1.498335827E-6</v>
      </c>
      <c r="H638">
        <v>-2.877179658E-5</v>
      </c>
      <c r="I638">
        <v>-1.402401496E-5</v>
      </c>
    </row>
    <row r="639" spans="1:9" hidden="1" x14ac:dyDescent="0.2">
      <c r="A639" t="s">
        <v>269</v>
      </c>
      <c r="B639" t="s">
        <v>827</v>
      </c>
      <c r="C639" t="s">
        <v>2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hidden="1" x14ac:dyDescent="0.2">
      <c r="A640" t="s">
        <v>269</v>
      </c>
      <c r="B640" t="s">
        <v>821</v>
      </c>
      <c r="C640" t="s">
        <v>2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hidden="1" x14ac:dyDescent="0.2">
      <c r="A641" t="s">
        <v>269</v>
      </c>
      <c r="B641" t="s">
        <v>833</v>
      </c>
      <c r="C641" t="s">
        <v>2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hidden="1" x14ac:dyDescent="0.2">
      <c r="A642" t="s">
        <v>269</v>
      </c>
      <c r="B642" t="s">
        <v>844</v>
      </c>
      <c r="C642" t="s">
        <v>2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hidden="1" x14ac:dyDescent="0.2">
      <c r="A643" t="s">
        <v>270</v>
      </c>
      <c r="B643" t="s">
        <v>828</v>
      </c>
      <c r="C643" t="s">
        <v>2</v>
      </c>
      <c r="D643">
        <v>4.6523367689999997E-5</v>
      </c>
      <c r="E643">
        <v>1.122427684E-4</v>
      </c>
      <c r="F643">
        <v>2.6832898639999998</v>
      </c>
      <c r="G643">
        <v>4.2443821859999999E-6</v>
      </c>
      <c r="H643">
        <v>3.4401957310000001E-5</v>
      </c>
      <c r="I643">
        <v>1.02844213E-4</v>
      </c>
    </row>
    <row r="644" spans="1:9" hidden="1" x14ac:dyDescent="0.2">
      <c r="A644" t="s">
        <v>270</v>
      </c>
      <c r="B644" t="s">
        <v>827</v>
      </c>
      <c r="C644" t="s">
        <v>2</v>
      </c>
      <c r="D644">
        <v>-2.3455645429999999E-6</v>
      </c>
      <c r="E644">
        <v>-6.0488204120000004E-6</v>
      </c>
      <c r="F644">
        <v>-0.1320791221</v>
      </c>
      <c r="G644">
        <v>-2.0892612049999999E-7</v>
      </c>
      <c r="H644">
        <v>-1.6935428280000001E-6</v>
      </c>
      <c r="I644">
        <v>-5.223077684E-6</v>
      </c>
    </row>
    <row r="645" spans="1:9" hidden="1" x14ac:dyDescent="0.2">
      <c r="A645" t="s">
        <v>270</v>
      </c>
      <c r="B645" t="s">
        <v>821</v>
      </c>
      <c r="C645" t="s">
        <v>2</v>
      </c>
      <c r="D645">
        <v>1.8958782930000001E-6</v>
      </c>
      <c r="E645">
        <v>4.8046899500000001E-6</v>
      </c>
      <c r="F645">
        <v>0.1089073153</v>
      </c>
      <c r="G645">
        <v>1.7227037309999999E-7</v>
      </c>
      <c r="H645">
        <v>1.396365377E-6</v>
      </c>
      <c r="I645">
        <v>4.2496822209999999E-6</v>
      </c>
    </row>
    <row r="646" spans="1:9" hidden="1" x14ac:dyDescent="0.2">
      <c r="A646" t="s">
        <v>270</v>
      </c>
      <c r="B646" t="s">
        <v>833</v>
      </c>
      <c r="C646" t="s">
        <v>2</v>
      </c>
      <c r="D646">
        <v>-4.0180587259999999E-5</v>
      </c>
      <c r="E646">
        <v>-9.6963545720000005E-5</v>
      </c>
      <c r="F646">
        <v>-2.317176055</v>
      </c>
      <c r="G646">
        <v>-3.6652699749999999E-6</v>
      </c>
      <c r="H646">
        <v>-2.970809275E-5</v>
      </c>
      <c r="I646">
        <v>-8.8822668539999996E-5</v>
      </c>
    </row>
    <row r="647" spans="1:9" hidden="1" x14ac:dyDescent="0.2">
      <c r="A647" t="s">
        <v>271</v>
      </c>
      <c r="B647" t="s">
        <v>820</v>
      </c>
      <c r="C647" t="s">
        <v>2</v>
      </c>
      <c r="D647">
        <v>8.9649149199999996E-7</v>
      </c>
      <c r="E647">
        <v>5.8833251580000001E-6</v>
      </c>
      <c r="F647">
        <v>1.2996473020000001E-4</v>
      </c>
      <c r="G647">
        <v>2.026615025E-6</v>
      </c>
      <c r="H647">
        <v>3.4994716840000002E-5</v>
      </c>
      <c r="I647">
        <v>1.7115728080000001E-5</v>
      </c>
    </row>
    <row r="648" spans="1:9" hidden="1" x14ac:dyDescent="0.2">
      <c r="A648" t="s">
        <v>271</v>
      </c>
      <c r="B648" t="s">
        <v>827</v>
      </c>
      <c r="C648" t="s">
        <v>2</v>
      </c>
      <c r="D648">
        <v>-1.012604857E-6</v>
      </c>
      <c r="E648">
        <v>-9.3422054220000005E-6</v>
      </c>
      <c r="F648">
        <v>-1.199665696E-5</v>
      </c>
      <c r="G648">
        <v>-1.6405665759999999E-7</v>
      </c>
      <c r="H648">
        <v>-2.8330269280000001E-6</v>
      </c>
      <c r="I648">
        <v>-1.705622412E-6</v>
      </c>
    </row>
    <row r="649" spans="1:9" hidden="1" x14ac:dyDescent="0.2">
      <c r="A649" t="s">
        <v>271</v>
      </c>
      <c r="B649" t="s">
        <v>821</v>
      </c>
      <c r="C649" t="s">
        <v>2</v>
      </c>
      <c r="D649">
        <v>0</v>
      </c>
      <c r="E649">
        <v>5.2533525080000001E-7</v>
      </c>
      <c r="F649">
        <v>6.4767572249999997E-6</v>
      </c>
      <c r="G649">
        <v>1.003978332E-7</v>
      </c>
      <c r="H649">
        <v>1.733659149E-6</v>
      </c>
      <c r="I649">
        <v>9.1100686640000005E-7</v>
      </c>
    </row>
    <row r="650" spans="1:9" hidden="1" x14ac:dyDescent="0.2">
      <c r="A650" t="s">
        <v>271</v>
      </c>
      <c r="B650" t="s">
        <v>832</v>
      </c>
      <c r="C650" t="s">
        <v>2</v>
      </c>
      <c r="D650">
        <v>-7.0018042490000005E-7</v>
      </c>
      <c r="E650">
        <v>-4.4808901789999998E-6</v>
      </c>
      <c r="F650">
        <v>-9.6008109319999999E-5</v>
      </c>
      <c r="G650">
        <v>-1.496758778E-6</v>
      </c>
      <c r="H650">
        <v>-2.5845348290000001E-5</v>
      </c>
      <c r="I650">
        <v>-1.2565750659999999E-5</v>
      </c>
    </row>
    <row r="651" spans="1:9" hidden="1" x14ac:dyDescent="0.2">
      <c r="A651" t="s">
        <v>272</v>
      </c>
      <c r="B651" t="s">
        <v>827</v>
      </c>
      <c r="C651" t="s">
        <v>2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hidden="1" x14ac:dyDescent="0.2">
      <c r="A652" t="s">
        <v>272</v>
      </c>
      <c r="B652" t="s">
        <v>821</v>
      </c>
      <c r="C652" t="s">
        <v>2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hidden="1" x14ac:dyDescent="0.2">
      <c r="A653" t="s">
        <v>272</v>
      </c>
      <c r="B653" t="s">
        <v>832</v>
      </c>
      <c r="C653" t="s">
        <v>2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hidden="1" x14ac:dyDescent="0.2">
      <c r="A654" t="s">
        <v>272</v>
      </c>
      <c r="B654" t="s">
        <v>844</v>
      </c>
      <c r="C654" t="s">
        <v>2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hidden="1" x14ac:dyDescent="0.2">
      <c r="A655" t="s">
        <v>273</v>
      </c>
      <c r="B655" t="s">
        <v>828</v>
      </c>
      <c r="C655" t="s">
        <v>2</v>
      </c>
      <c r="D655">
        <v>2.8840252989999998E-3</v>
      </c>
      <c r="E655">
        <v>9.0421122160000005E-5</v>
      </c>
      <c r="F655">
        <v>0.56304115020000001</v>
      </c>
      <c r="G655">
        <v>9.5884828970000007E-6</v>
      </c>
      <c r="H655">
        <v>3.0719538729999998E-5</v>
      </c>
      <c r="I655">
        <v>1.022914988E-4</v>
      </c>
    </row>
    <row r="656" spans="1:9" hidden="1" x14ac:dyDescent="0.2">
      <c r="A656" t="s">
        <v>273</v>
      </c>
      <c r="B656" t="s">
        <v>827</v>
      </c>
      <c r="C656" t="s">
        <v>2</v>
      </c>
      <c r="D656">
        <v>-1.409741132E-4</v>
      </c>
      <c r="E656">
        <v>-4.9382241799999996E-6</v>
      </c>
      <c r="F656">
        <v>-2.751134907E-2</v>
      </c>
      <c r="G656">
        <v>-4.6851723909999997E-7</v>
      </c>
      <c r="H656">
        <v>-1.5011960410000001E-6</v>
      </c>
      <c r="I656">
        <v>-5.1577761829999997E-6</v>
      </c>
    </row>
    <row r="657" spans="1:9" hidden="1" x14ac:dyDescent="0.2">
      <c r="A657" t="s">
        <v>273</v>
      </c>
      <c r="B657" t="s">
        <v>821</v>
      </c>
      <c r="C657" t="s">
        <v>2</v>
      </c>
      <c r="D657">
        <v>1.166885314E-4</v>
      </c>
      <c r="E657">
        <v>3.9073283500000004E-6</v>
      </c>
      <c r="F657">
        <v>2.2779365980000001E-2</v>
      </c>
      <c r="G657">
        <v>3.8793024210000001E-7</v>
      </c>
      <c r="H657">
        <v>1.2429261220000001E-6</v>
      </c>
      <c r="I657">
        <v>4.2140060239999996E-6</v>
      </c>
    </row>
    <row r="658" spans="1:9" hidden="1" x14ac:dyDescent="0.2">
      <c r="A658" t="s">
        <v>273</v>
      </c>
      <c r="B658" t="s">
        <v>832</v>
      </c>
      <c r="C658" t="s">
        <v>2</v>
      </c>
      <c r="D658">
        <v>-2.5727294420000001E-3</v>
      </c>
      <c r="E658">
        <v>-8.068914748E-5</v>
      </c>
      <c r="F658">
        <v>-0.50226686470000004</v>
      </c>
      <c r="G658">
        <v>-8.5535086860000007E-6</v>
      </c>
      <c r="H658">
        <v>-2.7403701629999998E-5</v>
      </c>
      <c r="I658">
        <v>-9.1258718519999994E-5</v>
      </c>
    </row>
    <row r="659" spans="1:9" hidden="1" x14ac:dyDescent="0.2">
      <c r="A659" t="s">
        <v>274</v>
      </c>
      <c r="B659" t="s">
        <v>820</v>
      </c>
      <c r="C659" t="s">
        <v>2</v>
      </c>
      <c r="D659">
        <v>8.9649149199999996E-7</v>
      </c>
      <c r="E659">
        <v>5.8833251580000001E-6</v>
      </c>
      <c r="F659">
        <v>1.2996473020000001E-4</v>
      </c>
      <c r="G659">
        <v>2.026615025E-6</v>
      </c>
      <c r="H659">
        <v>3.4994716840000002E-5</v>
      </c>
      <c r="I659">
        <v>1.7115728080000001E-5</v>
      </c>
    </row>
    <row r="660" spans="1:9" hidden="1" x14ac:dyDescent="0.2">
      <c r="A660" t="s">
        <v>274</v>
      </c>
      <c r="B660" t="s">
        <v>827</v>
      </c>
      <c r="C660" t="s">
        <v>2</v>
      </c>
      <c r="D660">
        <v>-1.012604857E-6</v>
      </c>
      <c r="E660">
        <v>-9.3422054220000005E-6</v>
      </c>
      <c r="F660">
        <v>-1.199665696E-5</v>
      </c>
      <c r="G660">
        <v>-1.6405665759999999E-7</v>
      </c>
      <c r="H660">
        <v>-2.8330269280000001E-6</v>
      </c>
      <c r="I660">
        <v>-1.705622412E-6</v>
      </c>
    </row>
    <row r="661" spans="1:9" hidden="1" x14ac:dyDescent="0.2">
      <c r="A661" t="s">
        <v>274</v>
      </c>
      <c r="B661" t="s">
        <v>821</v>
      </c>
      <c r="C661" t="s">
        <v>2</v>
      </c>
      <c r="D661">
        <v>0</v>
      </c>
      <c r="E661">
        <v>5.2533525080000001E-7</v>
      </c>
      <c r="F661">
        <v>6.4767572249999997E-6</v>
      </c>
      <c r="G661">
        <v>1.003978332E-7</v>
      </c>
      <c r="H661">
        <v>1.733659149E-6</v>
      </c>
      <c r="I661">
        <v>9.1100686640000005E-7</v>
      </c>
    </row>
    <row r="662" spans="1:9" hidden="1" x14ac:dyDescent="0.2">
      <c r="A662" t="s">
        <v>274</v>
      </c>
      <c r="B662" t="s">
        <v>832</v>
      </c>
      <c r="C662" t="s">
        <v>2</v>
      </c>
      <c r="D662">
        <v>-7.0018042490000005E-7</v>
      </c>
      <c r="E662">
        <v>-4.4808901789999998E-6</v>
      </c>
      <c r="F662">
        <v>-9.6008109319999999E-5</v>
      </c>
      <c r="G662">
        <v>-1.496758778E-6</v>
      </c>
      <c r="H662">
        <v>-2.5845348290000001E-5</v>
      </c>
      <c r="I662">
        <v>-1.2565750659999999E-5</v>
      </c>
    </row>
    <row r="663" spans="1:9" hidden="1" x14ac:dyDescent="0.2">
      <c r="A663" t="s">
        <v>275</v>
      </c>
      <c r="B663" t="s">
        <v>834</v>
      </c>
      <c r="C663" t="s">
        <v>2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hidden="1" x14ac:dyDescent="0.2">
      <c r="A664" t="s">
        <v>275</v>
      </c>
      <c r="B664" t="s">
        <v>844</v>
      </c>
      <c r="C664" t="s">
        <v>2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hidden="1" x14ac:dyDescent="0.2">
      <c r="A665" t="s">
        <v>276</v>
      </c>
      <c r="B665" t="s">
        <v>828</v>
      </c>
      <c r="C665" t="s">
        <v>2</v>
      </c>
      <c r="D665">
        <v>1.176646694</v>
      </c>
      <c r="E665">
        <v>8.3396119399999996E-2</v>
      </c>
      <c r="F665">
        <v>1.8085249130000002E-2</v>
      </c>
      <c r="G665">
        <v>3.876740564E-3</v>
      </c>
      <c r="H665">
        <v>2.520163813E-3</v>
      </c>
      <c r="I665">
        <v>1.5559146720000001</v>
      </c>
    </row>
    <row r="666" spans="1:9" hidden="1" x14ac:dyDescent="0.2">
      <c r="A666" t="s">
        <v>276</v>
      </c>
      <c r="B666" t="s">
        <v>846</v>
      </c>
      <c r="C666" t="s">
        <v>2</v>
      </c>
      <c r="D666">
        <v>-1.176646694</v>
      </c>
      <c r="E666">
        <v>-8.3396119399999996E-2</v>
      </c>
      <c r="F666">
        <v>-1.8085249130000002E-2</v>
      </c>
      <c r="G666">
        <v>-3.876740564E-3</v>
      </c>
      <c r="H666">
        <v>-2.520163813E-3</v>
      </c>
      <c r="I666">
        <v>-1.5559146720000001</v>
      </c>
    </row>
    <row r="667" spans="1:9" hidden="1" x14ac:dyDescent="0.2">
      <c r="A667" t="s">
        <v>277</v>
      </c>
      <c r="B667" t="s">
        <v>828</v>
      </c>
      <c r="C667" t="s">
        <v>11</v>
      </c>
      <c r="D667">
        <v>1.320056216E-5</v>
      </c>
      <c r="E667">
        <v>9.0357901089999995E-5</v>
      </c>
      <c r="F667">
        <v>8.3287068569999997E-5</v>
      </c>
      <c r="G667">
        <v>1.5061558E-6</v>
      </c>
      <c r="H667">
        <v>1.8119439980000001E-5</v>
      </c>
      <c r="I667">
        <v>8.5493659969999999E-5</v>
      </c>
    </row>
    <row r="668" spans="1:9" hidden="1" x14ac:dyDescent="0.2">
      <c r="A668" t="s">
        <v>277</v>
      </c>
      <c r="B668" t="s">
        <v>827</v>
      </c>
      <c r="C668" t="s">
        <v>11</v>
      </c>
      <c r="D668">
        <v>-8.8588320339999999E-7</v>
      </c>
      <c r="E668">
        <v>-5.1761103620000004E-6</v>
      </c>
      <c r="F668">
        <v>-4.5288876990000003E-6</v>
      </c>
      <c r="G668">
        <v>0</v>
      </c>
      <c r="H668">
        <v>-9.7456720649999995E-7</v>
      </c>
      <c r="I668">
        <v>-4.690110962E-6</v>
      </c>
    </row>
    <row r="669" spans="1:9" hidden="1" x14ac:dyDescent="0.2">
      <c r="A669" t="s">
        <v>277</v>
      </c>
      <c r="B669" t="s">
        <v>824</v>
      </c>
      <c r="C669" t="s">
        <v>11</v>
      </c>
      <c r="D669">
        <v>-9.2997630680000006E-6</v>
      </c>
      <c r="E669">
        <v>-6.7739011009999996E-5</v>
      </c>
      <c r="F669">
        <v>-5.926890121E-5</v>
      </c>
      <c r="G669">
        <v>-1.059969814E-6</v>
      </c>
      <c r="H669">
        <v>-1.2754020699999999E-5</v>
      </c>
      <c r="I669">
        <v>-6.1378806829999995E-5</v>
      </c>
    </row>
    <row r="670" spans="1:9" x14ac:dyDescent="0.2">
      <c r="A670" t="s">
        <v>278</v>
      </c>
      <c r="B670" t="s">
        <v>820</v>
      </c>
      <c r="C670" t="s">
        <v>20</v>
      </c>
      <c r="E670">
        <v>5.8784704509999999E-5</v>
      </c>
      <c r="F670">
        <v>1.180395301E-5</v>
      </c>
      <c r="G670">
        <v>1.272336969E-7</v>
      </c>
      <c r="H670">
        <v>2.6717607109999999E-6</v>
      </c>
      <c r="I670">
        <v>9.7662757610000005E-6</v>
      </c>
    </row>
    <row r="671" spans="1:9" x14ac:dyDescent="0.2">
      <c r="A671" t="s">
        <v>278</v>
      </c>
      <c r="B671" t="s">
        <v>827</v>
      </c>
      <c r="C671" t="s">
        <v>20</v>
      </c>
      <c r="E671">
        <v>-6.1206634330000003E-6</v>
      </c>
      <c r="F671">
        <v>-1.229027587E-6</v>
      </c>
      <c r="G671">
        <v>0</v>
      </c>
      <c r="H671">
        <v>-2.7818372520000002E-7</v>
      </c>
      <c r="I671">
        <v>-1.016864632E-6</v>
      </c>
    </row>
    <row r="672" spans="1:9" x14ac:dyDescent="0.2">
      <c r="A672" t="s">
        <v>278</v>
      </c>
      <c r="B672" t="s">
        <v>821</v>
      </c>
      <c r="C672" t="s">
        <v>20</v>
      </c>
      <c r="E672">
        <v>-1.439725151E-7</v>
      </c>
      <c r="F672">
        <v>-7.3329242490000001E-7</v>
      </c>
      <c r="G672">
        <v>0</v>
      </c>
      <c r="H672">
        <v>-9.9514072059999994E-7</v>
      </c>
      <c r="I672">
        <v>-1.4230801200000001E-6</v>
      </c>
    </row>
    <row r="673" spans="1:9" x14ac:dyDescent="0.2">
      <c r="A673" t="s">
        <v>279</v>
      </c>
      <c r="B673" t="s">
        <v>827</v>
      </c>
      <c r="C673" t="s">
        <v>20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2">
      <c r="A674" t="s">
        <v>279</v>
      </c>
      <c r="B674" t="s">
        <v>821</v>
      </c>
      <c r="C674" t="s">
        <v>20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2">
      <c r="A675" t="s">
        <v>279</v>
      </c>
      <c r="B675" t="s">
        <v>844</v>
      </c>
      <c r="C675" t="s">
        <v>20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hidden="1" x14ac:dyDescent="0.2">
      <c r="A676" t="s">
        <v>280</v>
      </c>
      <c r="B676" t="s">
        <v>828</v>
      </c>
      <c r="C676" t="s">
        <v>3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hidden="1" x14ac:dyDescent="0.2">
      <c r="A677" t="s">
        <v>280</v>
      </c>
      <c r="B677" t="s">
        <v>827</v>
      </c>
      <c r="C677" t="s">
        <v>3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hidden="1" x14ac:dyDescent="0.2">
      <c r="A678" t="s">
        <v>280</v>
      </c>
      <c r="B678" t="s">
        <v>821</v>
      </c>
      <c r="C678" t="s">
        <v>3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hidden="1" x14ac:dyDescent="0.2">
      <c r="A679" t="s">
        <v>280</v>
      </c>
      <c r="B679" t="s">
        <v>921</v>
      </c>
      <c r="C679" t="s">
        <v>3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hidden="1" x14ac:dyDescent="0.2">
      <c r="A680" t="s">
        <v>280</v>
      </c>
      <c r="B680" t="s">
        <v>841</v>
      </c>
      <c r="C680" t="s">
        <v>3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hidden="1" x14ac:dyDescent="0.2">
      <c r="A681" t="s">
        <v>280</v>
      </c>
      <c r="B681" t="s">
        <v>825</v>
      </c>
      <c r="C681" t="s">
        <v>3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2">
      <c r="A682" t="s">
        <v>281</v>
      </c>
      <c r="B682" t="s">
        <v>828</v>
      </c>
      <c r="C682" t="s">
        <v>20</v>
      </c>
      <c r="D682">
        <v>7.7260255199999996E-5</v>
      </c>
      <c r="E682">
        <v>1.2584375160000001E-4</v>
      </c>
      <c r="F682">
        <v>2.7438670890000001E-4</v>
      </c>
      <c r="G682">
        <v>1.2524035600000001E-6</v>
      </c>
      <c r="H682">
        <v>3.6889596610000002E-5</v>
      </c>
      <c r="I682">
        <v>1.6404248520000001E-4</v>
      </c>
    </row>
    <row r="683" spans="1:9" x14ac:dyDescent="0.2">
      <c r="A683" t="s">
        <v>281</v>
      </c>
      <c r="B683" t="s">
        <v>827</v>
      </c>
      <c r="C683" t="s">
        <v>20</v>
      </c>
      <c r="D683">
        <v>-3.9236131429999999E-6</v>
      </c>
      <c r="E683">
        <v>-7.9189293830000001E-6</v>
      </c>
      <c r="F683">
        <v>-1.3515104989999999E-5</v>
      </c>
      <c r="G683">
        <v>0</v>
      </c>
      <c r="H683">
        <v>-1.775446097E-6</v>
      </c>
      <c r="I683">
        <v>-8.2103428450000003E-6</v>
      </c>
    </row>
    <row r="684" spans="1:9" x14ac:dyDescent="0.2">
      <c r="A684" t="s">
        <v>281</v>
      </c>
      <c r="B684" t="s">
        <v>821</v>
      </c>
      <c r="C684" t="s">
        <v>20</v>
      </c>
      <c r="D684">
        <v>-4.1592172870000003E-5</v>
      </c>
      <c r="E684">
        <v>-7.1291361980000003E-5</v>
      </c>
      <c r="F684">
        <v>-1.5521466189999999E-4</v>
      </c>
      <c r="G684">
        <v>-7.0837427770000003E-7</v>
      </c>
      <c r="H684">
        <v>-2.0865195210000001E-5</v>
      </c>
      <c r="I684">
        <v>-9.2818404689999995E-5</v>
      </c>
    </row>
    <row r="685" spans="1:9" x14ac:dyDescent="0.2">
      <c r="A685" t="s">
        <v>282</v>
      </c>
      <c r="B685" t="s">
        <v>820</v>
      </c>
      <c r="C685" t="s">
        <v>20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2">
      <c r="A686" t="s">
        <v>282</v>
      </c>
      <c r="B686" t="s">
        <v>827</v>
      </c>
      <c r="C686" t="s">
        <v>20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2">
      <c r="A687" t="s">
        <v>282</v>
      </c>
      <c r="B687" t="s">
        <v>821</v>
      </c>
      <c r="C687" t="s">
        <v>20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2">
      <c r="A688" t="s">
        <v>282</v>
      </c>
      <c r="B688" t="s">
        <v>844</v>
      </c>
      <c r="C688" t="s">
        <v>20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hidden="1" x14ac:dyDescent="0.2">
      <c r="A689" t="s">
        <v>283</v>
      </c>
      <c r="B689" t="s">
        <v>820</v>
      </c>
      <c r="C689" t="s">
        <v>11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hidden="1" x14ac:dyDescent="0.2">
      <c r="A690" t="s">
        <v>283</v>
      </c>
      <c r="B690" t="s">
        <v>827</v>
      </c>
      <c r="C690" t="s">
        <v>11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hidden="1" x14ac:dyDescent="0.2">
      <c r="A691" t="s">
        <v>283</v>
      </c>
      <c r="B691" t="s">
        <v>821</v>
      </c>
      <c r="C691" t="s">
        <v>11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hidden="1" x14ac:dyDescent="0.2">
      <c r="A692" t="s">
        <v>283</v>
      </c>
      <c r="B692" t="s">
        <v>824</v>
      </c>
      <c r="C692" t="s">
        <v>11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hidden="1" x14ac:dyDescent="0.2">
      <c r="A693" t="s">
        <v>284</v>
      </c>
      <c r="B693" t="s">
        <v>820</v>
      </c>
      <c r="C693" t="s">
        <v>199</v>
      </c>
      <c r="D693">
        <v>1.358144123E-5</v>
      </c>
      <c r="E693">
        <v>1.668645755E-5</v>
      </c>
      <c r="F693">
        <v>4.3912302850000003E-4</v>
      </c>
      <c r="G693">
        <v>3.9230332399999998E-6</v>
      </c>
      <c r="H693">
        <v>7.3612943759999999E-5</v>
      </c>
      <c r="I693">
        <v>3.7338104640000001E-5</v>
      </c>
    </row>
    <row r="694" spans="1:9" hidden="1" x14ac:dyDescent="0.2">
      <c r="A694" t="s">
        <v>284</v>
      </c>
      <c r="B694" t="s">
        <v>827</v>
      </c>
      <c r="C694" t="s">
        <v>199</v>
      </c>
      <c r="D694">
        <v>-1.2686383700000001E-6</v>
      </c>
      <c r="E694">
        <v>-3.9052027950000004E-6</v>
      </c>
      <c r="F694">
        <v>-3.7163396220000003E-5</v>
      </c>
      <c r="G694">
        <v>-3.2830437420000002E-7</v>
      </c>
      <c r="H694">
        <v>-6.1603511870000004E-6</v>
      </c>
      <c r="I694">
        <v>-3.3325091090000002E-6</v>
      </c>
    </row>
    <row r="695" spans="1:9" hidden="1" x14ac:dyDescent="0.2">
      <c r="A695" t="s">
        <v>284</v>
      </c>
      <c r="B695" t="s">
        <v>821</v>
      </c>
      <c r="C695" t="s">
        <v>199</v>
      </c>
      <c r="D695">
        <v>-1.7165855639999999E-6</v>
      </c>
      <c r="E695">
        <v>-1.178406347E-5</v>
      </c>
      <c r="F695">
        <v>-5.4893174240000003E-5</v>
      </c>
      <c r="G695">
        <v>-5.4906116619999995E-7</v>
      </c>
      <c r="H695">
        <v>-8.0276052209999994E-6</v>
      </c>
      <c r="I695">
        <v>-4.9708929450000003E-6</v>
      </c>
    </row>
    <row r="696" spans="1:9" hidden="1" x14ac:dyDescent="0.2">
      <c r="A696" t="s">
        <v>284</v>
      </c>
      <c r="B696" t="s">
        <v>832</v>
      </c>
      <c r="C696" t="s">
        <v>199</v>
      </c>
      <c r="D696">
        <v>-8.1232968030000002E-6</v>
      </c>
      <c r="E696">
        <v>-5.8023877409999998E-7</v>
      </c>
      <c r="F696">
        <v>-2.6180477659999999E-4</v>
      </c>
      <c r="G696">
        <v>-2.2797674860000002E-6</v>
      </c>
      <c r="H696">
        <v>-4.505340994E-5</v>
      </c>
      <c r="I696">
        <v>-2.2053579899999999E-5</v>
      </c>
    </row>
    <row r="697" spans="1:9" hidden="1" x14ac:dyDescent="0.2">
      <c r="A697" t="s">
        <v>285</v>
      </c>
      <c r="B697" t="s">
        <v>828</v>
      </c>
      <c r="C697" t="s">
        <v>199</v>
      </c>
      <c r="D697">
        <v>1.9435348539999999E-5</v>
      </c>
      <c r="E697">
        <v>3.5410150770000002E-5</v>
      </c>
      <c r="F697">
        <v>5.9779014450000003E-4</v>
      </c>
      <c r="G697">
        <v>4.0301596049999999E-6</v>
      </c>
      <c r="H697">
        <v>4.7237826470000003E-5</v>
      </c>
      <c r="I697">
        <v>9.5106865960000003E-5</v>
      </c>
    </row>
    <row r="698" spans="1:9" hidden="1" x14ac:dyDescent="0.2">
      <c r="A698" t="s">
        <v>285</v>
      </c>
      <c r="B698" t="s">
        <v>827</v>
      </c>
      <c r="C698" t="s">
        <v>199</v>
      </c>
      <c r="D698">
        <v>-9.8096899419999992E-7</v>
      </c>
      <c r="E698">
        <v>-2.3899894820000002E-6</v>
      </c>
      <c r="F698">
        <v>-2.8246183360000001E-5</v>
      </c>
      <c r="G698">
        <v>-1.8929811039999999E-7</v>
      </c>
      <c r="H698">
        <v>-2.2188879899999999E-6</v>
      </c>
      <c r="I698">
        <v>-4.6205109069999999E-6</v>
      </c>
    </row>
    <row r="699" spans="1:9" hidden="1" x14ac:dyDescent="0.2">
      <c r="A699" t="s">
        <v>285</v>
      </c>
      <c r="B699" t="s">
        <v>821</v>
      </c>
      <c r="C699" t="s">
        <v>199</v>
      </c>
      <c r="D699">
        <v>-3.1838020860000001E-6</v>
      </c>
      <c r="E699">
        <v>-1.9286091689999998E-5</v>
      </c>
      <c r="F699">
        <v>-9.9342540830000005E-5</v>
      </c>
      <c r="G699">
        <v>-7.6282100329999999E-7</v>
      </c>
      <c r="H699">
        <v>-8.2046417190000004E-6</v>
      </c>
      <c r="I699">
        <v>-1.85020676E-5</v>
      </c>
    </row>
    <row r="700" spans="1:9" hidden="1" x14ac:dyDescent="0.2">
      <c r="A700" t="s">
        <v>285</v>
      </c>
      <c r="B700" t="s">
        <v>832</v>
      </c>
      <c r="C700" t="s">
        <v>199</v>
      </c>
      <c r="D700">
        <v>-1.209271818E-5</v>
      </c>
      <c r="E700">
        <v>-8.7819693870000008E-6</v>
      </c>
      <c r="F700">
        <v>-3.692208379E-4</v>
      </c>
      <c r="G700">
        <v>-2.3957754319999998E-6</v>
      </c>
      <c r="H700">
        <v>-2.881759074E-5</v>
      </c>
      <c r="I700">
        <v>-5.6132626310000001E-5</v>
      </c>
    </row>
    <row r="701" spans="1:9" hidden="1" x14ac:dyDescent="0.2">
      <c r="A701" t="s">
        <v>286</v>
      </c>
      <c r="B701" t="s">
        <v>820</v>
      </c>
      <c r="C701" t="s">
        <v>199</v>
      </c>
      <c r="D701">
        <v>6.4527015939999997E-6</v>
      </c>
      <c r="E701">
        <v>3.2097282899999999E-6</v>
      </c>
      <c r="F701">
        <v>7.43904999E-4</v>
      </c>
      <c r="G701">
        <v>0.34631070310000001</v>
      </c>
      <c r="H701">
        <v>2.748742562E-4</v>
      </c>
      <c r="I701">
        <v>2.7395515849999999E-5</v>
      </c>
    </row>
    <row r="702" spans="1:9" hidden="1" x14ac:dyDescent="0.2">
      <c r="A702" t="s">
        <v>286</v>
      </c>
      <c r="B702" t="s">
        <v>832</v>
      </c>
      <c r="C702" t="s">
        <v>199</v>
      </c>
      <c r="D702">
        <v>-5.7448541860000003E-6</v>
      </c>
      <c r="E702">
        <v>-2.8842698180000001E-6</v>
      </c>
      <c r="F702">
        <v>-6.6184190119999997E-4</v>
      </c>
      <c r="G702">
        <v>-0.30810560780000001</v>
      </c>
      <c r="H702">
        <v>-2.4455005979999998E-4</v>
      </c>
      <c r="I702">
        <v>-2.4381918760000001E-5</v>
      </c>
    </row>
    <row r="703" spans="1:9" hidden="1" x14ac:dyDescent="0.2">
      <c r="A703" t="s">
        <v>287</v>
      </c>
      <c r="B703" t="s">
        <v>820</v>
      </c>
      <c r="C703" t="s">
        <v>3</v>
      </c>
      <c r="D703">
        <v>8.9267901530000007</v>
      </c>
      <c r="E703">
        <v>6.7136959049999996E-6</v>
      </c>
      <c r="F703">
        <v>7.0190353010000006E-5</v>
      </c>
      <c r="G703">
        <v>1.611071683E-6</v>
      </c>
      <c r="H703">
        <v>1.793265166E-5</v>
      </c>
      <c r="I703">
        <v>1.1365680190000001E-5</v>
      </c>
    </row>
    <row r="704" spans="1:9" hidden="1" x14ac:dyDescent="0.2">
      <c r="A704" t="s">
        <v>287</v>
      </c>
      <c r="B704" t="s">
        <v>827</v>
      </c>
      <c r="C704" t="s">
        <v>3</v>
      </c>
      <c r="D704">
        <v>-0.74698843069999998</v>
      </c>
      <c r="E704">
        <v>-1.062565562E-5</v>
      </c>
      <c r="F704">
        <v>-7.5495961039999999E-6</v>
      </c>
      <c r="G704">
        <v>-1.3482704800000001E-7</v>
      </c>
      <c r="H704">
        <v>-1.501024291E-6</v>
      </c>
      <c r="I704">
        <v>-1.1542718850000001E-6</v>
      </c>
    </row>
    <row r="705" spans="1:9" hidden="1" x14ac:dyDescent="0.2">
      <c r="A705" t="s">
        <v>287</v>
      </c>
      <c r="B705" t="s">
        <v>821</v>
      </c>
      <c r="C705" t="s">
        <v>3</v>
      </c>
      <c r="D705">
        <v>-1.611647549</v>
      </c>
      <c r="E705">
        <v>-1.3779606570000001E-6</v>
      </c>
      <c r="F705">
        <v>-1.269950258E-5</v>
      </c>
      <c r="G705">
        <v>-2.908660607E-7</v>
      </c>
      <c r="H705">
        <v>-3.2376437289999998E-6</v>
      </c>
      <c r="I705">
        <v>-2.1164710039999998E-6</v>
      </c>
    </row>
    <row r="706" spans="1:9" hidden="1" x14ac:dyDescent="0.2">
      <c r="A706" t="s">
        <v>287</v>
      </c>
      <c r="B706" t="s">
        <v>832</v>
      </c>
      <c r="C706" t="s">
        <v>3</v>
      </c>
      <c r="D706">
        <v>-4.8252921000000004</v>
      </c>
      <c r="E706">
        <v>-3.8675805049999999E-6</v>
      </c>
      <c r="F706">
        <v>-3.7979992869999999E-5</v>
      </c>
      <c r="G706">
        <v>-8.7085085249999996E-7</v>
      </c>
      <c r="H706">
        <v>-9.6933662120000001E-6</v>
      </c>
      <c r="I706">
        <v>-6.1797779420000003E-6</v>
      </c>
    </row>
    <row r="707" spans="1:9" hidden="1" x14ac:dyDescent="0.2">
      <c r="A707" t="s">
        <v>288</v>
      </c>
      <c r="B707" t="s">
        <v>828</v>
      </c>
      <c r="C707" t="s">
        <v>3</v>
      </c>
      <c r="D707">
        <v>3.4021871969999998E-6</v>
      </c>
      <c r="E707">
        <v>1.367902614E-4</v>
      </c>
      <c r="F707">
        <v>2.4933027239999999E-4</v>
      </c>
      <c r="G707">
        <v>3.432880585E-6</v>
      </c>
      <c r="H707">
        <v>2.267512236E-5</v>
      </c>
      <c r="I707">
        <v>4.4694265859999999E-5</v>
      </c>
    </row>
    <row r="708" spans="1:9" hidden="1" x14ac:dyDescent="0.2">
      <c r="A708" t="s">
        <v>288</v>
      </c>
      <c r="B708" t="s">
        <v>827</v>
      </c>
      <c r="C708" t="s">
        <v>3</v>
      </c>
      <c r="D708">
        <v>-2.1280790760000001E-7</v>
      </c>
      <c r="E708">
        <v>-6.9248320900000003E-6</v>
      </c>
      <c r="F708">
        <v>-1.179407854E-5</v>
      </c>
      <c r="G708">
        <v>-1.6124450410000001E-7</v>
      </c>
      <c r="H708">
        <v>-1.0652020140000001E-6</v>
      </c>
      <c r="I708">
        <v>-2.252680823E-6</v>
      </c>
    </row>
    <row r="709" spans="1:9" hidden="1" x14ac:dyDescent="0.2">
      <c r="A709" t="s">
        <v>288</v>
      </c>
      <c r="B709" t="s">
        <v>821</v>
      </c>
      <c r="C709" t="s">
        <v>3</v>
      </c>
      <c r="D709">
        <v>-8.5359523429999995E-7</v>
      </c>
      <c r="E709">
        <v>-3.235296218E-5</v>
      </c>
      <c r="F709">
        <v>-3.9744596380000001E-5</v>
      </c>
      <c r="G709">
        <v>-6.2399826659999996E-7</v>
      </c>
      <c r="H709">
        <v>-3.404235048E-6</v>
      </c>
      <c r="I709">
        <v>-9.8695706370000004E-6</v>
      </c>
    </row>
    <row r="710" spans="1:9" hidden="1" x14ac:dyDescent="0.2">
      <c r="A710" t="s">
        <v>288</v>
      </c>
      <c r="B710" t="s">
        <v>832</v>
      </c>
      <c r="C710" t="s">
        <v>3</v>
      </c>
      <c r="D710">
        <v>-1.857112185E-6</v>
      </c>
      <c r="E710">
        <v>-7.5170639160000006E-5</v>
      </c>
      <c r="F710">
        <v>-1.5571721219999999E-4</v>
      </c>
      <c r="G710">
        <v>-2.066487343E-6</v>
      </c>
      <c r="H710">
        <v>-1.4367249769999999E-5</v>
      </c>
      <c r="I710">
        <v>-2.5254805600000001E-5</v>
      </c>
    </row>
    <row r="711" spans="1:9" hidden="1" x14ac:dyDescent="0.2">
      <c r="A711" t="s">
        <v>289</v>
      </c>
      <c r="B711" t="s">
        <v>820</v>
      </c>
      <c r="C711" t="s">
        <v>3</v>
      </c>
      <c r="D711">
        <v>1.9705447150000001E-6</v>
      </c>
      <c r="E711">
        <v>4.0135729760000002E-6</v>
      </c>
      <c r="F711">
        <v>7.0774394670000007E-5</v>
      </c>
      <c r="G711">
        <v>1.7972560189999999E-6</v>
      </c>
      <c r="H711">
        <v>1.8034027099999999E-5</v>
      </c>
      <c r="I711">
        <v>9.9378506459999992E-6</v>
      </c>
    </row>
    <row r="712" spans="1:9" hidden="1" x14ac:dyDescent="0.2">
      <c r="A712" t="s">
        <v>289</v>
      </c>
      <c r="B712" t="s">
        <v>827</v>
      </c>
      <c r="C712" t="s">
        <v>3</v>
      </c>
      <c r="D712">
        <v>-1.1083854839999999E-6</v>
      </c>
      <c r="E712">
        <v>-9.1908576830000003E-6</v>
      </c>
      <c r="F712">
        <v>-7.2054747110000001E-6</v>
      </c>
      <c r="G712">
        <v>-1.4549111319999999E-7</v>
      </c>
      <c r="H712">
        <v>-1.46013801E-6</v>
      </c>
      <c r="I712">
        <v>-1.124606631E-6</v>
      </c>
    </row>
    <row r="713" spans="1:9" hidden="1" x14ac:dyDescent="0.2">
      <c r="A713" t="s">
        <v>289</v>
      </c>
      <c r="B713" t="s">
        <v>821</v>
      </c>
      <c r="C713" t="s">
        <v>3</v>
      </c>
      <c r="D713">
        <v>1.140180389E-7</v>
      </c>
      <c r="E713">
        <v>4.3271043430000001E-7</v>
      </c>
      <c r="F713">
        <v>3.5445536859999998E-6</v>
      </c>
      <c r="G713">
        <v>0</v>
      </c>
      <c r="H713">
        <v>8.9345113069999996E-7</v>
      </c>
      <c r="I713">
        <v>5.554252086E-7</v>
      </c>
    </row>
    <row r="714" spans="1:9" hidden="1" x14ac:dyDescent="0.2">
      <c r="A714" t="s">
        <v>289</v>
      </c>
      <c r="B714" t="s">
        <v>832</v>
      </c>
      <c r="C714" t="s">
        <v>3</v>
      </c>
      <c r="D714">
        <v>-1.574091255E-6</v>
      </c>
      <c r="E714">
        <v>-3.099980148E-6</v>
      </c>
      <c r="F714">
        <v>-5.229294277E-5</v>
      </c>
      <c r="G714">
        <v>-1.327365125E-6</v>
      </c>
      <c r="H714">
        <v>-1.331898954E-5</v>
      </c>
      <c r="I714">
        <v>-7.264511789E-6</v>
      </c>
    </row>
    <row r="715" spans="1:9" hidden="1" x14ac:dyDescent="0.2">
      <c r="A715" t="s">
        <v>290</v>
      </c>
      <c r="B715" t="s">
        <v>828</v>
      </c>
      <c r="C715" t="s">
        <v>128</v>
      </c>
      <c r="D715">
        <v>5.2736007449999999E-5</v>
      </c>
      <c r="E715">
        <v>2.2311125709999999E-4</v>
      </c>
      <c r="F715">
        <v>4.0757781120000003E-4</v>
      </c>
      <c r="G715">
        <v>3.8596822230000001E-6</v>
      </c>
      <c r="H715">
        <v>3.4882404349999998E-5</v>
      </c>
      <c r="I715">
        <v>7.8877500800000005E-5</v>
      </c>
    </row>
    <row r="716" spans="1:9" hidden="1" x14ac:dyDescent="0.2">
      <c r="A716" t="s">
        <v>290</v>
      </c>
      <c r="B716" t="s">
        <v>827</v>
      </c>
      <c r="C716" t="s">
        <v>128</v>
      </c>
      <c r="D716">
        <v>-2.5299687659999999E-6</v>
      </c>
      <c r="E716">
        <v>-1.0979244080000001E-5</v>
      </c>
      <c r="F716">
        <v>-1.92268093E-5</v>
      </c>
      <c r="G716">
        <v>-1.8129095590000001E-7</v>
      </c>
      <c r="H716">
        <v>-1.638566004E-6</v>
      </c>
      <c r="I716">
        <v>-3.8582336390000003E-6</v>
      </c>
    </row>
    <row r="717" spans="1:9" hidden="1" x14ac:dyDescent="0.2">
      <c r="A717" t="s">
        <v>290</v>
      </c>
      <c r="B717" t="s">
        <v>821</v>
      </c>
      <c r="C717" t="s">
        <v>128</v>
      </c>
      <c r="D717">
        <v>-4.1719886840000001E-6</v>
      </c>
      <c r="E717">
        <v>-4.7001853039999999E-5</v>
      </c>
      <c r="F717">
        <v>-6.3306438259999994E-5</v>
      </c>
      <c r="G717">
        <v>-6.749246316E-7</v>
      </c>
      <c r="H717">
        <v>-5.6777202829999999E-6</v>
      </c>
      <c r="I717">
        <v>-1.473529853E-5</v>
      </c>
    </row>
    <row r="718" spans="1:9" hidden="1" x14ac:dyDescent="0.2">
      <c r="A718" t="s">
        <v>290</v>
      </c>
      <c r="B718" t="s">
        <v>832</v>
      </c>
      <c r="C718" t="s">
        <v>128</v>
      </c>
      <c r="D718">
        <v>-3.7203554629999997E-5</v>
      </c>
      <c r="E718">
        <v>-1.1465389020000001E-4</v>
      </c>
      <c r="F718">
        <v>-2.5392886080000002E-4</v>
      </c>
      <c r="G718">
        <v>-2.3499136259999998E-6</v>
      </c>
      <c r="H718">
        <v>-2.1656386140000001E-5</v>
      </c>
      <c r="I718">
        <v>-4.3032152749999997E-5</v>
      </c>
    </row>
    <row r="719" spans="1:9" hidden="1" x14ac:dyDescent="0.2">
      <c r="A719" t="s">
        <v>291</v>
      </c>
      <c r="B719" t="s">
        <v>820</v>
      </c>
      <c r="C719" t="s">
        <v>128</v>
      </c>
      <c r="D719">
        <v>6.7526969120000004E-6</v>
      </c>
      <c r="E719">
        <v>1.051356879E-4</v>
      </c>
      <c r="F719">
        <v>1.8451497009999999E-4</v>
      </c>
      <c r="G719">
        <v>1.9409565220000002E-6</v>
      </c>
      <c r="H719">
        <v>2.5171295309999998E-5</v>
      </c>
      <c r="I719">
        <v>1.473592901E-5</v>
      </c>
    </row>
    <row r="720" spans="1:9" hidden="1" x14ac:dyDescent="0.2">
      <c r="A720" t="s">
        <v>291</v>
      </c>
      <c r="B720" t="s">
        <v>827</v>
      </c>
      <c r="C720" t="s">
        <v>128</v>
      </c>
      <c r="D720">
        <v>-1.486637437E-6</v>
      </c>
      <c r="E720">
        <v>-8.510244752E-6</v>
      </c>
      <c r="F720">
        <v>-1.4935628309999999E-5</v>
      </c>
      <c r="G720">
        <v>-1.5711139940000001E-7</v>
      </c>
      <c r="H720">
        <v>-2.0374992360000002E-6</v>
      </c>
      <c r="I720">
        <v>-1.1928048890000001E-6</v>
      </c>
    </row>
    <row r="721" spans="1:9" hidden="1" x14ac:dyDescent="0.2">
      <c r="A721" t="s">
        <v>291</v>
      </c>
      <c r="B721" t="s">
        <v>821</v>
      </c>
      <c r="C721" t="s">
        <v>128</v>
      </c>
      <c r="D721">
        <v>3.4550823449999998E-7</v>
      </c>
      <c r="E721">
        <v>5.2082697879999998E-6</v>
      </c>
      <c r="F721">
        <v>9.1406045240000001E-6</v>
      </c>
      <c r="G721">
        <v>0</v>
      </c>
      <c r="H721">
        <v>1.2469495330000001E-6</v>
      </c>
      <c r="I721">
        <v>7.2999659179999998E-7</v>
      </c>
    </row>
    <row r="722" spans="1:9" hidden="1" x14ac:dyDescent="0.2">
      <c r="A722" t="s">
        <v>291</v>
      </c>
      <c r="B722" t="s">
        <v>832</v>
      </c>
      <c r="C722" t="s">
        <v>128</v>
      </c>
      <c r="D722">
        <v>-5.0252952109999997E-6</v>
      </c>
      <c r="E722">
        <v>-7.7648218540000006E-5</v>
      </c>
      <c r="F722">
        <v>-1.3627398089999999E-4</v>
      </c>
      <c r="G722">
        <v>-1.4334981700000001E-6</v>
      </c>
      <c r="H722">
        <v>-1.8590321499999999E-5</v>
      </c>
      <c r="I722">
        <v>-1.0883256279999999E-5</v>
      </c>
    </row>
    <row r="723" spans="1:9" x14ac:dyDescent="0.2">
      <c r="A723" t="s">
        <v>292</v>
      </c>
      <c r="B723" t="s">
        <v>827</v>
      </c>
      <c r="C723" t="s">
        <v>20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2">
      <c r="A724" t="s">
        <v>292</v>
      </c>
      <c r="B724" t="s">
        <v>821</v>
      </c>
      <c r="C724" t="s">
        <v>20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2">
      <c r="A725" t="s">
        <v>292</v>
      </c>
      <c r="B725" t="s">
        <v>844</v>
      </c>
      <c r="C725" t="s">
        <v>20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hidden="1" x14ac:dyDescent="0.2">
      <c r="A726" t="s">
        <v>293</v>
      </c>
      <c r="B726" t="s">
        <v>828</v>
      </c>
      <c r="C726" t="s">
        <v>128</v>
      </c>
      <c r="D726">
        <v>1.0492612659999999E-2</v>
      </c>
      <c r="E726">
        <v>1.207933631E-4</v>
      </c>
      <c r="F726">
        <v>8.7251328460000003E-4</v>
      </c>
      <c r="G726">
        <v>5.669242586E-6</v>
      </c>
      <c r="H726">
        <v>1.41534091E-5</v>
      </c>
      <c r="I726">
        <v>4.1597412239999998E-5</v>
      </c>
    </row>
    <row r="727" spans="1:9" hidden="1" x14ac:dyDescent="0.2">
      <c r="A727" t="s">
        <v>293</v>
      </c>
      <c r="B727" t="s">
        <v>827</v>
      </c>
      <c r="C727" t="s">
        <v>128</v>
      </c>
      <c r="D727">
        <v>-5.1274417560000002E-4</v>
      </c>
      <c r="E727">
        <v>-6.4222696909999998E-6</v>
      </c>
      <c r="F727">
        <v>-4.2719298040000003E-5</v>
      </c>
      <c r="G727">
        <v>-2.7701569670000002E-7</v>
      </c>
      <c r="H727">
        <v>-6.9174341109999998E-7</v>
      </c>
      <c r="I727">
        <v>-2.192147575E-6</v>
      </c>
    </row>
    <row r="728" spans="1:9" hidden="1" x14ac:dyDescent="0.2">
      <c r="A728" t="s">
        <v>293</v>
      </c>
      <c r="B728" t="s">
        <v>821</v>
      </c>
      <c r="C728" t="s">
        <v>128</v>
      </c>
      <c r="D728">
        <v>4.2451413870000002E-4</v>
      </c>
      <c r="E728">
        <v>5.3176392299999999E-6</v>
      </c>
      <c r="F728">
        <v>3.5371578289999997E-5</v>
      </c>
      <c r="G728">
        <v>2.2936899359999999E-7</v>
      </c>
      <c r="H728">
        <v>5.727635364E-7</v>
      </c>
      <c r="I728">
        <v>1.815098167E-6</v>
      </c>
    </row>
    <row r="729" spans="1:9" hidden="1" x14ac:dyDescent="0.2">
      <c r="A729" t="s">
        <v>293</v>
      </c>
      <c r="B729" t="s">
        <v>832</v>
      </c>
      <c r="C729" t="s">
        <v>128</v>
      </c>
      <c r="D729">
        <v>-9.3600509010000003E-3</v>
      </c>
      <c r="E729">
        <v>-1.172499168E-4</v>
      </c>
      <c r="F729">
        <v>-7.7991650669999996E-4</v>
      </c>
      <c r="G729">
        <v>-5.0574125590000004E-6</v>
      </c>
      <c r="H729">
        <v>-1.2629002099999999E-5</v>
      </c>
      <c r="I729">
        <v>-4.0021539610000002E-5</v>
      </c>
    </row>
    <row r="730" spans="1:9" hidden="1" x14ac:dyDescent="0.2">
      <c r="A730" t="s">
        <v>294</v>
      </c>
      <c r="B730" t="s">
        <v>828</v>
      </c>
      <c r="C730" t="s">
        <v>199</v>
      </c>
      <c r="D730">
        <v>6.2190428760000002E-6</v>
      </c>
      <c r="E730">
        <v>1.7405234819999999E-5</v>
      </c>
      <c r="F730">
        <v>0.23722058169999999</v>
      </c>
      <c r="G730">
        <v>1.0276616030000001E-5</v>
      </c>
      <c r="H730">
        <v>3.6545107619999999E-5</v>
      </c>
      <c r="I730">
        <v>8.2810393699999998E-5</v>
      </c>
    </row>
    <row r="731" spans="1:9" hidden="1" x14ac:dyDescent="0.2">
      <c r="A731" t="s">
        <v>294</v>
      </c>
      <c r="B731" t="s">
        <v>827</v>
      </c>
      <c r="C731" t="s">
        <v>199</v>
      </c>
      <c r="D731">
        <v>-3.6590920020000003E-7</v>
      </c>
      <c r="E731">
        <v>-1.660790358E-6</v>
      </c>
      <c r="F731">
        <v>-1.1591184189999999E-2</v>
      </c>
      <c r="G731">
        <v>-5.0214073420000003E-7</v>
      </c>
      <c r="H731">
        <v>-1.785844427E-6</v>
      </c>
      <c r="I731">
        <v>-4.2058923050000002E-6</v>
      </c>
    </row>
    <row r="732" spans="1:9" hidden="1" x14ac:dyDescent="0.2">
      <c r="A732" t="s">
        <v>294</v>
      </c>
      <c r="B732" t="s">
        <v>821</v>
      </c>
      <c r="C732" t="s">
        <v>199</v>
      </c>
      <c r="D732">
        <v>2.5923677610000001E-7</v>
      </c>
      <c r="E732">
        <v>9.5327672220000003E-7</v>
      </c>
      <c r="F732">
        <v>9.5974296090000008E-3</v>
      </c>
      <c r="G732">
        <v>4.1577049570000001E-7</v>
      </c>
      <c r="H732">
        <v>1.478614982E-6</v>
      </c>
      <c r="I732">
        <v>3.4258461840000001E-6</v>
      </c>
    </row>
    <row r="733" spans="1:9" hidden="1" x14ac:dyDescent="0.2">
      <c r="A733" t="s">
        <v>294</v>
      </c>
      <c r="B733" t="s">
        <v>832</v>
      </c>
      <c r="C733" t="s">
        <v>199</v>
      </c>
      <c r="D733">
        <v>-5.5516932780000001E-6</v>
      </c>
      <c r="E733">
        <v>-1.5814151550000002E-5</v>
      </c>
      <c r="F733">
        <v>-0.21161519610000001</v>
      </c>
      <c r="G733">
        <v>-9.1673651869999997E-6</v>
      </c>
      <c r="H733">
        <v>-3.2600462460000002E-5</v>
      </c>
      <c r="I733">
        <v>-7.3880391079999999E-5</v>
      </c>
    </row>
    <row r="734" spans="1:9" hidden="1" x14ac:dyDescent="0.2">
      <c r="A734" t="s">
        <v>295</v>
      </c>
      <c r="B734" t="s">
        <v>828</v>
      </c>
      <c r="C734" t="s">
        <v>3</v>
      </c>
      <c r="D734">
        <v>1.287969453E-6</v>
      </c>
      <c r="E734">
        <v>6.5517046060000001E-5</v>
      </c>
      <c r="F734">
        <v>3.2336184870000002E-4</v>
      </c>
      <c r="G734">
        <v>4.8431177490000002E-6</v>
      </c>
      <c r="H734">
        <v>9.5510447520000003E-6</v>
      </c>
      <c r="I734">
        <v>1.6644544809999999E-5</v>
      </c>
    </row>
    <row r="735" spans="1:9" hidden="1" x14ac:dyDescent="0.2">
      <c r="A735" t="s">
        <v>295</v>
      </c>
      <c r="B735" t="s">
        <v>827</v>
      </c>
      <c r="C735" t="s">
        <v>3</v>
      </c>
      <c r="D735">
        <v>-1.180795399E-7</v>
      </c>
      <c r="E735">
        <v>-3.7213636130000001E-6</v>
      </c>
      <c r="F735">
        <v>-1.5886713489999999E-5</v>
      </c>
      <c r="G735">
        <v>-2.3664966449999999E-7</v>
      </c>
      <c r="H735">
        <v>-4.6686312769999999E-7</v>
      </c>
      <c r="I735">
        <v>-9.729029704000001E-7</v>
      </c>
    </row>
    <row r="736" spans="1:9" hidden="1" x14ac:dyDescent="0.2">
      <c r="A736" t="s">
        <v>295</v>
      </c>
      <c r="B736" t="s">
        <v>821</v>
      </c>
      <c r="C736" t="s">
        <v>3</v>
      </c>
      <c r="D736">
        <v>0</v>
      </c>
      <c r="E736">
        <v>2.899767815E-6</v>
      </c>
      <c r="F736">
        <v>1.312345951E-5</v>
      </c>
      <c r="G736">
        <v>1.9594389300000001E-7</v>
      </c>
      <c r="H736">
        <v>3.8649848150000002E-7</v>
      </c>
      <c r="I736">
        <v>7.4893105230000004E-7</v>
      </c>
    </row>
    <row r="737" spans="1:9" hidden="1" x14ac:dyDescent="0.2">
      <c r="A737" t="s">
        <v>295</v>
      </c>
      <c r="B737" t="s">
        <v>832</v>
      </c>
      <c r="C737" t="s">
        <v>3</v>
      </c>
      <c r="D737">
        <v>-1.152876665E-6</v>
      </c>
      <c r="E737">
        <v>-5.8473200919999999E-5</v>
      </c>
      <c r="F737">
        <v>-2.8846299599999999E-4</v>
      </c>
      <c r="G737">
        <v>-4.32035512E-6</v>
      </c>
      <c r="H737">
        <v>-8.5201209159999992E-6</v>
      </c>
      <c r="I737">
        <v>-1.4856440229999999E-5</v>
      </c>
    </row>
    <row r="738" spans="1:9" hidden="1" x14ac:dyDescent="0.2">
      <c r="A738" t="s">
        <v>296</v>
      </c>
      <c r="B738" t="s">
        <v>820</v>
      </c>
      <c r="C738" t="s">
        <v>128</v>
      </c>
      <c r="D738">
        <v>9.1797636459999994E-6</v>
      </c>
      <c r="E738">
        <v>1.267496099E-4</v>
      </c>
      <c r="F738">
        <v>1.3243001479999999E-4</v>
      </c>
      <c r="G738">
        <v>1.7122701660000001E-6</v>
      </c>
      <c r="H738">
        <v>2.421539743E-5</v>
      </c>
      <c r="I738">
        <v>1.7012541419999998E-5</v>
      </c>
    </row>
    <row r="739" spans="1:9" hidden="1" x14ac:dyDescent="0.2">
      <c r="A739" t="s">
        <v>296</v>
      </c>
      <c r="B739" t="s">
        <v>827</v>
      </c>
      <c r="C739" t="s">
        <v>128</v>
      </c>
      <c r="D739">
        <v>-1.2959563899999999E-6</v>
      </c>
      <c r="E739">
        <v>-1.060632349E-5</v>
      </c>
      <c r="F739">
        <v>-1.108165602E-5</v>
      </c>
      <c r="G739">
        <v>-1.4328163459999999E-7</v>
      </c>
      <c r="H739">
        <v>-2.0263284359999998E-6</v>
      </c>
      <c r="I739">
        <v>-1.4235982100000001E-6</v>
      </c>
    </row>
    <row r="740" spans="1:9" hidden="1" x14ac:dyDescent="0.2">
      <c r="A740" t="s">
        <v>296</v>
      </c>
      <c r="B740" t="s">
        <v>821</v>
      </c>
      <c r="C740" t="s">
        <v>128</v>
      </c>
      <c r="D740">
        <v>-1.6674348289999999E-6</v>
      </c>
      <c r="E740">
        <v>-1.3362510420000001E-6</v>
      </c>
      <c r="F740">
        <v>-2.0320021789999999E-5</v>
      </c>
      <c r="G740">
        <v>-3.091063663E-7</v>
      </c>
      <c r="H740">
        <v>-4.3709911349999999E-6</v>
      </c>
      <c r="I740">
        <v>-2.6877106139999999E-6</v>
      </c>
    </row>
    <row r="741" spans="1:9" hidden="1" x14ac:dyDescent="0.2">
      <c r="A741" t="s">
        <v>296</v>
      </c>
      <c r="B741" t="s">
        <v>832</v>
      </c>
      <c r="C741" t="s">
        <v>128</v>
      </c>
      <c r="D741">
        <v>-5.028945203E-6</v>
      </c>
      <c r="E741">
        <v>-6.8513302640000001E-5</v>
      </c>
      <c r="F741">
        <v>-7.1583791779999999E-5</v>
      </c>
      <c r="G741">
        <v>-9.2555144090000004E-7</v>
      </c>
      <c r="H741">
        <v>-1.3089404019999999E-5</v>
      </c>
      <c r="I741">
        <v>-9.1959683370000004E-6</v>
      </c>
    </row>
    <row r="742" spans="1:9" x14ac:dyDescent="0.2">
      <c r="A742" t="s">
        <v>297</v>
      </c>
      <c r="B742" t="s">
        <v>821</v>
      </c>
      <c r="C742" t="s">
        <v>20</v>
      </c>
      <c r="D742">
        <v>-7.9150114810000001E-6</v>
      </c>
      <c r="E742">
        <v>-1.1840384819999999E-4</v>
      </c>
      <c r="F742">
        <v>-1.426542127E-5</v>
      </c>
      <c r="G742">
        <v>0</v>
      </c>
      <c r="H742">
        <v>0</v>
      </c>
      <c r="I742">
        <v>-3.209903255E-5</v>
      </c>
    </row>
    <row r="743" spans="1:9" x14ac:dyDescent="0.2">
      <c r="A743" t="s">
        <v>297</v>
      </c>
      <c r="B743" t="s">
        <v>878</v>
      </c>
      <c r="C743" t="s">
        <v>20</v>
      </c>
      <c r="D743">
        <v>7.9150114810000001E-6</v>
      </c>
      <c r="E743">
        <v>1.3943299900000001E-4</v>
      </c>
      <c r="F743">
        <v>1.7854501290000001E-5</v>
      </c>
      <c r="G743">
        <v>0</v>
      </c>
      <c r="H743">
        <v>0</v>
      </c>
      <c r="I743">
        <v>3.8711428890000001E-5</v>
      </c>
    </row>
    <row r="744" spans="1:9" hidden="1" x14ac:dyDescent="0.2">
      <c r="A744" t="s">
        <v>298</v>
      </c>
      <c r="B744" t="s">
        <v>832</v>
      </c>
      <c r="C744" t="s">
        <v>128</v>
      </c>
      <c r="D744">
        <v>0</v>
      </c>
    </row>
    <row r="745" spans="1:9" hidden="1" x14ac:dyDescent="0.2">
      <c r="A745" t="s">
        <v>299</v>
      </c>
      <c r="B745" t="s">
        <v>833</v>
      </c>
      <c r="C745" t="s">
        <v>3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hidden="1" x14ac:dyDescent="0.2">
      <c r="A746" t="s">
        <v>300</v>
      </c>
      <c r="B746" t="s">
        <v>825</v>
      </c>
      <c r="C746" t="s">
        <v>199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hidden="1" x14ac:dyDescent="0.2">
      <c r="A747" t="s">
        <v>301</v>
      </c>
      <c r="B747" t="s">
        <v>825</v>
      </c>
      <c r="C747" t="s">
        <v>2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hidden="1" x14ac:dyDescent="0.2">
      <c r="A748" t="s">
        <v>302</v>
      </c>
      <c r="B748" t="s">
        <v>833</v>
      </c>
      <c r="C748" t="s">
        <v>194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hidden="1" x14ac:dyDescent="0.2">
      <c r="A749" t="s">
        <v>303</v>
      </c>
      <c r="B749" t="s">
        <v>821</v>
      </c>
      <c r="C749" t="s">
        <v>199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hidden="1" x14ac:dyDescent="0.2">
      <c r="A750" t="s">
        <v>304</v>
      </c>
      <c r="B750" t="s">
        <v>821</v>
      </c>
      <c r="C750" t="s">
        <v>128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hidden="1" x14ac:dyDescent="0.2">
      <c r="A751" t="s">
        <v>305</v>
      </c>
      <c r="B751" t="s">
        <v>821</v>
      </c>
      <c r="C751" t="s">
        <v>3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hidden="1" x14ac:dyDescent="0.2">
      <c r="A752" t="s">
        <v>306</v>
      </c>
      <c r="B752" t="s">
        <v>821</v>
      </c>
      <c r="C752" t="s">
        <v>2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hidden="1" x14ac:dyDescent="0.2">
      <c r="A753" t="s">
        <v>307</v>
      </c>
      <c r="B753" t="s">
        <v>821</v>
      </c>
      <c r="C753" t="s">
        <v>194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hidden="1" x14ac:dyDescent="0.2">
      <c r="A754" t="s">
        <v>308</v>
      </c>
      <c r="B754" t="s">
        <v>851</v>
      </c>
      <c r="C754" t="s">
        <v>87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hidden="1" x14ac:dyDescent="0.2">
      <c r="A755" t="s">
        <v>308</v>
      </c>
      <c r="B755" t="s">
        <v>848</v>
      </c>
      <c r="C755" t="s">
        <v>87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hidden="1" x14ac:dyDescent="0.2">
      <c r="A756" t="s">
        <v>308</v>
      </c>
      <c r="B756" t="s">
        <v>852</v>
      </c>
      <c r="C756" t="s">
        <v>87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hidden="1" x14ac:dyDescent="0.2">
      <c r="A757" t="s">
        <v>309</v>
      </c>
      <c r="B757" t="s">
        <v>851</v>
      </c>
      <c r="C757" t="s">
        <v>87</v>
      </c>
      <c r="D757">
        <v>0</v>
      </c>
      <c r="E757">
        <v>7.2675107409999993E-5</v>
      </c>
      <c r="F757">
        <v>8.3410508429999995E-5</v>
      </c>
      <c r="G757">
        <v>1.2725847949999999E-6</v>
      </c>
      <c r="H757">
        <v>1.9214481339999999E-5</v>
      </c>
      <c r="I757">
        <v>2.7855341039999999E-5</v>
      </c>
    </row>
    <row r="758" spans="1:9" hidden="1" x14ac:dyDescent="0.2">
      <c r="A758" t="s">
        <v>309</v>
      </c>
      <c r="B758" t="s">
        <v>848</v>
      </c>
      <c r="C758" t="s">
        <v>87</v>
      </c>
      <c r="D758">
        <v>0</v>
      </c>
      <c r="E758">
        <v>1.9716923430000001E-3</v>
      </c>
      <c r="F758">
        <v>4.4708987810000001E-4</v>
      </c>
      <c r="G758">
        <v>1.3190565300000001E-6</v>
      </c>
      <c r="H758">
        <v>2.6323275669999999E-5</v>
      </c>
      <c r="I758">
        <v>3.0499950759999999E-5</v>
      </c>
    </row>
    <row r="759" spans="1:9" hidden="1" x14ac:dyDescent="0.2">
      <c r="A759" t="s">
        <v>309</v>
      </c>
      <c r="B759" t="s">
        <v>852</v>
      </c>
      <c r="C759" t="s">
        <v>87</v>
      </c>
      <c r="D759">
        <v>0</v>
      </c>
      <c r="E759">
        <v>6.937242489E-5</v>
      </c>
      <c r="F759">
        <v>8.196298422E-5</v>
      </c>
      <c r="G759">
        <v>1.0195123179999999E-6</v>
      </c>
      <c r="H759">
        <v>1.637518562E-5</v>
      </c>
      <c r="I759">
        <v>2.190205162E-5</v>
      </c>
    </row>
    <row r="760" spans="1:9" hidden="1" x14ac:dyDescent="0.2">
      <c r="A760" t="s">
        <v>310</v>
      </c>
      <c r="B760" t="s">
        <v>824</v>
      </c>
      <c r="C760" t="s">
        <v>87</v>
      </c>
      <c r="E760">
        <v>8.7041338819999993E-6</v>
      </c>
      <c r="F760">
        <v>8.1967724990000003E-6</v>
      </c>
      <c r="G760">
        <v>2.5412514620000002E-7</v>
      </c>
      <c r="H760">
        <v>5.9439667450000001E-6</v>
      </c>
      <c r="I760">
        <v>1.1980991019999999E-5</v>
      </c>
    </row>
    <row r="761" spans="1:9" hidden="1" x14ac:dyDescent="0.2">
      <c r="A761" t="s">
        <v>311</v>
      </c>
      <c r="B761" t="s">
        <v>828</v>
      </c>
      <c r="C761" t="s">
        <v>87</v>
      </c>
      <c r="D761">
        <v>5.2914527650000001E-2</v>
      </c>
      <c r="E761">
        <v>6.2828189849999994E-2</v>
      </c>
      <c r="F761">
        <v>4.2320012519999999E-3</v>
      </c>
      <c r="G761">
        <v>2.5963346520000002E-7</v>
      </c>
      <c r="H761">
        <v>1.393789221E-5</v>
      </c>
      <c r="I761">
        <v>2.5404600720000002E-5</v>
      </c>
    </row>
    <row r="762" spans="1:9" hidden="1" x14ac:dyDescent="0.2">
      <c r="A762" t="s">
        <v>312</v>
      </c>
      <c r="B762" t="s">
        <v>821</v>
      </c>
      <c r="C762" t="s">
        <v>87</v>
      </c>
      <c r="D762">
        <v>1.0148907579999999</v>
      </c>
      <c r="E762">
        <v>1.1230404709999999</v>
      </c>
      <c r="F762">
        <v>1.1619054289999999</v>
      </c>
      <c r="G762">
        <v>2.9067450030000002</v>
      </c>
      <c r="H762">
        <v>2.9370560530000001</v>
      </c>
      <c r="I762">
        <v>2.967450983</v>
      </c>
    </row>
    <row r="763" spans="1:9" hidden="1" x14ac:dyDescent="0.2">
      <c r="A763" t="s">
        <v>313</v>
      </c>
      <c r="B763" t="s">
        <v>851</v>
      </c>
      <c r="C763" t="s">
        <v>87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hidden="1" x14ac:dyDescent="0.2">
      <c r="A764" t="s">
        <v>313</v>
      </c>
      <c r="B764" t="s">
        <v>848</v>
      </c>
      <c r="C764" t="s">
        <v>87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hidden="1" x14ac:dyDescent="0.2">
      <c r="A765" t="s">
        <v>313</v>
      </c>
      <c r="B765" t="s">
        <v>852</v>
      </c>
      <c r="C765" t="s">
        <v>87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hidden="1" x14ac:dyDescent="0.2">
      <c r="A766" t="s">
        <v>314</v>
      </c>
      <c r="B766" t="s">
        <v>853</v>
      </c>
      <c r="C766" t="s">
        <v>87</v>
      </c>
      <c r="D766">
        <v>3.3636339060000001E-7</v>
      </c>
      <c r="E766">
        <v>13.704159799999999</v>
      </c>
      <c r="F766">
        <v>10.92961427</v>
      </c>
      <c r="G766">
        <v>0</v>
      </c>
      <c r="H766">
        <v>0</v>
      </c>
      <c r="I766">
        <v>0</v>
      </c>
    </row>
    <row r="767" spans="1:9" hidden="1" x14ac:dyDescent="0.2">
      <c r="A767" t="s">
        <v>314</v>
      </c>
      <c r="B767" t="s">
        <v>854</v>
      </c>
      <c r="C767" t="s">
        <v>87</v>
      </c>
      <c r="D767">
        <v>2.833793487E-7</v>
      </c>
      <c r="E767">
        <v>2.3781827039999998E-2</v>
      </c>
      <c r="F767">
        <v>1.944659235E-2</v>
      </c>
      <c r="G767">
        <v>0</v>
      </c>
      <c r="H767">
        <v>0</v>
      </c>
      <c r="I767">
        <v>0</v>
      </c>
    </row>
    <row r="768" spans="1:9" hidden="1" x14ac:dyDescent="0.2">
      <c r="A768" t="s">
        <v>314</v>
      </c>
      <c r="B768" t="s">
        <v>855</v>
      </c>
      <c r="C768" t="s">
        <v>87</v>
      </c>
      <c r="D768">
        <v>2.6984808379999999E-7</v>
      </c>
      <c r="E768">
        <v>2.2930110690000002E-2</v>
      </c>
      <c r="F768">
        <v>1.8632525439999999E-2</v>
      </c>
      <c r="G768">
        <v>0</v>
      </c>
      <c r="H768">
        <v>0</v>
      </c>
      <c r="I768">
        <v>0</v>
      </c>
    </row>
    <row r="769" spans="1:9" hidden="1" x14ac:dyDescent="0.2">
      <c r="A769" t="s">
        <v>315</v>
      </c>
      <c r="B769" t="s">
        <v>847</v>
      </c>
      <c r="C769" t="s">
        <v>316</v>
      </c>
      <c r="D769">
        <v>2.7384728170000001E-7</v>
      </c>
      <c r="E769">
        <v>5.9033847749999996E-7</v>
      </c>
      <c r="F769">
        <v>3.0083222839999999E-7</v>
      </c>
      <c r="G769">
        <v>0</v>
      </c>
      <c r="H769">
        <v>0</v>
      </c>
      <c r="I769">
        <v>7.9439802810000001E-2</v>
      </c>
    </row>
    <row r="770" spans="1:9" hidden="1" x14ac:dyDescent="0.2">
      <c r="A770" t="s">
        <v>317</v>
      </c>
      <c r="B770" t="s">
        <v>833</v>
      </c>
      <c r="C770" t="s">
        <v>318</v>
      </c>
      <c r="D770">
        <v>6.0999999049999998</v>
      </c>
      <c r="E770">
        <v>6.4000000950000002</v>
      </c>
      <c r="F770">
        <v>5.7750000950000002</v>
      </c>
      <c r="G770">
        <v>5.1749997140000001</v>
      </c>
      <c r="H770">
        <v>4.5812497140000001</v>
      </c>
      <c r="I770">
        <v>3.8399999139999998</v>
      </c>
    </row>
    <row r="771" spans="1:9" hidden="1" x14ac:dyDescent="0.2">
      <c r="A771" t="s">
        <v>317</v>
      </c>
      <c r="B771" t="s">
        <v>825</v>
      </c>
      <c r="C771" t="s">
        <v>318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hidden="1" x14ac:dyDescent="0.2">
      <c r="A772" t="s">
        <v>319</v>
      </c>
      <c r="B772" t="s">
        <v>821</v>
      </c>
      <c r="C772" t="s">
        <v>318</v>
      </c>
      <c r="D772">
        <v>9.8999996190000008</v>
      </c>
      <c r="E772">
        <v>7</v>
      </c>
      <c r="F772">
        <v>6.125</v>
      </c>
      <c r="G772">
        <v>5.625</v>
      </c>
      <c r="H772">
        <v>4.7916665079999996</v>
      </c>
      <c r="I772">
        <v>3.9583332539999998</v>
      </c>
    </row>
    <row r="773" spans="1:9" hidden="1" x14ac:dyDescent="0.2">
      <c r="A773" t="s">
        <v>320</v>
      </c>
      <c r="B773" t="s">
        <v>820</v>
      </c>
      <c r="C773" t="s">
        <v>2</v>
      </c>
      <c r="D773">
        <v>0</v>
      </c>
      <c r="E773">
        <v>9.2536434380000004E-2</v>
      </c>
      <c r="F773">
        <v>4.6665294109999998E-2</v>
      </c>
      <c r="G773">
        <v>3.5314132310000003E-2</v>
      </c>
      <c r="H773">
        <v>9.6789847199999998E-4</v>
      </c>
      <c r="I773">
        <v>5.2961460600000005E-4</v>
      </c>
    </row>
    <row r="774" spans="1:9" hidden="1" x14ac:dyDescent="0.2">
      <c r="A774" t="s">
        <v>320</v>
      </c>
      <c r="B774" t="s">
        <v>834</v>
      </c>
      <c r="C774" t="s">
        <v>2</v>
      </c>
      <c r="D774">
        <v>0</v>
      </c>
      <c r="E774">
        <v>-9.2536434380000004E-2</v>
      </c>
      <c r="F774">
        <v>-4.6665294109999998E-2</v>
      </c>
      <c r="G774">
        <v>-3.5314132310000003E-2</v>
      </c>
      <c r="H774">
        <v>-9.6789847199999998E-4</v>
      </c>
      <c r="I774">
        <v>-5.2961460600000005E-4</v>
      </c>
    </row>
    <row r="775" spans="1:9" hidden="1" x14ac:dyDescent="0.2">
      <c r="A775" t="s">
        <v>321</v>
      </c>
      <c r="B775" t="s">
        <v>879</v>
      </c>
      <c r="C775" t="s">
        <v>318</v>
      </c>
      <c r="D775">
        <v>29.369084000000001</v>
      </c>
      <c r="E775">
        <v>29.36910189</v>
      </c>
      <c r="F775">
        <v>1.3075750450000001</v>
      </c>
      <c r="G775">
        <v>22.011863300000002</v>
      </c>
      <c r="H775">
        <v>15.22125333</v>
      </c>
      <c r="I775">
        <v>12.58682192</v>
      </c>
    </row>
    <row r="776" spans="1:9" hidden="1" x14ac:dyDescent="0.2">
      <c r="A776" t="s">
        <v>321</v>
      </c>
      <c r="B776" t="s">
        <v>851</v>
      </c>
      <c r="C776" t="s">
        <v>318</v>
      </c>
      <c r="D776">
        <v>-5.327060619E-7</v>
      </c>
      <c r="E776">
        <v>8.5073017029999999E-5</v>
      </c>
      <c r="F776">
        <v>8.5223762759999998E-5</v>
      </c>
      <c r="G776">
        <v>5.8038104469999997E-2</v>
      </c>
      <c r="H776">
        <v>1.5931010570000001E-4</v>
      </c>
      <c r="I776">
        <v>2.7458006680000001E-2</v>
      </c>
    </row>
    <row r="777" spans="1:9" hidden="1" x14ac:dyDescent="0.2">
      <c r="A777" t="s">
        <v>321</v>
      </c>
      <c r="B777" t="s">
        <v>880</v>
      </c>
      <c r="C777" t="s">
        <v>318</v>
      </c>
      <c r="D777">
        <v>33.118381829999997</v>
      </c>
      <c r="E777">
        <v>33.11840213</v>
      </c>
      <c r="F777">
        <v>1.474501887</v>
      </c>
      <c r="G777">
        <v>24.821928270000001</v>
      </c>
      <c r="H777">
        <v>17.16441962</v>
      </c>
      <c r="I777">
        <v>14.193673049999999</v>
      </c>
    </row>
    <row r="778" spans="1:9" hidden="1" x14ac:dyDescent="0.2">
      <c r="A778" t="s">
        <v>321</v>
      </c>
      <c r="B778" t="s">
        <v>848</v>
      </c>
      <c r="C778" t="s">
        <v>318</v>
      </c>
      <c r="D778">
        <v>0.16714851929999999</v>
      </c>
      <c r="E778">
        <v>0.16703837799999999</v>
      </c>
      <c r="F778">
        <v>7.2760179530000002E-3</v>
      </c>
      <c r="G778">
        <v>5.9767704640000002E-2</v>
      </c>
      <c r="H778">
        <v>8.6310756609999997E-2</v>
      </c>
      <c r="I778">
        <v>2.9010889870000001E-2</v>
      </c>
    </row>
    <row r="779" spans="1:9" hidden="1" x14ac:dyDescent="0.2">
      <c r="A779" t="s">
        <v>321</v>
      </c>
      <c r="B779" t="s">
        <v>821</v>
      </c>
      <c r="C779" t="s">
        <v>318</v>
      </c>
      <c r="D779">
        <v>-8.9366627239999996</v>
      </c>
      <c r="E779">
        <v>-8.936656524</v>
      </c>
      <c r="F779">
        <v>-0.39787758150000002</v>
      </c>
      <c r="G779">
        <v>-6.6979480349999996</v>
      </c>
      <c r="H779">
        <v>-4.6316462339999998</v>
      </c>
      <c r="I779">
        <v>-3.8300165480000001</v>
      </c>
    </row>
    <row r="780" spans="1:9" hidden="1" x14ac:dyDescent="0.2">
      <c r="A780" t="s">
        <v>321</v>
      </c>
      <c r="B780" t="s">
        <v>852</v>
      </c>
      <c r="C780" t="s">
        <v>318</v>
      </c>
      <c r="D780">
        <v>2.0307332679999999E-6</v>
      </c>
      <c r="E780">
        <v>9.1752440840000001E-5</v>
      </c>
      <c r="F780">
        <v>9.1490337709999999E-5</v>
      </c>
      <c r="G780">
        <v>7.4715392449999996E-3</v>
      </c>
      <c r="H780">
        <v>1.5952562669999999E-4</v>
      </c>
      <c r="I780">
        <v>1.5187189199999999E-2</v>
      </c>
    </row>
    <row r="781" spans="1:9" hidden="1" x14ac:dyDescent="0.2">
      <c r="A781" t="s">
        <v>321</v>
      </c>
      <c r="B781" t="s">
        <v>825</v>
      </c>
      <c r="C781" t="s">
        <v>318</v>
      </c>
      <c r="D781">
        <v>-13.221228379999999</v>
      </c>
      <c r="E781">
        <v>-13.221236429999999</v>
      </c>
      <c r="F781">
        <v>-0.58863763979999995</v>
      </c>
      <c r="G781">
        <v>-9.9091913009999999</v>
      </c>
      <c r="H781">
        <v>-6.8522282309999998</v>
      </c>
      <c r="I781">
        <v>-5.6662729829999998</v>
      </c>
    </row>
    <row r="782" spans="1:9" hidden="1" x14ac:dyDescent="0.2">
      <c r="A782" t="s">
        <v>322</v>
      </c>
      <c r="B782" t="s">
        <v>828</v>
      </c>
      <c r="C782" t="s">
        <v>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hidden="1" x14ac:dyDescent="0.2">
      <c r="A783" t="s">
        <v>322</v>
      </c>
      <c r="B783" t="s">
        <v>830</v>
      </c>
      <c r="C783" t="s">
        <v>3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hidden="1" x14ac:dyDescent="0.2">
      <c r="A784" t="s">
        <v>322</v>
      </c>
      <c r="B784" t="s">
        <v>825</v>
      </c>
      <c r="C784" t="s">
        <v>3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hidden="1" x14ac:dyDescent="0.2">
      <c r="A785" t="s">
        <v>323</v>
      </c>
      <c r="B785" t="s">
        <v>828</v>
      </c>
      <c r="C785" t="s">
        <v>199</v>
      </c>
      <c r="D785">
        <v>2.269769108E-6</v>
      </c>
      <c r="E785">
        <v>6.2394415500000001E-6</v>
      </c>
      <c r="F785">
        <v>4.4713254570000002E-6</v>
      </c>
      <c r="G785">
        <v>0</v>
      </c>
      <c r="H785">
        <v>1.6813749619999999E-6</v>
      </c>
      <c r="I785">
        <v>1.2845347049999999E-6</v>
      </c>
    </row>
    <row r="786" spans="1:9" hidden="1" x14ac:dyDescent="0.2">
      <c r="A786" t="s">
        <v>323</v>
      </c>
      <c r="B786" t="s">
        <v>830</v>
      </c>
      <c r="C786" t="s">
        <v>199</v>
      </c>
      <c r="D786">
        <v>2.0695798179999999E-6</v>
      </c>
      <c r="E786">
        <v>1.9618246940000001E-5</v>
      </c>
      <c r="F786">
        <v>7.3377991259999999E-6</v>
      </c>
      <c r="G786">
        <v>0</v>
      </c>
      <c r="H786">
        <v>1.53551117E-6</v>
      </c>
      <c r="I786">
        <v>5.446818867E-6</v>
      </c>
    </row>
    <row r="787" spans="1:9" hidden="1" x14ac:dyDescent="0.2">
      <c r="A787" t="s">
        <v>323</v>
      </c>
      <c r="B787" t="s">
        <v>825</v>
      </c>
      <c r="C787" t="s">
        <v>199</v>
      </c>
      <c r="D787">
        <v>-3.1643649949999999E-6</v>
      </c>
      <c r="E787">
        <v>-8.6347263290000006E-6</v>
      </c>
      <c r="F787">
        <v>-6.2452463410000002E-6</v>
      </c>
      <c r="G787">
        <v>-1.254404277E-7</v>
      </c>
      <c r="H787">
        <v>-2.3548311589999999E-6</v>
      </c>
      <c r="I787">
        <v>-1.767537526E-6</v>
      </c>
    </row>
    <row r="788" spans="1:9" hidden="1" x14ac:dyDescent="0.2">
      <c r="A788" t="s">
        <v>324</v>
      </c>
      <c r="B788" t="s">
        <v>845</v>
      </c>
      <c r="C788" t="s">
        <v>2</v>
      </c>
      <c r="D788">
        <v>4.476278757E-7</v>
      </c>
      <c r="E788">
        <v>2.5783510429999999E-4</v>
      </c>
      <c r="F788">
        <v>8.8406679630000004E-5</v>
      </c>
      <c r="G788">
        <v>1.416711309E-6</v>
      </c>
      <c r="H788">
        <v>3.3176505149999998E-5</v>
      </c>
      <c r="I788">
        <v>9.8980827299999995E-5</v>
      </c>
    </row>
    <row r="789" spans="1:9" hidden="1" x14ac:dyDescent="0.2">
      <c r="A789" t="s">
        <v>324</v>
      </c>
      <c r="B789" t="s">
        <v>821</v>
      </c>
      <c r="C789" t="s">
        <v>2</v>
      </c>
      <c r="D789">
        <v>0</v>
      </c>
      <c r="E789">
        <v>2.6017154680000001E-5</v>
      </c>
      <c r="F789">
        <v>5.5654728859999996E-6</v>
      </c>
      <c r="G789">
        <v>0</v>
      </c>
      <c r="H789">
        <v>2.369833207E-6</v>
      </c>
      <c r="I789">
        <v>7.4047987570000003E-6</v>
      </c>
    </row>
    <row r="790" spans="1:9" hidden="1" x14ac:dyDescent="0.2">
      <c r="A790" t="s">
        <v>324</v>
      </c>
      <c r="B790" t="s">
        <v>825</v>
      </c>
      <c r="C790" t="s">
        <v>2</v>
      </c>
      <c r="D790">
        <v>-4.476278757E-7</v>
      </c>
      <c r="E790">
        <v>-2.8359265430000002E-4</v>
      </c>
      <c r="F790">
        <v>-9.3929426750000004E-5</v>
      </c>
      <c r="G790">
        <v>-1.488747334E-6</v>
      </c>
      <c r="H790">
        <v>-3.4598351549999997E-5</v>
      </c>
      <c r="I790">
        <v>-1.0264386839999999E-4</v>
      </c>
    </row>
    <row r="791" spans="1:9" hidden="1" x14ac:dyDescent="0.2">
      <c r="A791" t="s">
        <v>325</v>
      </c>
      <c r="B791" t="s">
        <v>821</v>
      </c>
      <c r="C791" t="s">
        <v>24</v>
      </c>
      <c r="D791">
        <v>3.0213891730000002E-5</v>
      </c>
      <c r="E791">
        <v>2.584321731E-4</v>
      </c>
      <c r="F791">
        <v>2.687208796E-4</v>
      </c>
      <c r="G791">
        <v>8.9348890339999996E-7</v>
      </c>
      <c r="H791">
        <v>3.8947208539999998E-5</v>
      </c>
      <c r="I791">
        <v>3.1031861090000001</v>
      </c>
    </row>
    <row r="792" spans="1:9" hidden="1" x14ac:dyDescent="0.2">
      <c r="A792" t="s">
        <v>325</v>
      </c>
      <c r="B792" t="s">
        <v>830</v>
      </c>
      <c r="C792" t="s">
        <v>24</v>
      </c>
      <c r="D792">
        <v>6.3447352269999999E-5</v>
      </c>
      <c r="E792">
        <v>5.5693474E-4</v>
      </c>
      <c r="F792">
        <v>5.6668430029999995E-4</v>
      </c>
      <c r="G792">
        <v>1.87648297E-6</v>
      </c>
      <c r="H792">
        <v>8.1794087430000004E-5</v>
      </c>
      <c r="I792">
        <v>6.5166951979999999</v>
      </c>
    </row>
    <row r="793" spans="1:9" hidden="1" x14ac:dyDescent="0.2">
      <c r="A793" t="s">
        <v>325</v>
      </c>
      <c r="B793" t="s">
        <v>825</v>
      </c>
      <c r="C793" t="s">
        <v>24</v>
      </c>
      <c r="D793">
        <v>-9.3643040369999997E-5</v>
      </c>
      <c r="E793">
        <v>-8.0059456670000004E-4</v>
      </c>
      <c r="F793">
        <v>-8.3294500260000005E-4</v>
      </c>
      <c r="G793">
        <v>-2.7698096859999999E-6</v>
      </c>
      <c r="H793">
        <v>-1.207361591E-4</v>
      </c>
      <c r="I793">
        <v>-9.6198767739999997</v>
      </c>
    </row>
    <row r="794" spans="1:9" hidden="1" x14ac:dyDescent="0.2">
      <c r="A794" t="s">
        <v>326</v>
      </c>
      <c r="B794" t="s">
        <v>821</v>
      </c>
      <c r="C794" t="s">
        <v>16</v>
      </c>
      <c r="D794">
        <v>0</v>
      </c>
      <c r="E794">
        <v>2.8306570490000002E-7</v>
      </c>
      <c r="F794">
        <v>1.564495212E-7</v>
      </c>
      <c r="G794">
        <v>1.307221133E-7</v>
      </c>
      <c r="H794">
        <v>9.0647709110000001E-7</v>
      </c>
      <c r="I794">
        <v>1.70935039E-7</v>
      </c>
    </row>
    <row r="795" spans="1:9" hidden="1" x14ac:dyDescent="0.2">
      <c r="A795" t="s">
        <v>326</v>
      </c>
      <c r="B795" t="s">
        <v>830</v>
      </c>
      <c r="C795" t="s">
        <v>16</v>
      </c>
      <c r="D795">
        <v>0</v>
      </c>
      <c r="E795">
        <v>1.5688401239999999E-5</v>
      </c>
      <c r="F795">
        <v>3.1095432490000001E-6</v>
      </c>
      <c r="G795">
        <v>4.4116156599999998E-7</v>
      </c>
      <c r="H795">
        <v>3.2525455019999999E-6</v>
      </c>
      <c r="I795">
        <v>5.6949728240000002E-6</v>
      </c>
    </row>
    <row r="796" spans="1:9" hidden="1" x14ac:dyDescent="0.2">
      <c r="A796" t="s">
        <v>326</v>
      </c>
      <c r="B796" t="s">
        <v>825</v>
      </c>
      <c r="C796" t="s">
        <v>16</v>
      </c>
      <c r="D796">
        <v>-1.195764312E-7</v>
      </c>
      <c r="E796">
        <v>-3.4260805800000002E-7</v>
      </c>
      <c r="F796">
        <v>-5.1283733369999998E-7</v>
      </c>
      <c r="G796">
        <v>-5.7169900340000003E-7</v>
      </c>
      <c r="H796">
        <v>-4.1530946279999997E-6</v>
      </c>
      <c r="I796">
        <v>-5.3306159929999997E-7</v>
      </c>
    </row>
    <row r="797" spans="1:9" hidden="1" x14ac:dyDescent="0.2">
      <c r="A797" t="s">
        <v>327</v>
      </c>
      <c r="B797" t="s">
        <v>828</v>
      </c>
      <c r="C797" t="s">
        <v>113</v>
      </c>
      <c r="D797">
        <v>1.4874654200000001E-5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hidden="1" x14ac:dyDescent="0.2">
      <c r="A798" t="s">
        <v>327</v>
      </c>
      <c r="B798" t="s">
        <v>825</v>
      </c>
      <c r="C798" t="s">
        <v>113</v>
      </c>
      <c r="D798">
        <v>-1.368760101E-5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hidden="1" x14ac:dyDescent="0.2">
      <c r="A799" t="s">
        <v>328</v>
      </c>
      <c r="B799" t="s">
        <v>828</v>
      </c>
      <c r="C799" t="s">
        <v>113</v>
      </c>
      <c r="D799">
        <v>8.8373726109999993E-6</v>
      </c>
      <c r="E799">
        <v>1.204526149E-4</v>
      </c>
      <c r="F799">
        <v>6.9597600420000005E-5</v>
      </c>
      <c r="G799">
        <v>1.721541905E-6</v>
      </c>
      <c r="H799">
        <v>3.1805765120000002E-5</v>
      </c>
      <c r="I799">
        <v>7.1798183889999995E-5</v>
      </c>
    </row>
    <row r="800" spans="1:9" hidden="1" x14ac:dyDescent="0.2">
      <c r="A800" t="s">
        <v>328</v>
      </c>
      <c r="B800" t="s">
        <v>821</v>
      </c>
      <c r="C800" t="s">
        <v>113</v>
      </c>
      <c r="D800">
        <v>-2.7886923029999998E-6</v>
      </c>
      <c r="E800">
        <v>-3.7932040739999999E-5</v>
      </c>
      <c r="F800">
        <v>-2.2053762050000001E-5</v>
      </c>
      <c r="G800">
        <v>-5.4522841330000004E-7</v>
      </c>
      <c r="H800">
        <v>-1.0084815720000001E-5</v>
      </c>
      <c r="I800">
        <v>-2.2860194359999999E-5</v>
      </c>
    </row>
    <row r="801" spans="1:9" hidden="1" x14ac:dyDescent="0.2">
      <c r="A801" t="s">
        <v>328</v>
      </c>
      <c r="B801" t="s">
        <v>825</v>
      </c>
      <c r="C801" t="s">
        <v>113</v>
      </c>
      <c r="D801">
        <v>-4.5255711580000001E-6</v>
      </c>
      <c r="E801">
        <v>-8.3940697410000002E-5</v>
      </c>
      <c r="F801">
        <v>-3.938151073E-5</v>
      </c>
      <c r="G801">
        <v>-8.8033335459999996E-7</v>
      </c>
      <c r="H801">
        <v>-1.6201465169999999E-5</v>
      </c>
      <c r="I801">
        <v>-3.7974017119999997E-5</v>
      </c>
    </row>
    <row r="802" spans="1:9" hidden="1" x14ac:dyDescent="0.2">
      <c r="A802" t="s">
        <v>329</v>
      </c>
      <c r="B802" t="s">
        <v>818</v>
      </c>
      <c r="C802" t="s">
        <v>5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hidden="1" x14ac:dyDescent="0.2">
      <c r="A803" t="s">
        <v>329</v>
      </c>
      <c r="B803" t="s">
        <v>821</v>
      </c>
      <c r="C803" t="s">
        <v>5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hidden="1" x14ac:dyDescent="0.2">
      <c r="A804" t="s">
        <v>329</v>
      </c>
      <c r="B804" t="s">
        <v>825</v>
      </c>
      <c r="C804" t="s">
        <v>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hidden="1" x14ac:dyDescent="0.2">
      <c r="A805" t="s">
        <v>330</v>
      </c>
      <c r="B805" t="s">
        <v>881</v>
      </c>
      <c r="C805" t="s">
        <v>318</v>
      </c>
      <c r="D805">
        <v>1.621576556E-4</v>
      </c>
      <c r="E805">
        <v>1.5917537509999999</v>
      </c>
      <c r="F805">
        <v>2.2391152120000002</v>
      </c>
      <c r="G805">
        <v>0.51789848709999997</v>
      </c>
      <c r="H805">
        <v>0.4143208712</v>
      </c>
      <c r="I805">
        <v>4.879451465E-4</v>
      </c>
    </row>
    <row r="806" spans="1:9" hidden="1" x14ac:dyDescent="0.2">
      <c r="A806" t="s">
        <v>330</v>
      </c>
      <c r="B806" t="s">
        <v>821</v>
      </c>
      <c r="C806" t="s">
        <v>318</v>
      </c>
      <c r="D806">
        <v>-6.0021269210000002E-5</v>
      </c>
      <c r="E806">
        <v>-0.58894369560000004</v>
      </c>
      <c r="F806">
        <v>-0.82847176320000004</v>
      </c>
      <c r="G806">
        <v>-0.19162244019999999</v>
      </c>
      <c r="H806">
        <v>-0.15329872050000001</v>
      </c>
      <c r="I806">
        <v>-1.7894569560000001E-4</v>
      </c>
    </row>
    <row r="807" spans="1:9" hidden="1" x14ac:dyDescent="0.2">
      <c r="A807" t="s">
        <v>330</v>
      </c>
      <c r="B807" t="s">
        <v>825</v>
      </c>
      <c r="C807" t="s">
        <v>318</v>
      </c>
      <c r="D807">
        <v>-7.7854606519999999E-5</v>
      </c>
      <c r="E807">
        <v>-0.76404180030000002</v>
      </c>
      <c r="F807">
        <v>-1.0747753019999999</v>
      </c>
      <c r="G807">
        <v>-0.24859127380000001</v>
      </c>
      <c r="H807">
        <v>-0.1988740182</v>
      </c>
      <c r="I807">
        <v>-2.3421367030000001E-4</v>
      </c>
    </row>
    <row r="808" spans="1:9" hidden="1" x14ac:dyDescent="0.2">
      <c r="A808" t="s">
        <v>331</v>
      </c>
      <c r="B808" t="s">
        <v>817</v>
      </c>
      <c r="C808" t="s">
        <v>318</v>
      </c>
      <c r="D808">
        <v>-1.85702775E-6</v>
      </c>
      <c r="E808">
        <v>-3.6277254890000003E-4</v>
      </c>
      <c r="F808">
        <v>-9.4297250950000006E-5</v>
      </c>
      <c r="G808">
        <v>-5.0216419470000001E-6</v>
      </c>
      <c r="H808">
        <v>-2.772661892E-5</v>
      </c>
      <c r="I808">
        <v>-7.2653276370000002E-5</v>
      </c>
    </row>
    <row r="809" spans="1:9" hidden="1" x14ac:dyDescent="0.2">
      <c r="A809" t="s">
        <v>331</v>
      </c>
      <c r="B809" t="s">
        <v>882</v>
      </c>
      <c r="C809" t="s">
        <v>318</v>
      </c>
      <c r="D809">
        <v>7.3538982030000002E-7</v>
      </c>
      <c r="E809">
        <v>3.6643691809999998E-4</v>
      </c>
      <c r="F809">
        <v>9.5249748460000001E-5</v>
      </c>
      <c r="G809">
        <v>5.0723656050000004E-6</v>
      </c>
      <c r="H809">
        <v>2.8006685789999999E-5</v>
      </c>
      <c r="I809">
        <v>7.3387147869999998E-5</v>
      </c>
    </row>
    <row r="810" spans="1:9" hidden="1" x14ac:dyDescent="0.2">
      <c r="A810" t="s">
        <v>331</v>
      </c>
      <c r="B810" t="s">
        <v>825</v>
      </c>
      <c r="C810" t="s">
        <v>318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hidden="1" x14ac:dyDescent="0.2">
      <c r="A811" t="s">
        <v>332</v>
      </c>
      <c r="B811" t="s">
        <v>820</v>
      </c>
      <c r="C811" t="s">
        <v>128</v>
      </c>
      <c r="D811">
        <v>1.554519969</v>
      </c>
      <c r="E811">
        <v>18.23179549</v>
      </c>
      <c r="F811">
        <v>14.585411690000001</v>
      </c>
      <c r="G811">
        <v>14.58539687</v>
      </c>
      <c r="H811">
        <v>11.171102429999999</v>
      </c>
      <c r="I811">
        <v>1.1061519740000001</v>
      </c>
    </row>
    <row r="812" spans="1:9" hidden="1" x14ac:dyDescent="0.2">
      <c r="A812" t="s">
        <v>332</v>
      </c>
      <c r="B812" t="s">
        <v>821</v>
      </c>
      <c r="C812" t="s">
        <v>128</v>
      </c>
      <c r="D812">
        <v>-0.33090168889999999</v>
      </c>
      <c r="E812">
        <v>-3.8809987420000001</v>
      </c>
      <c r="F812">
        <v>-1.8176778280000001</v>
      </c>
      <c r="G812">
        <v>-3.0743568969999999</v>
      </c>
      <c r="H812">
        <v>-2.059471888</v>
      </c>
      <c r="I812">
        <v>-0.23545982579999999</v>
      </c>
    </row>
    <row r="813" spans="1:9" hidden="1" x14ac:dyDescent="0.2">
      <c r="A813" t="s">
        <v>332</v>
      </c>
      <c r="B813" t="s">
        <v>832</v>
      </c>
      <c r="C813" t="s">
        <v>128</v>
      </c>
      <c r="D813">
        <v>-0.99078709649999996</v>
      </c>
      <c r="E813">
        <v>-11.62007288</v>
      </c>
      <c r="F813">
        <v>-10.58317212</v>
      </c>
      <c r="G813">
        <v>-9.326484035</v>
      </c>
      <c r="H813">
        <v>-7.4384571370000003</v>
      </c>
      <c r="I813">
        <v>-0.70501283680000004</v>
      </c>
    </row>
    <row r="814" spans="1:9" hidden="1" x14ac:dyDescent="0.2">
      <c r="A814" t="s">
        <v>333</v>
      </c>
      <c r="B814" t="s">
        <v>820</v>
      </c>
      <c r="C814" t="s">
        <v>199</v>
      </c>
      <c r="D814">
        <v>1.26968497E-2</v>
      </c>
      <c r="E814">
        <v>1.3212476950000001E-5</v>
      </c>
      <c r="F814">
        <v>2.2739869490000001E-3</v>
      </c>
      <c r="G814">
        <v>2.0160835509999999E-5</v>
      </c>
      <c r="H814">
        <v>1.9855558009999999E-4</v>
      </c>
      <c r="I814">
        <v>6.9232536850000006E-5</v>
      </c>
    </row>
    <row r="815" spans="1:9" hidden="1" x14ac:dyDescent="0.2">
      <c r="A815" t="s">
        <v>333</v>
      </c>
      <c r="B815" t="s">
        <v>821</v>
      </c>
      <c r="C815" t="s">
        <v>199</v>
      </c>
      <c r="D815">
        <v>-2.7015909050000001E-3</v>
      </c>
      <c r="E815">
        <v>-7.2015968829999996E-6</v>
      </c>
      <c r="F815">
        <v>-3.270069302E-4</v>
      </c>
      <c r="G815">
        <v>-3.968089825E-6</v>
      </c>
      <c r="H815">
        <v>-2.7218698769999999E-5</v>
      </c>
      <c r="I815">
        <v>-9.3644490609999996E-6</v>
      </c>
    </row>
    <row r="816" spans="1:9" hidden="1" x14ac:dyDescent="0.2">
      <c r="A816" t="s">
        <v>333</v>
      </c>
      <c r="B816" t="s">
        <v>832</v>
      </c>
      <c r="C816" t="s">
        <v>199</v>
      </c>
      <c r="D816">
        <v>-8.0936055090000004E-3</v>
      </c>
      <c r="E816">
        <v>-4.3304433829999996E-6</v>
      </c>
      <c r="F816">
        <v>-1.606438364E-3</v>
      </c>
      <c r="G816">
        <v>-1.317312091E-5</v>
      </c>
      <c r="H816">
        <v>-1.415979391E-4</v>
      </c>
      <c r="I816">
        <v>-4.958915749E-5</v>
      </c>
    </row>
    <row r="817" spans="1:9" hidden="1" x14ac:dyDescent="0.2">
      <c r="A817" t="s">
        <v>334</v>
      </c>
      <c r="B817" t="s">
        <v>820</v>
      </c>
      <c r="C817" t="s">
        <v>3</v>
      </c>
      <c r="D817">
        <v>9.8014910079999995E-5</v>
      </c>
      <c r="E817">
        <v>1.652540184E-3</v>
      </c>
      <c r="F817">
        <v>3.512514289E-4</v>
      </c>
      <c r="G817">
        <v>9.313830978E-6</v>
      </c>
      <c r="H817">
        <v>5.050277779E-5</v>
      </c>
      <c r="I817">
        <v>3.1348784889999998E-5</v>
      </c>
    </row>
    <row r="818" spans="1:9" hidden="1" x14ac:dyDescent="0.2">
      <c r="A818" t="s">
        <v>334</v>
      </c>
      <c r="B818" t="s">
        <v>821</v>
      </c>
      <c r="C818" t="s">
        <v>3</v>
      </c>
      <c r="D818">
        <v>-2.0132379069999999E-5</v>
      </c>
      <c r="E818">
        <v>-3.3334133090000002E-4</v>
      </c>
      <c r="F818">
        <v>-4.7914489899999998E-5</v>
      </c>
      <c r="G818">
        <v>-1.698010662E-6</v>
      </c>
      <c r="H818">
        <v>-6.7499719800000002E-6</v>
      </c>
      <c r="I818">
        <v>-3.9450200400000002E-6</v>
      </c>
    </row>
    <row r="819" spans="1:9" hidden="1" x14ac:dyDescent="0.2">
      <c r="A819" t="s">
        <v>334</v>
      </c>
      <c r="B819" t="s">
        <v>832</v>
      </c>
      <c r="C819" t="s">
        <v>3</v>
      </c>
      <c r="D819">
        <v>-6.3244019209999998E-5</v>
      </c>
      <c r="E819">
        <v>-1.0719849489999999E-3</v>
      </c>
      <c r="F819">
        <v>-2.5077670410000001E-4</v>
      </c>
      <c r="G819">
        <v>-6.2208265629999997E-6</v>
      </c>
      <c r="H819">
        <v>-3.6188757469999999E-5</v>
      </c>
      <c r="I819">
        <v>-2.2798946539999999E-5</v>
      </c>
    </row>
    <row r="820" spans="1:9" hidden="1" x14ac:dyDescent="0.2">
      <c r="A820" t="s">
        <v>335</v>
      </c>
      <c r="B820" t="s">
        <v>820</v>
      </c>
      <c r="C820" t="s">
        <v>2</v>
      </c>
      <c r="D820">
        <v>6.5368766140000006E-2</v>
      </c>
      <c r="E820">
        <v>5.5396032039999998E-3</v>
      </c>
      <c r="F820">
        <v>1.416751045E-3</v>
      </c>
      <c r="G820">
        <v>1.8221003769999999E-5</v>
      </c>
      <c r="H820">
        <v>1.9403444319999999E-4</v>
      </c>
      <c r="I820">
        <v>7.0072454109999999E-5</v>
      </c>
    </row>
    <row r="821" spans="1:9" hidden="1" x14ac:dyDescent="0.2">
      <c r="A821" t="s">
        <v>335</v>
      </c>
      <c r="B821" t="s">
        <v>821</v>
      </c>
      <c r="C821" t="s">
        <v>2</v>
      </c>
      <c r="D821">
        <v>-1.3914171229999999E-2</v>
      </c>
      <c r="E821">
        <v>-1.1432778439999999E-3</v>
      </c>
      <c r="F821">
        <v>-2.0016407110000001E-4</v>
      </c>
      <c r="G821">
        <v>-3.4590281580000001E-6</v>
      </c>
      <c r="H821">
        <v>-2.5375060390000001E-5</v>
      </c>
      <c r="I821">
        <v>-9.147567195E-6</v>
      </c>
    </row>
    <row r="822" spans="1:9" hidden="1" x14ac:dyDescent="0.2">
      <c r="A822" t="s">
        <v>335</v>
      </c>
      <c r="B822" t="s">
        <v>832</v>
      </c>
      <c r="C822" t="s">
        <v>2</v>
      </c>
      <c r="D822">
        <v>-4.1663903799999999E-2</v>
      </c>
      <c r="E822">
        <v>-3.566919097E-3</v>
      </c>
      <c r="F822">
        <v>-1.004439479E-3</v>
      </c>
      <c r="G822">
        <v>-1.2032892879999999E-5</v>
      </c>
      <c r="H822">
        <v>-1.3959760259999999E-4</v>
      </c>
      <c r="I822">
        <v>-5.0520156390000001E-5</v>
      </c>
    </row>
    <row r="823" spans="1:9" hidden="1" x14ac:dyDescent="0.2">
      <c r="A823" t="s">
        <v>336</v>
      </c>
      <c r="B823" t="s">
        <v>828</v>
      </c>
      <c r="C823" t="s">
        <v>113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hidden="1" x14ac:dyDescent="0.2">
      <c r="A824" t="s">
        <v>336</v>
      </c>
      <c r="B824" t="s">
        <v>817</v>
      </c>
      <c r="C824" t="s">
        <v>113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hidden="1" x14ac:dyDescent="0.2">
      <c r="A825" t="s">
        <v>337</v>
      </c>
      <c r="B825" t="s">
        <v>820</v>
      </c>
      <c r="C825" t="s">
        <v>24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hidden="1" x14ac:dyDescent="0.2">
      <c r="A826" t="s">
        <v>337</v>
      </c>
      <c r="B826" t="s">
        <v>821</v>
      </c>
      <c r="C826" t="s">
        <v>24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hidden="1" x14ac:dyDescent="0.2">
      <c r="A827" t="s">
        <v>337</v>
      </c>
      <c r="B827" t="s">
        <v>825</v>
      </c>
      <c r="C827" t="s">
        <v>24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hidden="1" x14ac:dyDescent="0.2">
      <c r="A828" t="s">
        <v>338</v>
      </c>
      <c r="B828" t="s">
        <v>821</v>
      </c>
      <c r="C828" t="s">
        <v>2</v>
      </c>
      <c r="D828">
        <v>-5.4638979680000004</v>
      </c>
      <c r="E828">
        <v>-2.409913494</v>
      </c>
      <c r="F828">
        <v>-4.0741548090000004</v>
      </c>
      <c r="G828">
        <v>-5.7884478619999999</v>
      </c>
      <c r="H828">
        <v>-8.0069585889999999</v>
      </c>
      <c r="I828">
        <v>-10.289072770000001</v>
      </c>
    </row>
    <row r="829" spans="1:9" hidden="1" x14ac:dyDescent="0.2">
      <c r="A829" t="s">
        <v>338</v>
      </c>
      <c r="B829" t="s">
        <v>826</v>
      </c>
      <c r="C829" t="s">
        <v>2</v>
      </c>
      <c r="D829">
        <v>5.4638979709999997</v>
      </c>
      <c r="E829">
        <v>2.409913494</v>
      </c>
      <c r="F829">
        <v>4.0741548090000004</v>
      </c>
      <c r="G829">
        <v>5.7884478619999999</v>
      </c>
      <c r="H829">
        <v>8.0069585889999999</v>
      </c>
      <c r="I829">
        <v>10.289072770000001</v>
      </c>
    </row>
    <row r="830" spans="1:9" hidden="1" x14ac:dyDescent="0.2">
      <c r="A830" t="s">
        <v>339</v>
      </c>
      <c r="B830" t="s">
        <v>845</v>
      </c>
      <c r="C830" t="s">
        <v>316</v>
      </c>
      <c r="D830">
        <v>9.9997827459999994E-2</v>
      </c>
      <c r="E830">
        <v>0.3996231918</v>
      </c>
      <c r="F830">
        <v>0.92990377759999998</v>
      </c>
      <c r="G830">
        <v>0.93238212320000002</v>
      </c>
      <c r="H830">
        <v>0.93321250280000001</v>
      </c>
      <c r="I830">
        <v>0.93046833610000002</v>
      </c>
    </row>
    <row r="831" spans="1:9" hidden="1" x14ac:dyDescent="0.2">
      <c r="A831" t="s">
        <v>339</v>
      </c>
      <c r="B831" t="s">
        <v>821</v>
      </c>
      <c r="C831" t="s">
        <v>316</v>
      </c>
      <c r="D831">
        <v>7.1427084629999997E-3</v>
      </c>
      <c r="E831">
        <v>2.8544754759999999E-2</v>
      </c>
      <c r="F831">
        <v>6.642173807E-2</v>
      </c>
      <c r="G831">
        <v>6.6598723090000006E-2</v>
      </c>
      <c r="H831">
        <v>6.6658036000000004E-2</v>
      </c>
      <c r="I831">
        <v>6.6462097100000006E-2</v>
      </c>
    </row>
    <row r="832" spans="1:9" hidden="1" x14ac:dyDescent="0.2">
      <c r="A832" t="s">
        <v>339</v>
      </c>
      <c r="B832" t="s">
        <v>825</v>
      </c>
      <c r="C832" t="s">
        <v>316</v>
      </c>
      <c r="D832">
        <v>-0.1071405268</v>
      </c>
      <c r="E832">
        <v>-0.42816768700000002</v>
      </c>
      <c r="F832">
        <v>-0.99632547289999995</v>
      </c>
      <c r="G832">
        <v>-0.99898084629999995</v>
      </c>
      <c r="H832">
        <v>-0.99987053869999998</v>
      </c>
      <c r="I832">
        <v>-0.9969303545</v>
      </c>
    </row>
    <row r="833" spans="1:9" hidden="1" x14ac:dyDescent="0.2">
      <c r="A833" t="s">
        <v>340</v>
      </c>
      <c r="B833" t="s">
        <v>817</v>
      </c>
      <c r="C833" t="s">
        <v>318</v>
      </c>
      <c r="D833">
        <v>-4.4114626230000002</v>
      </c>
      <c r="E833">
        <v>-5.9919386869999999E-4</v>
      </c>
      <c r="F833">
        <v>-4.2290290539999999E-4</v>
      </c>
      <c r="G833">
        <v>-5.4262643959999997</v>
      </c>
      <c r="H833">
        <v>-5.5297158550000001</v>
      </c>
      <c r="I833">
        <v>-5.9392970280000004</v>
      </c>
    </row>
    <row r="834" spans="1:9" hidden="1" x14ac:dyDescent="0.2">
      <c r="A834" t="s">
        <v>340</v>
      </c>
      <c r="B834" t="s">
        <v>881</v>
      </c>
      <c r="C834" t="s">
        <v>318</v>
      </c>
      <c r="D834">
        <v>4.4560217099999999</v>
      </c>
      <c r="E834">
        <v>6.0524633209999999E-4</v>
      </c>
      <c r="F834">
        <v>4.2717465190000002E-4</v>
      </c>
      <c r="G834">
        <v>5.4810751470000003</v>
      </c>
      <c r="H834">
        <v>5.5855715699999999</v>
      </c>
      <c r="I834">
        <v>5.9992899270000004</v>
      </c>
    </row>
    <row r="835" spans="1:9" hidden="1" x14ac:dyDescent="0.2">
      <c r="A835" t="s">
        <v>340</v>
      </c>
      <c r="B835" t="s">
        <v>821</v>
      </c>
      <c r="C835" t="s">
        <v>318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hidden="1" x14ac:dyDescent="0.2">
      <c r="A836" t="s">
        <v>341</v>
      </c>
      <c r="B836" t="s">
        <v>828</v>
      </c>
      <c r="C836" t="s">
        <v>113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hidden="1" x14ac:dyDescent="0.2">
      <c r="A837" t="s">
        <v>341</v>
      </c>
      <c r="B837" t="s">
        <v>821</v>
      </c>
      <c r="C837" t="s">
        <v>113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hidden="1" x14ac:dyDescent="0.2">
      <c r="A838" t="s">
        <v>341</v>
      </c>
      <c r="B838" t="s">
        <v>883</v>
      </c>
      <c r="C838" t="s">
        <v>113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hidden="1" x14ac:dyDescent="0.2">
      <c r="A839" t="s">
        <v>341</v>
      </c>
      <c r="B839" t="s">
        <v>884</v>
      </c>
      <c r="C839" t="s">
        <v>113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hidden="1" x14ac:dyDescent="0.2">
      <c r="A840" t="s">
        <v>341</v>
      </c>
      <c r="B840" t="s">
        <v>825</v>
      </c>
      <c r="C840" t="s">
        <v>113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hidden="1" x14ac:dyDescent="0.2">
      <c r="A841" t="s">
        <v>342</v>
      </c>
      <c r="B841" t="s">
        <v>824</v>
      </c>
      <c r="C841" t="s">
        <v>87</v>
      </c>
      <c r="D841">
        <v>1.5205070830000001E-6</v>
      </c>
      <c r="E841">
        <v>0</v>
      </c>
      <c r="F841">
        <v>2.895550591E-7</v>
      </c>
      <c r="G841">
        <v>0</v>
      </c>
      <c r="H841">
        <v>5.6682236529999995E-7</v>
      </c>
      <c r="I841">
        <v>5.740379107E-7</v>
      </c>
    </row>
    <row r="842" spans="1:9" x14ac:dyDescent="0.2">
      <c r="A842" t="s">
        <v>343</v>
      </c>
      <c r="B842" t="s">
        <v>821</v>
      </c>
      <c r="C842" t="s">
        <v>20</v>
      </c>
      <c r="D842">
        <v>-5.5955157040000003</v>
      </c>
      <c r="E842">
        <v>-32.400568399999997</v>
      </c>
      <c r="F842">
        <v>-54.03473778</v>
      </c>
      <c r="G842">
        <v>-100.73074630000001</v>
      </c>
      <c r="H842">
        <v>-95.09199855</v>
      </c>
      <c r="I842">
        <v>-94.60094033</v>
      </c>
    </row>
    <row r="843" spans="1:9" x14ac:dyDescent="0.2">
      <c r="A843" t="s">
        <v>343</v>
      </c>
      <c r="B843" t="s">
        <v>885</v>
      </c>
      <c r="C843" t="s">
        <v>20</v>
      </c>
      <c r="D843">
        <v>5.5955157040000003</v>
      </c>
      <c r="E843">
        <v>32.400588650000003</v>
      </c>
      <c r="F843">
        <v>54.034741250000003</v>
      </c>
      <c r="G843">
        <v>100.73074630000001</v>
      </c>
      <c r="H843">
        <v>95.091998559999993</v>
      </c>
      <c r="I843">
        <v>94.600947259999998</v>
      </c>
    </row>
    <row r="844" spans="1:9" x14ac:dyDescent="0.2">
      <c r="A844" t="s">
        <v>344</v>
      </c>
      <c r="B844" t="s">
        <v>821</v>
      </c>
      <c r="C844" t="s">
        <v>20</v>
      </c>
      <c r="D844">
        <v>105.9658215</v>
      </c>
      <c r="E844">
        <v>48.471173980000003</v>
      </c>
      <c r="F844">
        <v>24.64231096</v>
      </c>
      <c r="G844">
        <v>18.160537439999999</v>
      </c>
      <c r="H844">
        <v>26.47169405</v>
      </c>
      <c r="I844">
        <v>25.79992884</v>
      </c>
    </row>
    <row r="845" spans="1:9" x14ac:dyDescent="0.2">
      <c r="A845" t="s">
        <v>344</v>
      </c>
      <c r="B845" t="s">
        <v>886</v>
      </c>
      <c r="C845" t="s">
        <v>20</v>
      </c>
      <c r="D845">
        <v>-105.96582189999999</v>
      </c>
      <c r="E845">
        <v>-48.471196569999996</v>
      </c>
      <c r="F845">
        <v>-24.642314469999999</v>
      </c>
      <c r="G845">
        <v>-18.160537439999999</v>
      </c>
      <c r="H845">
        <v>-26.47169405</v>
      </c>
      <c r="I845">
        <v>-25.79993451</v>
      </c>
    </row>
    <row r="846" spans="1:9" hidden="1" x14ac:dyDescent="0.2">
      <c r="A846" t="s">
        <v>345</v>
      </c>
      <c r="B846" t="s">
        <v>847</v>
      </c>
      <c r="C846" t="s">
        <v>199</v>
      </c>
      <c r="D846">
        <v>-2.3519997359999998</v>
      </c>
      <c r="E846">
        <v>-1.337601837</v>
      </c>
      <c r="F846">
        <v>-0.88526700849999995</v>
      </c>
      <c r="G846">
        <v>-0.79706670639999999</v>
      </c>
      <c r="H846">
        <v>-0.9375333871</v>
      </c>
      <c r="I846">
        <v>-1.0322673060000001</v>
      </c>
    </row>
    <row r="847" spans="1:9" hidden="1" x14ac:dyDescent="0.2">
      <c r="A847" t="s">
        <v>345</v>
      </c>
      <c r="B847" t="s">
        <v>859</v>
      </c>
      <c r="C847" t="s">
        <v>199</v>
      </c>
      <c r="D847">
        <v>-1.1903998849999999</v>
      </c>
      <c r="E847">
        <v>-0.7245336429</v>
      </c>
      <c r="F847">
        <v>-0.45889339950000002</v>
      </c>
      <c r="G847">
        <v>-0.41317335389999998</v>
      </c>
      <c r="H847">
        <v>-0.48598669430000002</v>
      </c>
      <c r="I847">
        <v>-0.53509346040000005</v>
      </c>
    </row>
    <row r="848" spans="1:9" hidden="1" x14ac:dyDescent="0.2">
      <c r="A848" t="s">
        <v>345</v>
      </c>
      <c r="B848" t="s">
        <v>848</v>
      </c>
      <c r="C848" t="s">
        <v>199</v>
      </c>
      <c r="D848">
        <v>0.20159999249999999</v>
      </c>
      <c r="E848">
        <v>0.111466934</v>
      </c>
      <c r="F848">
        <v>7.5880046610000002E-2</v>
      </c>
      <c r="G848">
        <v>6.8320003409999996E-2</v>
      </c>
      <c r="H848">
        <v>8.0360004639999996E-2</v>
      </c>
      <c r="I848">
        <v>8.8480086710000003E-2</v>
      </c>
    </row>
    <row r="849" spans="1:9" hidden="1" x14ac:dyDescent="0.2">
      <c r="A849" t="s">
        <v>345</v>
      </c>
      <c r="B849" t="s">
        <v>834</v>
      </c>
      <c r="C849" t="s">
        <v>199</v>
      </c>
      <c r="D849">
        <v>3.1583996339999998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hidden="1" x14ac:dyDescent="0.2">
      <c r="A850" t="s">
        <v>345</v>
      </c>
      <c r="B850" t="s">
        <v>860</v>
      </c>
      <c r="C850" t="s">
        <v>199</v>
      </c>
      <c r="D850">
        <v>-21.091197470000001</v>
      </c>
      <c r="E850">
        <v>-12.261334440000001</v>
      </c>
      <c r="F850">
        <v>-7.9529471159999998</v>
      </c>
      <c r="G850">
        <v>-7.1605870229999997</v>
      </c>
      <c r="H850">
        <v>-8.4224938110000007</v>
      </c>
      <c r="I850">
        <v>-9.2735475829999992</v>
      </c>
    </row>
    <row r="851" spans="1:9" hidden="1" x14ac:dyDescent="0.2">
      <c r="A851" t="s">
        <v>345</v>
      </c>
      <c r="B851" t="s">
        <v>844</v>
      </c>
      <c r="C851" t="s">
        <v>199</v>
      </c>
      <c r="D851">
        <v>119.1263797</v>
      </c>
      <c r="E851">
        <v>69.165071949999998</v>
      </c>
      <c r="F851">
        <v>44.841469050000001</v>
      </c>
      <c r="G851">
        <v>40.373868680000001</v>
      </c>
      <c r="H851">
        <v>47.488936019999997</v>
      </c>
      <c r="I851">
        <v>52.287471549999999</v>
      </c>
    </row>
    <row r="852" spans="1:9" hidden="1" x14ac:dyDescent="0.2">
      <c r="A852" t="s">
        <v>346</v>
      </c>
      <c r="B852" t="s">
        <v>828</v>
      </c>
      <c r="C852" t="s">
        <v>199</v>
      </c>
      <c r="D852">
        <v>2.1057192770000001E-7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hidden="1" x14ac:dyDescent="0.2">
      <c r="A853" t="s">
        <v>346</v>
      </c>
      <c r="B853" t="s">
        <v>827</v>
      </c>
      <c r="C853" t="s">
        <v>199</v>
      </c>
      <c r="D853">
        <v>-5.6005937059999996E-7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hidden="1" x14ac:dyDescent="0.2">
      <c r="A854" t="s">
        <v>346</v>
      </c>
      <c r="B854" t="s">
        <v>821</v>
      </c>
      <c r="C854" t="s">
        <v>199</v>
      </c>
      <c r="D854">
        <v>2.9422578150000001E-7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hidden="1" x14ac:dyDescent="0.2">
      <c r="A855" t="s">
        <v>346</v>
      </c>
      <c r="B855" t="s">
        <v>844</v>
      </c>
      <c r="C855" t="s">
        <v>199</v>
      </c>
      <c r="D855">
        <v>2.322000961E-6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hidden="1" x14ac:dyDescent="0.2">
      <c r="A856" t="s">
        <v>347</v>
      </c>
      <c r="B856" t="s">
        <v>828</v>
      </c>
      <c r="C856" t="s">
        <v>199</v>
      </c>
      <c r="D856">
        <v>5.9364366249999998E-6</v>
      </c>
      <c r="E856">
        <v>21.090998809999999</v>
      </c>
      <c r="F856">
        <v>32.094999780000002</v>
      </c>
      <c r="G856">
        <v>32.094999999999999</v>
      </c>
      <c r="H856">
        <v>25.675999910000002</v>
      </c>
      <c r="I856">
        <v>20.540799100000001</v>
      </c>
    </row>
    <row r="857" spans="1:9" hidden="1" x14ac:dyDescent="0.2">
      <c r="A857" t="s">
        <v>347</v>
      </c>
      <c r="B857" t="s">
        <v>827</v>
      </c>
      <c r="C857" t="s">
        <v>199</v>
      </c>
      <c r="D857">
        <v>-5.7862882719999996E-7</v>
      </c>
      <c r="E857">
        <v>-0.89700070860000003</v>
      </c>
      <c r="F857">
        <v>-1.3650001169999999</v>
      </c>
      <c r="G857">
        <v>-1.365</v>
      </c>
      <c r="H857">
        <v>-1.091999996</v>
      </c>
      <c r="I857">
        <v>-0.87360024309999995</v>
      </c>
    </row>
    <row r="858" spans="1:9" hidden="1" x14ac:dyDescent="0.2">
      <c r="A858" t="s">
        <v>347</v>
      </c>
      <c r="B858" t="s">
        <v>821</v>
      </c>
      <c r="C858" t="s">
        <v>199</v>
      </c>
      <c r="D858">
        <v>9.1882809559999997E-7</v>
      </c>
      <c r="E858">
        <v>3.1740000410000002</v>
      </c>
      <c r="F858">
        <v>4.8300000030000003</v>
      </c>
      <c r="G858">
        <v>4.83</v>
      </c>
      <c r="H858">
        <v>3.8639999860000001</v>
      </c>
      <c r="I858">
        <v>3.0911999319999999</v>
      </c>
    </row>
    <row r="859" spans="1:9" hidden="1" x14ac:dyDescent="0.2">
      <c r="A859" t="s">
        <v>348</v>
      </c>
      <c r="B859" t="s">
        <v>820</v>
      </c>
      <c r="C859" t="s">
        <v>199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hidden="1" x14ac:dyDescent="0.2">
      <c r="A860" t="s">
        <v>348</v>
      </c>
      <c r="B860" t="s">
        <v>821</v>
      </c>
      <c r="C860" t="s">
        <v>199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hidden="1" x14ac:dyDescent="0.2">
      <c r="A861" t="s">
        <v>348</v>
      </c>
      <c r="B861" t="s">
        <v>844</v>
      </c>
      <c r="C861" t="s">
        <v>199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hidden="1" x14ac:dyDescent="0.2">
      <c r="A862" t="s">
        <v>348</v>
      </c>
      <c r="B862" t="s">
        <v>824</v>
      </c>
      <c r="C862" t="s">
        <v>199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hidden="1" x14ac:dyDescent="0.2">
      <c r="A863" t="s">
        <v>349</v>
      </c>
      <c r="B863" t="s">
        <v>828</v>
      </c>
      <c r="C863" t="s">
        <v>199</v>
      </c>
      <c r="D863">
        <v>2.086974306E-7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hidden="1" x14ac:dyDescent="0.2">
      <c r="A864" t="s">
        <v>349</v>
      </c>
      <c r="B864" t="s">
        <v>821</v>
      </c>
      <c r="C864" t="s">
        <v>199</v>
      </c>
      <c r="D864">
        <v>2.086974306E-7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hidden="1" x14ac:dyDescent="0.2">
      <c r="A865" t="s">
        <v>349</v>
      </c>
      <c r="B865" t="s">
        <v>844</v>
      </c>
      <c r="C865" t="s">
        <v>199</v>
      </c>
      <c r="D865">
        <v>2.4488757690000001E-6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hidden="1" x14ac:dyDescent="0.2">
      <c r="A866" t="s">
        <v>350</v>
      </c>
      <c r="B866" t="s">
        <v>828</v>
      </c>
      <c r="C866" t="s">
        <v>199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hidden="1" x14ac:dyDescent="0.2">
      <c r="A867" t="s">
        <v>350</v>
      </c>
      <c r="B867" t="s">
        <v>827</v>
      </c>
      <c r="C867" t="s">
        <v>199</v>
      </c>
      <c r="D867">
        <v>-6.2771609469999997E-7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hidden="1" x14ac:dyDescent="0.2">
      <c r="A868" t="s">
        <v>350</v>
      </c>
      <c r="B868" t="s">
        <v>821</v>
      </c>
      <c r="C868" t="s">
        <v>199</v>
      </c>
      <c r="D868">
        <v>1.1392820729999999E-7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hidden="1" x14ac:dyDescent="0.2">
      <c r="A869" t="s">
        <v>350</v>
      </c>
      <c r="B869" t="s">
        <v>844</v>
      </c>
      <c r="C869" t="s">
        <v>199</v>
      </c>
      <c r="D869">
        <v>7.8628105769999999E-7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hidden="1" x14ac:dyDescent="0.2">
      <c r="A870" t="s">
        <v>351</v>
      </c>
      <c r="B870" t="s">
        <v>851</v>
      </c>
      <c r="C870" t="s">
        <v>352</v>
      </c>
      <c r="D870">
        <v>3.4678766209999998</v>
      </c>
      <c r="E870">
        <v>8.2001902939999994E-5</v>
      </c>
      <c r="F870">
        <v>1.8989750849999999E-4</v>
      </c>
      <c r="G870">
        <v>1.9105333090000001</v>
      </c>
      <c r="H870">
        <v>1.1861890709999999E-4</v>
      </c>
      <c r="I870">
        <v>1.796726104</v>
      </c>
    </row>
    <row r="871" spans="1:9" hidden="1" x14ac:dyDescent="0.2">
      <c r="A871" t="s">
        <v>351</v>
      </c>
      <c r="B871" t="s">
        <v>848</v>
      </c>
      <c r="C871" t="s">
        <v>352</v>
      </c>
      <c r="D871">
        <v>13.582438489999999</v>
      </c>
      <c r="E871">
        <v>11.24984177</v>
      </c>
      <c r="F871">
        <v>9.7967727999999994</v>
      </c>
      <c r="G871">
        <v>7.0933476889999998</v>
      </c>
      <c r="H871">
        <v>8.8234026750000005</v>
      </c>
      <c r="I871">
        <v>6.7447690580000002</v>
      </c>
    </row>
    <row r="872" spans="1:9" hidden="1" x14ac:dyDescent="0.2">
      <c r="A872" t="s">
        <v>351</v>
      </c>
      <c r="B872" t="s">
        <v>852</v>
      </c>
      <c r="C872" t="s">
        <v>352</v>
      </c>
      <c r="D872">
        <v>2.1231727970000002E-6</v>
      </c>
      <c r="E872">
        <v>7.6030746619999999E-5</v>
      </c>
      <c r="F872">
        <v>1.6942192750000001E-4</v>
      </c>
      <c r="G872">
        <v>1.520546016E-2</v>
      </c>
      <c r="H872">
        <v>1.145283795E-4</v>
      </c>
      <c r="I872">
        <v>8.6719349030000004E-2</v>
      </c>
    </row>
    <row r="873" spans="1:9" hidden="1" x14ac:dyDescent="0.2">
      <c r="A873" t="s">
        <v>353</v>
      </c>
      <c r="B873" t="s">
        <v>853</v>
      </c>
      <c r="C873" t="s">
        <v>352</v>
      </c>
      <c r="D873">
        <v>0.23913418980000001</v>
      </c>
    </row>
    <row r="874" spans="1:9" hidden="1" x14ac:dyDescent="0.2">
      <c r="A874" t="s">
        <v>353</v>
      </c>
      <c r="B874" t="s">
        <v>865</v>
      </c>
      <c r="C874" t="s">
        <v>352</v>
      </c>
      <c r="D874">
        <v>1.6918757820000001E-2</v>
      </c>
    </row>
    <row r="875" spans="1:9" hidden="1" x14ac:dyDescent="0.2">
      <c r="A875" t="s">
        <v>353</v>
      </c>
      <c r="B875" t="s">
        <v>854</v>
      </c>
      <c r="C875" t="s">
        <v>352</v>
      </c>
      <c r="D875">
        <v>0.13780637909999999</v>
      </c>
    </row>
    <row r="876" spans="1:9" hidden="1" x14ac:dyDescent="0.2">
      <c r="A876" t="s">
        <v>353</v>
      </c>
      <c r="B876" t="s">
        <v>851</v>
      </c>
      <c r="C876" t="s">
        <v>352</v>
      </c>
      <c r="D876">
        <v>1.700682568</v>
      </c>
      <c r="E876">
        <v>1.1920301220000001E-4</v>
      </c>
      <c r="F876">
        <v>2.2580641499999999E-4</v>
      </c>
      <c r="G876">
        <v>1.9776630799999999</v>
      </c>
      <c r="H876">
        <v>1.646473903E-4</v>
      </c>
      <c r="I876">
        <v>2.0244568300000001</v>
      </c>
    </row>
    <row r="877" spans="1:9" hidden="1" x14ac:dyDescent="0.2">
      <c r="A877" t="s">
        <v>353</v>
      </c>
      <c r="B877" t="s">
        <v>848</v>
      </c>
      <c r="C877" t="s">
        <v>352</v>
      </c>
      <c r="D877">
        <v>2.2916627890000001</v>
      </c>
      <c r="E877">
        <v>5.594565427</v>
      </c>
      <c r="F877">
        <v>5.8931538669999997</v>
      </c>
      <c r="G877">
        <v>4.1995747259999998</v>
      </c>
      <c r="H877">
        <v>6.4909254609999998</v>
      </c>
      <c r="I877">
        <v>4.6784559259999998</v>
      </c>
    </row>
    <row r="878" spans="1:9" hidden="1" x14ac:dyDescent="0.2">
      <c r="A878" t="s">
        <v>353</v>
      </c>
      <c r="B878" t="s">
        <v>850</v>
      </c>
      <c r="C878" t="s">
        <v>352</v>
      </c>
      <c r="D878">
        <v>0.37279954700000001</v>
      </c>
    </row>
    <row r="879" spans="1:9" hidden="1" x14ac:dyDescent="0.2">
      <c r="A879" t="s">
        <v>353</v>
      </c>
      <c r="B879" t="s">
        <v>839</v>
      </c>
      <c r="C879" t="s">
        <v>352</v>
      </c>
      <c r="E879">
        <v>4.0047704070000002E-2</v>
      </c>
      <c r="F879">
        <v>3.995333274E-2</v>
      </c>
      <c r="G879">
        <v>3.9627373680000001E-2</v>
      </c>
      <c r="H879">
        <v>7.3046205899999994E-2</v>
      </c>
      <c r="I879">
        <v>7.6870764450000004E-2</v>
      </c>
    </row>
    <row r="880" spans="1:9" hidden="1" x14ac:dyDescent="0.2">
      <c r="A880" t="s">
        <v>353</v>
      </c>
      <c r="B880" t="s">
        <v>840</v>
      </c>
      <c r="C880" t="s">
        <v>352</v>
      </c>
      <c r="E880">
        <v>0.42863548219999997</v>
      </c>
      <c r="F880">
        <v>0.35125493930000001</v>
      </c>
      <c r="G880">
        <v>0.73529895460000005</v>
      </c>
      <c r="H880">
        <v>0.93208373529999999</v>
      </c>
      <c r="I880">
        <v>1.1795863710000001</v>
      </c>
    </row>
    <row r="881" spans="1:9" hidden="1" x14ac:dyDescent="0.2">
      <c r="A881" t="s">
        <v>353</v>
      </c>
      <c r="B881" t="s">
        <v>841</v>
      </c>
      <c r="C881" t="s">
        <v>352</v>
      </c>
      <c r="E881">
        <v>1.9290951089999999</v>
      </c>
      <c r="F881">
        <v>2.1346316779999999</v>
      </c>
      <c r="G881">
        <v>1.8789867709999999</v>
      </c>
      <c r="H881">
        <v>1.776834971</v>
      </c>
      <c r="I881">
        <v>1.6535667089999999</v>
      </c>
    </row>
    <row r="882" spans="1:9" hidden="1" x14ac:dyDescent="0.2">
      <c r="A882" t="s">
        <v>353</v>
      </c>
      <c r="B882" t="s">
        <v>866</v>
      </c>
      <c r="C882" t="s">
        <v>352</v>
      </c>
      <c r="D882">
        <v>1.7032558180000001E-2</v>
      </c>
    </row>
    <row r="883" spans="1:9" hidden="1" x14ac:dyDescent="0.2">
      <c r="A883" t="s">
        <v>353</v>
      </c>
      <c r="B883" t="s">
        <v>855</v>
      </c>
      <c r="C883" t="s">
        <v>352</v>
      </c>
      <c r="D883">
        <v>1.806598438E-2</v>
      </c>
    </row>
    <row r="884" spans="1:9" hidden="1" x14ac:dyDescent="0.2">
      <c r="A884" t="s">
        <v>353</v>
      </c>
      <c r="B884" t="s">
        <v>852</v>
      </c>
      <c r="C884" t="s">
        <v>352</v>
      </c>
      <c r="D884">
        <v>2.119700172E-6</v>
      </c>
      <c r="E884">
        <v>1.3035490229999999E-4</v>
      </c>
      <c r="F884">
        <v>2.4670671249999999E-4</v>
      </c>
      <c r="G884">
        <v>1.52260912E-2</v>
      </c>
      <c r="H884">
        <v>1.6135455E-4</v>
      </c>
      <c r="I884">
        <v>8.7142566379999994E-2</v>
      </c>
    </row>
    <row r="885" spans="1:9" hidden="1" x14ac:dyDescent="0.2">
      <c r="A885" t="s">
        <v>354</v>
      </c>
      <c r="B885" t="s">
        <v>853</v>
      </c>
      <c r="C885" t="s">
        <v>352</v>
      </c>
      <c r="E885">
        <v>1.3798320959999999</v>
      </c>
      <c r="F885">
        <v>1.28542522</v>
      </c>
      <c r="G885">
        <v>0.68753270570000002</v>
      </c>
      <c r="H885">
        <v>1.0582603799999999</v>
      </c>
      <c r="I885">
        <v>0.84057343039999999</v>
      </c>
    </row>
    <row r="886" spans="1:9" hidden="1" x14ac:dyDescent="0.2">
      <c r="A886" t="s">
        <v>354</v>
      </c>
      <c r="B886" t="s">
        <v>865</v>
      </c>
      <c r="C886" t="s">
        <v>352</v>
      </c>
      <c r="D886">
        <v>1.68756602E-2</v>
      </c>
      <c r="E886">
        <v>2.74007205E-2</v>
      </c>
      <c r="F886">
        <v>2.5936928719999999E-2</v>
      </c>
      <c r="G886">
        <v>4.2093145909999997E-2</v>
      </c>
      <c r="H886">
        <v>2.93745233E-2</v>
      </c>
      <c r="I886">
        <v>3.13797013E-2</v>
      </c>
    </row>
    <row r="887" spans="1:9" hidden="1" x14ac:dyDescent="0.2">
      <c r="A887" t="s">
        <v>354</v>
      </c>
      <c r="B887" t="s">
        <v>819</v>
      </c>
      <c r="C887" t="s">
        <v>352</v>
      </c>
      <c r="E887">
        <v>0.12631768979999999</v>
      </c>
      <c r="F887">
        <v>7.565120669E-2</v>
      </c>
      <c r="G887">
        <v>2.2252872109999999E-2</v>
      </c>
      <c r="H887">
        <v>3.2026485979999998E-2</v>
      </c>
      <c r="I887">
        <v>2.712732067E-2</v>
      </c>
    </row>
    <row r="888" spans="1:9" hidden="1" x14ac:dyDescent="0.2">
      <c r="A888" t="s">
        <v>354</v>
      </c>
      <c r="B888" t="s">
        <v>854</v>
      </c>
      <c r="C888" t="s">
        <v>352</v>
      </c>
      <c r="E888">
        <v>1.6898537139999999E-2</v>
      </c>
      <c r="F888">
        <v>1.4079369689999999E-2</v>
      </c>
      <c r="G888">
        <v>2.365200915E-2</v>
      </c>
      <c r="H888">
        <v>1.078843569E-5</v>
      </c>
      <c r="I888">
        <v>3.5542742799999999E-2</v>
      </c>
    </row>
    <row r="889" spans="1:9" hidden="1" x14ac:dyDescent="0.2">
      <c r="A889" t="s">
        <v>354</v>
      </c>
      <c r="B889" t="s">
        <v>851</v>
      </c>
      <c r="C889" t="s">
        <v>352</v>
      </c>
      <c r="D889">
        <v>5.2207992089999999</v>
      </c>
      <c r="E889">
        <v>1.106403013E-4</v>
      </c>
      <c r="F889">
        <v>2.7715046630000001E-4</v>
      </c>
      <c r="G889">
        <v>2.5527544889999998</v>
      </c>
      <c r="H889">
        <v>1.68929999E-4</v>
      </c>
      <c r="I889">
        <v>2.769275425</v>
      </c>
    </row>
    <row r="890" spans="1:9" hidden="1" x14ac:dyDescent="0.2">
      <c r="A890" t="s">
        <v>354</v>
      </c>
      <c r="B890" t="s">
        <v>848</v>
      </c>
      <c r="C890" t="s">
        <v>352</v>
      </c>
      <c r="D890">
        <v>16.14339103</v>
      </c>
      <c r="E890">
        <v>20.4258107</v>
      </c>
      <c r="F890">
        <v>17.618796209999999</v>
      </c>
      <c r="G890">
        <v>6.6341263560000003</v>
      </c>
      <c r="H890">
        <v>13.24372146</v>
      </c>
      <c r="I890">
        <v>8.3556782900000002</v>
      </c>
    </row>
    <row r="891" spans="1:9" hidden="1" x14ac:dyDescent="0.2">
      <c r="A891" t="s">
        <v>354</v>
      </c>
      <c r="B891" t="s">
        <v>850</v>
      </c>
      <c r="C891" t="s">
        <v>352</v>
      </c>
      <c r="D891">
        <v>0.37858288909999999</v>
      </c>
      <c r="E891">
        <v>0.92863904789999996</v>
      </c>
      <c r="F891">
        <v>0.65624325409999995</v>
      </c>
      <c r="G891">
        <v>0.2129815135</v>
      </c>
      <c r="H891">
        <v>0.37262841880000003</v>
      </c>
      <c r="I891">
        <v>0.302534109</v>
      </c>
    </row>
    <row r="892" spans="1:9" hidden="1" x14ac:dyDescent="0.2">
      <c r="A892" t="s">
        <v>354</v>
      </c>
      <c r="B892" t="s">
        <v>866</v>
      </c>
      <c r="C892" t="s">
        <v>352</v>
      </c>
      <c r="D892">
        <v>1.6979148699999998E-2</v>
      </c>
      <c r="E892">
        <v>2.7229848750000001E-2</v>
      </c>
      <c r="F892">
        <v>2.592705381E-2</v>
      </c>
      <c r="G892">
        <v>4.2193290840000001E-2</v>
      </c>
      <c r="H892">
        <v>2.582712735E-2</v>
      </c>
      <c r="I892">
        <v>2.8469293659999999E-2</v>
      </c>
    </row>
    <row r="893" spans="1:9" hidden="1" x14ac:dyDescent="0.2">
      <c r="A893" t="s">
        <v>354</v>
      </c>
      <c r="B893" t="s">
        <v>855</v>
      </c>
      <c r="C893" t="s">
        <v>352</v>
      </c>
      <c r="E893">
        <v>1.7576242459999999E-2</v>
      </c>
      <c r="F893">
        <v>1.4802719069999999E-2</v>
      </c>
      <c r="G893">
        <v>2.4138127200000001E-2</v>
      </c>
      <c r="H893">
        <v>1.049994224E-5</v>
      </c>
      <c r="I893">
        <v>2.0275349080000001E-2</v>
      </c>
    </row>
    <row r="894" spans="1:9" hidden="1" x14ac:dyDescent="0.2">
      <c r="A894" t="s">
        <v>354</v>
      </c>
      <c r="B894" t="s">
        <v>852</v>
      </c>
      <c r="C894" t="s">
        <v>352</v>
      </c>
      <c r="D894">
        <v>2.1377026600000002E-6</v>
      </c>
      <c r="E894">
        <v>1.014184708E-4</v>
      </c>
      <c r="F894">
        <v>2.6533878690000002E-4</v>
      </c>
      <c r="G894">
        <v>1.54470293E-2</v>
      </c>
      <c r="H894">
        <v>1.6288923099999999E-4</v>
      </c>
      <c r="I894">
        <v>9.3093953100000001E-2</v>
      </c>
    </row>
    <row r="895" spans="1:9" hidden="1" x14ac:dyDescent="0.2">
      <c r="A895" t="s">
        <v>355</v>
      </c>
      <c r="B895" t="s">
        <v>851</v>
      </c>
      <c r="C895" t="s">
        <v>352</v>
      </c>
      <c r="D895">
        <v>2.159490971E-7</v>
      </c>
      <c r="E895">
        <v>5.1257450689999996E-7</v>
      </c>
      <c r="F895">
        <v>1.3428343999999999E-6</v>
      </c>
      <c r="G895">
        <v>1.0446423309999999E-7</v>
      </c>
      <c r="H895">
        <v>4.42045276E-6</v>
      </c>
      <c r="I895">
        <v>7.5691453509999997E-7</v>
      </c>
    </row>
    <row r="896" spans="1:9" hidden="1" x14ac:dyDescent="0.2">
      <c r="A896" t="s">
        <v>355</v>
      </c>
      <c r="B896" t="s">
        <v>848</v>
      </c>
      <c r="C896" t="s">
        <v>352</v>
      </c>
      <c r="D896">
        <v>2.514119152E-7</v>
      </c>
      <c r="E896">
        <v>6.3002674980000001E-7</v>
      </c>
      <c r="F896">
        <v>1.422919307E-6</v>
      </c>
      <c r="G896">
        <v>1.0475440589999999E-7</v>
      </c>
      <c r="H896">
        <v>4.7610005080000004E-6</v>
      </c>
      <c r="I896">
        <v>8.7512237200000005E-7</v>
      </c>
    </row>
    <row r="897" spans="1:9" hidden="1" x14ac:dyDescent="0.2">
      <c r="A897" t="s">
        <v>355</v>
      </c>
      <c r="B897" t="s">
        <v>852</v>
      </c>
      <c r="C897" t="s">
        <v>352</v>
      </c>
      <c r="D897">
        <v>0</v>
      </c>
      <c r="E897">
        <v>4.416819355E-7</v>
      </c>
      <c r="F897">
        <v>9.2298495140000002E-7</v>
      </c>
      <c r="G897">
        <v>1.036104723E-7</v>
      </c>
      <c r="H897">
        <v>4.3859482409999998E-6</v>
      </c>
      <c r="I897">
        <v>6.4047456730000003E-7</v>
      </c>
    </row>
    <row r="898" spans="1:9" hidden="1" x14ac:dyDescent="0.2">
      <c r="A898" t="s">
        <v>356</v>
      </c>
      <c r="B898" t="s">
        <v>851</v>
      </c>
      <c r="C898" t="s">
        <v>352</v>
      </c>
      <c r="D898">
        <v>1.8411099400000001E-6</v>
      </c>
      <c r="E898">
        <v>8.1634566870000008E-6</v>
      </c>
      <c r="F898">
        <v>9.5947907370000006E-6</v>
      </c>
      <c r="G898">
        <v>2.7394777570000001E-7</v>
      </c>
      <c r="H898">
        <v>5.9076408969999996E-6</v>
      </c>
      <c r="I898">
        <v>7.8048197869999993E-6</v>
      </c>
    </row>
    <row r="899" spans="1:9" hidden="1" x14ac:dyDescent="0.2">
      <c r="A899" t="s">
        <v>356</v>
      </c>
      <c r="B899" t="s">
        <v>848</v>
      </c>
      <c r="C899" t="s">
        <v>352</v>
      </c>
      <c r="D899">
        <v>1.873802742E-6</v>
      </c>
      <c r="E899">
        <v>1.6040531190000002E-5</v>
      </c>
      <c r="F899">
        <v>1.057142908E-5</v>
      </c>
      <c r="G899">
        <v>2.765243306E-7</v>
      </c>
      <c r="H899">
        <v>6.4580825280000002E-6</v>
      </c>
      <c r="I899">
        <v>8.4083181070000002E-6</v>
      </c>
    </row>
    <row r="900" spans="1:9" hidden="1" x14ac:dyDescent="0.2">
      <c r="A900" t="s">
        <v>356</v>
      </c>
      <c r="B900" t="s">
        <v>839</v>
      </c>
      <c r="C900" t="s">
        <v>352</v>
      </c>
      <c r="D900">
        <v>5.5687634869999997E-7</v>
      </c>
      <c r="E900">
        <v>3.8492255489999997E-6</v>
      </c>
      <c r="F900">
        <v>2.8941811140000001E-6</v>
      </c>
      <c r="G900">
        <v>0</v>
      </c>
      <c r="H900">
        <v>1.855982845E-6</v>
      </c>
      <c r="I900">
        <v>2.211335313E-6</v>
      </c>
    </row>
    <row r="901" spans="1:9" hidden="1" x14ac:dyDescent="0.2">
      <c r="A901" t="s">
        <v>356</v>
      </c>
      <c r="B901" t="s">
        <v>840</v>
      </c>
      <c r="C901" t="s">
        <v>352</v>
      </c>
      <c r="D901">
        <v>5.8521636809999997E-7</v>
      </c>
      <c r="E901">
        <v>4.0556461559999999E-6</v>
      </c>
      <c r="F901">
        <v>3.4312229770000001E-6</v>
      </c>
      <c r="G901">
        <v>0</v>
      </c>
      <c r="H901">
        <v>1.929332136E-6</v>
      </c>
      <c r="I901">
        <v>2.373503146E-6</v>
      </c>
    </row>
    <row r="902" spans="1:9" hidden="1" x14ac:dyDescent="0.2">
      <c r="A902" t="s">
        <v>356</v>
      </c>
      <c r="B902" t="s">
        <v>841</v>
      </c>
      <c r="C902" t="s">
        <v>352</v>
      </c>
      <c r="D902">
        <v>6.2835354600000004E-7</v>
      </c>
      <c r="E902">
        <v>4.9013527379999996E-6</v>
      </c>
      <c r="F902">
        <v>3.63628628E-6</v>
      </c>
      <c r="G902">
        <v>0</v>
      </c>
      <c r="H902">
        <v>1.9508194059999999E-6</v>
      </c>
      <c r="I902">
        <v>2.5787759E-6</v>
      </c>
    </row>
    <row r="903" spans="1:9" hidden="1" x14ac:dyDescent="0.2">
      <c r="A903" t="s">
        <v>356</v>
      </c>
      <c r="B903" t="s">
        <v>852</v>
      </c>
      <c r="C903" t="s">
        <v>352</v>
      </c>
      <c r="D903">
        <v>4.0725160419999998E-7</v>
      </c>
      <c r="E903">
        <v>7.789419346E-6</v>
      </c>
      <c r="F903">
        <v>6.9745723339999999E-6</v>
      </c>
      <c r="G903">
        <v>2.448729854E-7</v>
      </c>
      <c r="H903">
        <v>5.3959965660000001E-6</v>
      </c>
      <c r="I903">
        <v>6.8791121240000003E-6</v>
      </c>
    </row>
    <row r="904" spans="1:9" hidden="1" x14ac:dyDescent="0.2">
      <c r="A904" t="s">
        <v>357</v>
      </c>
      <c r="B904" t="s">
        <v>821</v>
      </c>
      <c r="C904" t="s">
        <v>352</v>
      </c>
      <c r="D904">
        <v>1.8910243699999999E-7</v>
      </c>
      <c r="E904">
        <v>1.620488189E-6</v>
      </c>
      <c r="F904">
        <v>1.651277838E-6</v>
      </c>
      <c r="G904">
        <v>0</v>
      </c>
      <c r="H904">
        <v>1.7465999049999999E-6</v>
      </c>
      <c r="I904">
        <v>9.4081782819999998E-7</v>
      </c>
    </row>
    <row r="905" spans="1:9" hidden="1" x14ac:dyDescent="0.2">
      <c r="A905" t="s">
        <v>358</v>
      </c>
      <c r="B905" t="s">
        <v>820</v>
      </c>
      <c r="C905" t="s">
        <v>16</v>
      </c>
      <c r="D905">
        <v>16.00000026</v>
      </c>
      <c r="E905">
        <v>11.844510700000001</v>
      </c>
      <c r="F905">
        <v>11.305710599999999</v>
      </c>
      <c r="G905">
        <v>11.306959920000001</v>
      </c>
      <c r="H905">
        <v>11.31185193</v>
      </c>
      <c r="I905">
        <v>11.30431063</v>
      </c>
    </row>
    <row r="906" spans="1:9" hidden="1" x14ac:dyDescent="0.2">
      <c r="A906" t="s">
        <v>358</v>
      </c>
      <c r="B906" t="s">
        <v>825</v>
      </c>
      <c r="C906" t="s">
        <v>16</v>
      </c>
      <c r="D906">
        <v>-9.9772851930000002</v>
      </c>
      <c r="E906">
        <v>-7.3860036329999996</v>
      </c>
      <c r="F906">
        <v>-7.0500185750000002</v>
      </c>
      <c r="G906">
        <v>-7.05079761</v>
      </c>
      <c r="H906">
        <v>-7.0538481739999996</v>
      </c>
      <c r="I906">
        <v>-7.0491456010000002</v>
      </c>
    </row>
    <row r="907" spans="1:9" hidden="1" x14ac:dyDescent="0.2">
      <c r="A907" t="s">
        <v>359</v>
      </c>
      <c r="B907" t="s">
        <v>833</v>
      </c>
      <c r="C907" t="s">
        <v>194</v>
      </c>
      <c r="D907">
        <v>8.6450001200000006</v>
      </c>
      <c r="E907">
        <v>6.0126501970000001</v>
      </c>
      <c r="F907">
        <v>5.3471600099999996</v>
      </c>
      <c r="G907">
        <v>4.8807848580000002</v>
      </c>
      <c r="H907">
        <v>4.1801873929999998</v>
      </c>
      <c r="I907">
        <v>3.432546796</v>
      </c>
    </row>
    <row r="908" spans="1:9" hidden="1" x14ac:dyDescent="0.2">
      <c r="A908" t="s">
        <v>359</v>
      </c>
      <c r="B908" t="s">
        <v>832</v>
      </c>
      <c r="C908" t="s">
        <v>194</v>
      </c>
      <c r="D908">
        <v>0.26338820419999998</v>
      </c>
      <c r="E908">
        <v>0.14403514019999999</v>
      </c>
      <c r="F908">
        <v>0.1260200635</v>
      </c>
      <c r="G908">
        <v>0.119133926</v>
      </c>
      <c r="H908">
        <v>0.10140001329999999</v>
      </c>
      <c r="I908">
        <v>8.2872538620000005E-2</v>
      </c>
    </row>
    <row r="909" spans="1:9" hidden="1" x14ac:dyDescent="0.2">
      <c r="A909" t="s">
        <v>359</v>
      </c>
      <c r="B909" t="s">
        <v>846</v>
      </c>
      <c r="C909" t="s">
        <v>194</v>
      </c>
      <c r="D909">
        <v>2.370494114</v>
      </c>
      <c r="E909">
        <v>1.296316451</v>
      </c>
      <c r="F909">
        <v>1.134180744</v>
      </c>
      <c r="G909">
        <v>1.072205487</v>
      </c>
      <c r="H909">
        <v>0.91260025330000005</v>
      </c>
      <c r="I909">
        <v>0.74585295839999999</v>
      </c>
    </row>
    <row r="910" spans="1:9" hidden="1" x14ac:dyDescent="0.2">
      <c r="A910" t="s">
        <v>359</v>
      </c>
      <c r="B910" t="s">
        <v>825</v>
      </c>
      <c r="C910" t="s">
        <v>194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hidden="1" x14ac:dyDescent="0.2">
      <c r="A911" t="s">
        <v>360</v>
      </c>
      <c r="B911" t="s">
        <v>821</v>
      </c>
      <c r="C911" t="s">
        <v>194</v>
      </c>
      <c r="D911">
        <v>0</v>
      </c>
      <c r="E911">
        <v>1.0800131340000001</v>
      </c>
      <c r="F911">
        <v>0.26887268009999998</v>
      </c>
      <c r="G911">
        <v>0</v>
      </c>
      <c r="H911">
        <v>0</v>
      </c>
      <c r="I911">
        <v>0</v>
      </c>
    </row>
    <row r="912" spans="1:9" hidden="1" x14ac:dyDescent="0.2">
      <c r="A912" t="s">
        <v>361</v>
      </c>
      <c r="B912" t="s">
        <v>828</v>
      </c>
      <c r="C912" t="s">
        <v>3</v>
      </c>
      <c r="D912">
        <v>0</v>
      </c>
      <c r="E912">
        <v>4.7027525399999996</v>
      </c>
      <c r="F912">
        <v>5.5692119709999997</v>
      </c>
      <c r="G912">
        <v>6.9905273230000002</v>
      </c>
      <c r="H912">
        <v>5.6871959939999996</v>
      </c>
      <c r="I912">
        <v>4.7446063179999998</v>
      </c>
    </row>
    <row r="913" spans="1:9" hidden="1" x14ac:dyDescent="0.2">
      <c r="A913" t="s">
        <v>361</v>
      </c>
      <c r="B913" t="s">
        <v>867</v>
      </c>
      <c r="C913" t="s">
        <v>3</v>
      </c>
      <c r="D913">
        <v>0</v>
      </c>
      <c r="E913">
        <v>-1.6086044780000001E-6</v>
      </c>
      <c r="F913">
        <v>-5.2619504589999997E-6</v>
      </c>
      <c r="G913">
        <v>0</v>
      </c>
      <c r="H913">
        <v>-2.629962042E-6</v>
      </c>
      <c r="I913">
        <v>-5.270914143E-6</v>
      </c>
    </row>
    <row r="914" spans="1:9" hidden="1" x14ac:dyDescent="0.2">
      <c r="A914" t="s">
        <v>361</v>
      </c>
      <c r="B914" t="s">
        <v>821</v>
      </c>
      <c r="C914" t="s">
        <v>3</v>
      </c>
      <c r="D914">
        <v>0</v>
      </c>
      <c r="E914">
        <v>-3.3366361200000001</v>
      </c>
      <c r="F914">
        <v>-3.8754351200000001</v>
      </c>
      <c r="G914">
        <v>-4.6849166550000003</v>
      </c>
      <c r="H914">
        <v>-3.8094165790000001</v>
      </c>
      <c r="I914">
        <v>-3.1780480459999998</v>
      </c>
    </row>
    <row r="915" spans="1:9" hidden="1" x14ac:dyDescent="0.2">
      <c r="A915" t="s">
        <v>361</v>
      </c>
      <c r="B915" t="s">
        <v>839</v>
      </c>
      <c r="C915" t="s">
        <v>3</v>
      </c>
      <c r="D915">
        <v>0</v>
      </c>
      <c r="E915">
        <v>2.2903190579999998E-6</v>
      </c>
      <c r="F915">
        <v>3.7626049340000001E-4</v>
      </c>
      <c r="G915">
        <v>1.4124800580000001E-5</v>
      </c>
      <c r="H915">
        <v>1.0897649870000001E-4</v>
      </c>
      <c r="I915">
        <v>6.3498592869999995E-5</v>
      </c>
    </row>
    <row r="916" spans="1:9" hidden="1" x14ac:dyDescent="0.2">
      <c r="A916" t="s">
        <v>361</v>
      </c>
      <c r="B916" t="s">
        <v>840</v>
      </c>
      <c r="C916" t="s">
        <v>3</v>
      </c>
      <c r="D916">
        <v>0</v>
      </c>
      <c r="E916">
        <v>4.3161539159999998E-4</v>
      </c>
      <c r="F916">
        <v>1.269143137E-4</v>
      </c>
      <c r="G916">
        <v>1.3053899120000001E-6</v>
      </c>
      <c r="H916">
        <v>3.7751250040000001E-5</v>
      </c>
      <c r="I916">
        <v>7.5660254620000001E-5</v>
      </c>
    </row>
    <row r="917" spans="1:9" hidden="1" x14ac:dyDescent="0.2">
      <c r="A917" t="s">
        <v>361</v>
      </c>
      <c r="B917" t="s">
        <v>841</v>
      </c>
      <c r="C917" t="s">
        <v>3</v>
      </c>
      <c r="D917">
        <v>0</v>
      </c>
      <c r="E917">
        <v>133.29113219999999</v>
      </c>
      <c r="F917">
        <v>154.52901879999999</v>
      </c>
      <c r="G917">
        <v>185.51215619999999</v>
      </c>
      <c r="H917">
        <v>150.9873125</v>
      </c>
      <c r="I917">
        <v>125.96282170000001</v>
      </c>
    </row>
    <row r="918" spans="1:9" hidden="1" x14ac:dyDescent="0.2">
      <c r="A918" t="s">
        <v>361</v>
      </c>
      <c r="B918" t="s">
        <v>858</v>
      </c>
      <c r="C918" t="s">
        <v>3</v>
      </c>
      <c r="D918">
        <v>0</v>
      </c>
      <c r="E918">
        <v>-0.49676799379999997</v>
      </c>
      <c r="F918">
        <v>-6.4068741930000002</v>
      </c>
      <c r="G918">
        <v>-12.92826331</v>
      </c>
      <c r="H918">
        <v>-10.51861594</v>
      </c>
      <c r="I918">
        <v>-8.7752707379999997</v>
      </c>
    </row>
    <row r="919" spans="1:9" hidden="1" x14ac:dyDescent="0.2">
      <c r="A919" t="s">
        <v>361</v>
      </c>
      <c r="B919" t="s">
        <v>868</v>
      </c>
      <c r="C919" t="s">
        <v>3</v>
      </c>
      <c r="D919">
        <v>0</v>
      </c>
      <c r="E919">
        <v>0</v>
      </c>
      <c r="F919">
        <v>-1.560000616E-5</v>
      </c>
      <c r="G919">
        <v>-9.8435134870000006E-7</v>
      </c>
      <c r="H919">
        <v>-7.5919090020000004E-6</v>
      </c>
      <c r="I919">
        <v>-4.4236651460000001E-6</v>
      </c>
    </row>
    <row r="920" spans="1:9" hidden="1" x14ac:dyDescent="0.2">
      <c r="A920" t="s">
        <v>361</v>
      </c>
      <c r="B920" t="s">
        <v>825</v>
      </c>
      <c r="C920" t="s">
        <v>3</v>
      </c>
      <c r="D920">
        <v>0</v>
      </c>
      <c r="E920">
        <v>-10.018187340000001</v>
      </c>
      <c r="F920">
        <v>-11.607894659999999</v>
      </c>
      <c r="G920">
        <v>-13.85471982</v>
      </c>
      <c r="H920">
        <v>-11.27456093</v>
      </c>
      <c r="I920">
        <v>-9.405927385</v>
      </c>
    </row>
    <row r="921" spans="1:9" hidden="1" x14ac:dyDescent="0.2">
      <c r="A921" t="s">
        <v>361</v>
      </c>
      <c r="B921" t="s">
        <v>824</v>
      </c>
      <c r="C921" t="s">
        <v>3</v>
      </c>
      <c r="D921">
        <v>0</v>
      </c>
      <c r="E921">
        <v>9.1405610300000006</v>
      </c>
      <c r="F921">
        <v>10.63213191</v>
      </c>
      <c r="G921">
        <v>12.83351326</v>
      </c>
      <c r="H921">
        <v>10.44169746</v>
      </c>
      <c r="I921">
        <v>8.7111018209999997</v>
      </c>
    </row>
    <row r="922" spans="1:9" hidden="1" x14ac:dyDescent="0.2">
      <c r="A922" t="s">
        <v>362</v>
      </c>
      <c r="B922" t="s">
        <v>853</v>
      </c>
      <c r="C922" t="s">
        <v>352</v>
      </c>
      <c r="D922">
        <v>3.1164139889999997E-7</v>
      </c>
      <c r="E922">
        <v>2.239221207E-6</v>
      </c>
      <c r="F922">
        <v>1.9704055350000001E-6</v>
      </c>
      <c r="G922">
        <v>0</v>
      </c>
      <c r="H922">
        <v>1.2345068210000001E-6</v>
      </c>
      <c r="I922">
        <v>1.3480715919999999E-6</v>
      </c>
    </row>
    <row r="923" spans="1:9" hidden="1" x14ac:dyDescent="0.2">
      <c r="A923" t="s">
        <v>362</v>
      </c>
      <c r="B923" t="s">
        <v>865</v>
      </c>
      <c r="C923" t="s">
        <v>352</v>
      </c>
      <c r="D923">
        <v>2.9527412510000003E-7</v>
      </c>
      <c r="E923">
        <v>2.5402699849999999E-6</v>
      </c>
      <c r="F923">
        <v>2.289531332E-6</v>
      </c>
      <c r="G923">
        <v>0</v>
      </c>
      <c r="H923">
        <v>1.2826682870000001E-6</v>
      </c>
      <c r="I923">
        <v>1.5247897710000001E-6</v>
      </c>
    </row>
    <row r="924" spans="1:9" hidden="1" x14ac:dyDescent="0.2">
      <c r="A924" t="s">
        <v>362</v>
      </c>
      <c r="B924" t="s">
        <v>854</v>
      </c>
      <c r="C924" t="s">
        <v>352</v>
      </c>
      <c r="D924">
        <v>2.731235298E-7</v>
      </c>
      <c r="E924">
        <v>2.2377397710000001E-6</v>
      </c>
      <c r="F924">
        <v>1.9629844920000002E-6</v>
      </c>
      <c r="G924">
        <v>0</v>
      </c>
      <c r="H924">
        <v>9.100719388E-7</v>
      </c>
      <c r="I924">
        <v>1.177042493E-6</v>
      </c>
    </row>
    <row r="925" spans="1:9" hidden="1" x14ac:dyDescent="0.2">
      <c r="A925" t="s">
        <v>362</v>
      </c>
      <c r="B925" t="s">
        <v>851</v>
      </c>
      <c r="C925" t="s">
        <v>352</v>
      </c>
      <c r="D925">
        <v>3.4618302909999999E-6</v>
      </c>
      <c r="E925">
        <v>1.6694616770000002E-5</v>
      </c>
      <c r="F925">
        <v>1.8198857359999999E-5</v>
      </c>
      <c r="G925">
        <v>2.1668290969999999E-7</v>
      </c>
      <c r="H925">
        <v>8.5807185939999993E-6</v>
      </c>
      <c r="I925">
        <v>9.8935507289999999E-6</v>
      </c>
    </row>
    <row r="926" spans="1:9" hidden="1" x14ac:dyDescent="0.2">
      <c r="A926" t="s">
        <v>362</v>
      </c>
      <c r="B926" t="s">
        <v>848</v>
      </c>
      <c r="C926" t="s">
        <v>352</v>
      </c>
      <c r="D926">
        <v>3.6185889299999998E-6</v>
      </c>
      <c r="E926">
        <v>3.0021956940000002E-5</v>
      </c>
      <c r="F926">
        <v>2.1911284869999999E-5</v>
      </c>
      <c r="G926">
        <v>2.192895882E-7</v>
      </c>
      <c r="H926">
        <v>9.7510913539999995E-6</v>
      </c>
      <c r="I926">
        <v>1.083587136E-5</v>
      </c>
    </row>
    <row r="927" spans="1:9" hidden="1" x14ac:dyDescent="0.2">
      <c r="A927" t="s">
        <v>362</v>
      </c>
      <c r="B927" t="s">
        <v>850</v>
      </c>
      <c r="C927" t="s">
        <v>352</v>
      </c>
      <c r="D927">
        <v>3.758096845E-7</v>
      </c>
      <c r="E927">
        <v>2.8276111340000002E-6</v>
      </c>
      <c r="F927">
        <v>2.4500330719999999E-6</v>
      </c>
      <c r="G927">
        <v>0</v>
      </c>
      <c r="H927">
        <v>1.3079389620000001E-6</v>
      </c>
      <c r="I927">
        <v>1.4938561109999999E-6</v>
      </c>
    </row>
    <row r="928" spans="1:9" hidden="1" x14ac:dyDescent="0.2">
      <c r="A928" t="s">
        <v>362</v>
      </c>
      <c r="B928" t="s">
        <v>866</v>
      </c>
      <c r="C928" t="s">
        <v>352</v>
      </c>
      <c r="D928">
        <v>2.8649698380000001E-7</v>
      </c>
      <c r="E928">
        <v>2.1793456670000002E-6</v>
      </c>
      <c r="F928">
        <v>2.197368053E-6</v>
      </c>
      <c r="G928">
        <v>0</v>
      </c>
      <c r="H928">
        <v>1.3269681449999999E-6</v>
      </c>
      <c r="I928">
        <v>1.8454064779999999E-6</v>
      </c>
    </row>
    <row r="929" spans="1:9" hidden="1" x14ac:dyDescent="0.2">
      <c r="A929" t="s">
        <v>362</v>
      </c>
      <c r="B929" t="s">
        <v>855</v>
      </c>
      <c r="C929" t="s">
        <v>352</v>
      </c>
      <c r="D929">
        <v>2.5878118600000001E-7</v>
      </c>
      <c r="E929">
        <v>2.0174018279999998E-6</v>
      </c>
      <c r="F929">
        <v>1.7737346220000001E-6</v>
      </c>
      <c r="G929">
        <v>0</v>
      </c>
      <c r="H929">
        <v>9.0420313709999998E-7</v>
      </c>
      <c r="I929">
        <v>1.2333836460000001E-6</v>
      </c>
    </row>
    <row r="930" spans="1:9" hidden="1" x14ac:dyDescent="0.2">
      <c r="A930" t="s">
        <v>362</v>
      </c>
      <c r="B930" t="s">
        <v>852</v>
      </c>
      <c r="C930" t="s">
        <v>352</v>
      </c>
      <c r="D930">
        <v>6.1803264720000005E-7</v>
      </c>
      <c r="E930">
        <v>1.1556145200000001E-5</v>
      </c>
      <c r="F930">
        <v>1.325796258E-5</v>
      </c>
      <c r="G930">
        <v>2.018470653E-7</v>
      </c>
      <c r="H930">
        <v>7.9563747560000001E-6</v>
      </c>
      <c r="I930">
        <v>8.4311208220000008E-6</v>
      </c>
    </row>
    <row r="931" spans="1:9" hidden="1" x14ac:dyDescent="0.2">
      <c r="A931" t="s">
        <v>363</v>
      </c>
      <c r="B931" t="s">
        <v>821</v>
      </c>
      <c r="C931" t="s">
        <v>352</v>
      </c>
      <c r="D931">
        <v>1.0789180549999999</v>
      </c>
      <c r="E931">
        <v>8.9726341619999997E-7</v>
      </c>
      <c r="F931">
        <v>6.8873136530000004E-6</v>
      </c>
      <c r="G931">
        <v>0</v>
      </c>
      <c r="H931">
        <v>7.2554295010000002E-6</v>
      </c>
      <c r="I931">
        <v>2.4562223409999999E-6</v>
      </c>
    </row>
    <row r="932" spans="1:9" hidden="1" x14ac:dyDescent="0.2">
      <c r="A932" t="s">
        <v>364</v>
      </c>
      <c r="B932" t="s">
        <v>828</v>
      </c>
      <c r="C932" t="s">
        <v>199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hidden="1" x14ac:dyDescent="0.2">
      <c r="A933" t="s">
        <v>364</v>
      </c>
      <c r="B933" t="s">
        <v>821</v>
      </c>
      <c r="C933" t="s">
        <v>199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hidden="1" x14ac:dyDescent="0.2">
      <c r="A934" t="s">
        <v>365</v>
      </c>
      <c r="B934" t="s">
        <v>828</v>
      </c>
      <c r="C934" t="s">
        <v>199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hidden="1" x14ac:dyDescent="0.2">
      <c r="A935" t="s">
        <v>365</v>
      </c>
      <c r="B935" t="s">
        <v>821</v>
      </c>
      <c r="C935" t="s">
        <v>199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hidden="1" x14ac:dyDescent="0.2">
      <c r="A936" t="s">
        <v>366</v>
      </c>
      <c r="B936" t="s">
        <v>821</v>
      </c>
      <c r="C936" t="s">
        <v>2</v>
      </c>
      <c r="D936">
        <v>0</v>
      </c>
      <c r="E936">
        <v>8.4197096510000004E-5</v>
      </c>
      <c r="F936">
        <v>2.729709197</v>
      </c>
      <c r="G936">
        <v>5.3994529460000001E-7</v>
      </c>
      <c r="H936">
        <v>7.9951273540000001</v>
      </c>
      <c r="I936">
        <v>7.8979324350000004</v>
      </c>
    </row>
    <row r="937" spans="1:9" hidden="1" x14ac:dyDescent="0.2">
      <c r="A937" t="s">
        <v>366</v>
      </c>
      <c r="B937" t="s">
        <v>833</v>
      </c>
      <c r="C937" t="s">
        <v>2</v>
      </c>
      <c r="D937">
        <v>0</v>
      </c>
      <c r="E937">
        <v>-8.3366032240000005E-5</v>
      </c>
      <c r="F937">
        <v>-2.702682373</v>
      </c>
      <c r="G937">
        <v>-5.3459932940000002E-7</v>
      </c>
      <c r="H937">
        <v>-7.9159676770000003</v>
      </c>
      <c r="I937">
        <v>-7.8197350849999996</v>
      </c>
    </row>
    <row r="938" spans="1:9" hidden="1" x14ac:dyDescent="0.2">
      <c r="A938" t="s">
        <v>367</v>
      </c>
      <c r="B938" t="s">
        <v>879</v>
      </c>
      <c r="C938" t="s">
        <v>318</v>
      </c>
      <c r="D938">
        <v>1.7032370930000002E-5</v>
      </c>
      <c r="E938">
        <v>7.8147967799999994E-5</v>
      </c>
      <c r="F938">
        <v>24.390400809999999</v>
      </c>
      <c r="G938">
        <v>1.49617025E-2</v>
      </c>
      <c r="H938">
        <v>3.1344342200000002</v>
      </c>
      <c r="I938">
        <v>2.0977526360000001</v>
      </c>
    </row>
    <row r="939" spans="1:9" hidden="1" x14ac:dyDescent="0.2">
      <c r="A939" t="s">
        <v>367</v>
      </c>
      <c r="B939" t="s">
        <v>851</v>
      </c>
      <c r="C939" t="s">
        <v>318</v>
      </c>
      <c r="D939">
        <v>-5.5598440419999996E-7</v>
      </c>
      <c r="E939">
        <v>2.1188283210000002E-5</v>
      </c>
      <c r="F939">
        <v>1.109301294E-4</v>
      </c>
      <c r="G939">
        <v>2.977547433E-5</v>
      </c>
      <c r="H939">
        <v>5.9296705560000002E-5</v>
      </c>
      <c r="I939">
        <v>4.4078848020000002E-3</v>
      </c>
    </row>
    <row r="940" spans="1:9" hidden="1" x14ac:dyDescent="0.2">
      <c r="A940" t="s">
        <v>367</v>
      </c>
      <c r="B940" t="s">
        <v>880</v>
      </c>
      <c r="C940" t="s">
        <v>318</v>
      </c>
      <c r="D940">
        <v>1.8076184119999999E-5</v>
      </c>
      <c r="E940">
        <v>8.8124445660000005E-5</v>
      </c>
      <c r="F940">
        <v>27.504113180000001</v>
      </c>
      <c r="G940">
        <v>1.687173417E-2</v>
      </c>
      <c r="H940">
        <v>3.5345804350000001</v>
      </c>
      <c r="I940">
        <v>2.3655546439999999</v>
      </c>
    </row>
    <row r="941" spans="1:9" hidden="1" x14ac:dyDescent="0.2">
      <c r="A941" t="s">
        <v>367</v>
      </c>
      <c r="B941" t="s">
        <v>827</v>
      </c>
      <c r="C941" t="s">
        <v>318</v>
      </c>
      <c r="D941">
        <v>-3.5014164329999998E-6</v>
      </c>
      <c r="E941">
        <v>-1.3160003189999999E-5</v>
      </c>
      <c r="F941">
        <v>-4.1073077319999998</v>
      </c>
      <c r="G941">
        <v>-2.519528762E-3</v>
      </c>
      <c r="H941">
        <v>-0.52783412649999994</v>
      </c>
      <c r="I941">
        <v>-0.35325846789999998</v>
      </c>
    </row>
    <row r="942" spans="1:9" hidden="1" x14ac:dyDescent="0.2">
      <c r="A942" t="s">
        <v>367</v>
      </c>
      <c r="B942" t="s">
        <v>848</v>
      </c>
      <c r="C942" t="s">
        <v>318</v>
      </c>
      <c r="D942">
        <v>6.0853168060000004E-7</v>
      </c>
      <c r="E942">
        <v>2.3823315330000001E-5</v>
      </c>
      <c r="F942">
        <v>0.13856875909999999</v>
      </c>
      <c r="G942">
        <v>3.0075944240000001E-5</v>
      </c>
      <c r="H942">
        <v>1.7720600669999999E-2</v>
      </c>
      <c r="I942">
        <v>4.623795117E-3</v>
      </c>
    </row>
    <row r="943" spans="1:9" hidden="1" x14ac:dyDescent="0.2">
      <c r="A943" t="s">
        <v>367</v>
      </c>
      <c r="B943" t="s">
        <v>821</v>
      </c>
      <c r="C943" t="s">
        <v>318</v>
      </c>
      <c r="D943">
        <v>-3.054454623E-6</v>
      </c>
      <c r="E943">
        <v>-6.6091386269999996E-6</v>
      </c>
      <c r="F943">
        <v>-4.0626248130000002</v>
      </c>
      <c r="G943">
        <v>-2.4921196149999998E-3</v>
      </c>
      <c r="H943">
        <v>-0.52209201569999997</v>
      </c>
      <c r="I943">
        <v>-0.34941353380000001</v>
      </c>
    </row>
    <row r="944" spans="1:9" hidden="1" x14ac:dyDescent="0.2">
      <c r="A944" t="s">
        <v>367</v>
      </c>
      <c r="B944" t="s">
        <v>852</v>
      </c>
      <c r="C944" t="s">
        <v>318</v>
      </c>
      <c r="D944">
        <v>3.0752030440000001E-7</v>
      </c>
      <c r="E944">
        <v>2.0625746770000001E-5</v>
      </c>
      <c r="F944">
        <v>1.456189732E-4</v>
      </c>
      <c r="G944">
        <v>2.5301668190000001E-5</v>
      </c>
      <c r="H944">
        <v>5.9305928389999997E-5</v>
      </c>
      <c r="I944">
        <v>2.9273796930000002E-3</v>
      </c>
    </row>
    <row r="945" spans="1:9" hidden="1" x14ac:dyDescent="0.2">
      <c r="A945" t="s">
        <v>367</v>
      </c>
      <c r="B945" t="s">
        <v>825</v>
      </c>
      <c r="C945" t="s">
        <v>318</v>
      </c>
      <c r="D945">
        <v>-7.8235003379999999E-7</v>
      </c>
      <c r="E945">
        <v>-3.4383363460000001E-6</v>
      </c>
      <c r="F945">
        <v>-1.0731232550000001</v>
      </c>
      <c r="G945">
        <v>-6.582815515E-4</v>
      </c>
      <c r="H945">
        <v>-0.13790811720000001</v>
      </c>
      <c r="I945">
        <v>-9.2296438849999995E-2</v>
      </c>
    </row>
    <row r="946" spans="1:9" hidden="1" x14ac:dyDescent="0.2">
      <c r="A946" t="s">
        <v>368</v>
      </c>
      <c r="B946" t="s">
        <v>827</v>
      </c>
      <c r="C946" t="s">
        <v>128</v>
      </c>
      <c r="D946">
        <v>-3.6240498819999999E-7</v>
      </c>
      <c r="E946">
        <v>-2.7216244029999999E-7</v>
      </c>
      <c r="F946">
        <v>-2.039014852E-6</v>
      </c>
      <c r="G946">
        <v>0</v>
      </c>
      <c r="H946">
        <v>-6.8447305759999998E-7</v>
      </c>
      <c r="I946">
        <v>-1.736773385E-6</v>
      </c>
    </row>
    <row r="947" spans="1:9" hidden="1" x14ac:dyDescent="0.2">
      <c r="A947" t="s">
        <v>368</v>
      </c>
      <c r="B947" t="s">
        <v>821</v>
      </c>
      <c r="C947" t="s">
        <v>128</v>
      </c>
      <c r="D947">
        <v>2.0796039790000001E-7</v>
      </c>
      <c r="E947">
        <v>3.665406106E-6</v>
      </c>
      <c r="F947">
        <v>1.819728504E-6</v>
      </c>
      <c r="G947">
        <v>0</v>
      </c>
      <c r="H947">
        <v>4.1873109939999999E-7</v>
      </c>
      <c r="I947">
        <v>2.120504165E-6</v>
      </c>
    </row>
    <row r="948" spans="1:9" hidden="1" x14ac:dyDescent="0.2">
      <c r="A948" t="s">
        <v>368</v>
      </c>
      <c r="B948" t="s">
        <v>833</v>
      </c>
      <c r="C948" t="s">
        <v>128</v>
      </c>
      <c r="D948">
        <v>1.2360786669999999E-6</v>
      </c>
      <c r="E948">
        <v>2.2112613879999999E-5</v>
      </c>
      <c r="F948">
        <v>1.0978034249999999E-5</v>
      </c>
      <c r="G948">
        <v>0</v>
      </c>
      <c r="H948">
        <v>2.526115485E-6</v>
      </c>
      <c r="I948">
        <v>1.279254972E-5</v>
      </c>
    </row>
    <row r="949" spans="1:9" hidden="1" x14ac:dyDescent="0.2">
      <c r="A949" t="s">
        <v>369</v>
      </c>
      <c r="B949" t="s">
        <v>827</v>
      </c>
      <c r="C949" t="s">
        <v>3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 hidden="1" x14ac:dyDescent="0.2">
      <c r="A950" t="s">
        <v>369</v>
      </c>
      <c r="B950" t="s">
        <v>821</v>
      </c>
      <c r="C950" t="s">
        <v>3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hidden="1" x14ac:dyDescent="0.2">
      <c r="A951" t="s">
        <v>369</v>
      </c>
      <c r="B951" t="s">
        <v>832</v>
      </c>
      <c r="C951" t="s">
        <v>3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hidden="1" x14ac:dyDescent="0.2">
      <c r="A952" t="s">
        <v>370</v>
      </c>
      <c r="B952" t="s">
        <v>827</v>
      </c>
      <c r="C952" t="s">
        <v>199</v>
      </c>
      <c r="D952">
        <v>-4.8579907179999995E-7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hidden="1" x14ac:dyDescent="0.2">
      <c r="A953" t="s">
        <v>370</v>
      </c>
      <c r="B953" t="s">
        <v>821</v>
      </c>
      <c r="C953" t="s">
        <v>199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hidden="1" x14ac:dyDescent="0.2">
      <c r="A954" t="s">
        <v>370</v>
      </c>
      <c r="B954" t="s">
        <v>832</v>
      </c>
      <c r="C954" t="s">
        <v>199</v>
      </c>
      <c r="D954">
        <v>2.5964097419999998E-6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hidden="1" x14ac:dyDescent="0.2">
      <c r="A955" t="s">
        <v>371</v>
      </c>
      <c r="B955" t="s">
        <v>828</v>
      </c>
      <c r="C955" t="s">
        <v>16</v>
      </c>
      <c r="D955">
        <v>8.7494770239999995E-5</v>
      </c>
      <c r="E955">
        <v>0.38641986950000001</v>
      </c>
      <c r="F955">
        <v>9.3833975599999994E-3</v>
      </c>
      <c r="G955">
        <v>0.24734849510000001</v>
      </c>
      <c r="H955">
        <v>4.0499754580000002E-4</v>
      </c>
      <c r="I955">
        <v>0.90153223159999996</v>
      </c>
    </row>
    <row r="956" spans="1:9" hidden="1" x14ac:dyDescent="0.2">
      <c r="A956" t="s">
        <v>371</v>
      </c>
      <c r="B956" t="s">
        <v>825</v>
      </c>
      <c r="C956" t="s">
        <v>16</v>
      </c>
      <c r="D956">
        <v>-8.0462919430000006E-5</v>
      </c>
      <c r="E956">
        <v>-0.35535085620000001</v>
      </c>
      <c r="F956">
        <v>-8.6289545419999999E-3</v>
      </c>
      <c r="G956">
        <v>-0.22746111490000001</v>
      </c>
      <c r="H956">
        <v>-3.724348314E-4</v>
      </c>
      <c r="I956">
        <v>-0.82904700109999996</v>
      </c>
    </row>
    <row r="957" spans="1:9" hidden="1" x14ac:dyDescent="0.2">
      <c r="A957" t="s">
        <v>372</v>
      </c>
      <c r="B957" t="s">
        <v>821</v>
      </c>
      <c r="C957" t="s">
        <v>16</v>
      </c>
      <c r="D957">
        <v>3.7744697720000001E-6</v>
      </c>
      <c r="E957">
        <v>1.6618538820000001E-2</v>
      </c>
      <c r="F957">
        <v>1.329665341E-2</v>
      </c>
      <c r="G957">
        <v>1.0637334660000001E-2</v>
      </c>
      <c r="H957">
        <v>1.742373151E-5</v>
      </c>
      <c r="I957">
        <v>3.8772196529999997E-2</v>
      </c>
    </row>
    <row r="958" spans="1:9" hidden="1" x14ac:dyDescent="0.2">
      <c r="A958" t="s">
        <v>372</v>
      </c>
      <c r="B958" t="s">
        <v>830</v>
      </c>
      <c r="C958" t="s">
        <v>16</v>
      </c>
      <c r="D958">
        <v>1.195321114E-5</v>
      </c>
      <c r="E958">
        <v>5.2610406249999998E-2</v>
      </c>
      <c r="F958">
        <v>4.2084391999999998E-2</v>
      </c>
      <c r="G958">
        <v>3.3665509679999997E-2</v>
      </c>
      <c r="H958">
        <v>5.514872912E-5</v>
      </c>
      <c r="I958">
        <v>0.1227126731</v>
      </c>
    </row>
    <row r="959" spans="1:9" hidden="1" x14ac:dyDescent="0.2">
      <c r="A959" t="s">
        <v>372</v>
      </c>
      <c r="B959" t="s">
        <v>825</v>
      </c>
      <c r="C959" t="s">
        <v>16</v>
      </c>
      <c r="D959">
        <v>-1.613960869E-5</v>
      </c>
      <c r="E959">
        <v>-7.1071002420000001E-2</v>
      </c>
      <c r="F959">
        <v>-5.6865136050000001E-2</v>
      </c>
      <c r="G959">
        <v>-4.5492271870000003E-2</v>
      </c>
      <c r="H959">
        <v>-7.4515096780000003E-5</v>
      </c>
      <c r="I959">
        <v>-0.16581527409999999</v>
      </c>
    </row>
    <row r="960" spans="1:9" hidden="1" x14ac:dyDescent="0.2">
      <c r="A960" t="s">
        <v>373</v>
      </c>
      <c r="B960" t="s">
        <v>828</v>
      </c>
      <c r="C960" t="s">
        <v>87</v>
      </c>
      <c r="D960">
        <v>0</v>
      </c>
      <c r="E960">
        <v>8.012745568E-5</v>
      </c>
      <c r="F960">
        <v>2.7712757110000001E-5</v>
      </c>
      <c r="G960">
        <v>0</v>
      </c>
      <c r="H960">
        <v>0</v>
      </c>
      <c r="I960">
        <v>0</v>
      </c>
    </row>
    <row r="961" spans="1:9" hidden="1" x14ac:dyDescent="0.2">
      <c r="A961" t="s">
        <v>374</v>
      </c>
      <c r="B961" t="s">
        <v>824</v>
      </c>
      <c r="C961" t="s">
        <v>87</v>
      </c>
      <c r="D961">
        <v>2.032960845E-6</v>
      </c>
      <c r="E961">
        <v>0</v>
      </c>
      <c r="F961">
        <v>1.4803154319999999E-6</v>
      </c>
      <c r="G961">
        <v>0</v>
      </c>
      <c r="H961">
        <v>1.6978453699999999E-6</v>
      </c>
      <c r="I961">
        <v>1.786123786E-6</v>
      </c>
    </row>
    <row r="962" spans="1:9" hidden="1" x14ac:dyDescent="0.2">
      <c r="A962" t="s">
        <v>375</v>
      </c>
      <c r="B962" t="s">
        <v>821</v>
      </c>
      <c r="C962" t="s">
        <v>87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hidden="1" x14ac:dyDescent="0.2">
      <c r="A963" t="s">
        <v>376</v>
      </c>
      <c r="B963" t="s">
        <v>851</v>
      </c>
      <c r="C963" t="s">
        <v>87</v>
      </c>
      <c r="D963">
        <v>7.9325925389999994E-6</v>
      </c>
      <c r="E963">
        <v>7.2360587040000004E-5</v>
      </c>
      <c r="F963">
        <v>1.731890721E-5</v>
      </c>
      <c r="G963">
        <v>3.5112514130000001E-7</v>
      </c>
      <c r="H963">
        <v>4.9475745649999998E-6</v>
      </c>
      <c r="I963">
        <v>7.1066549730000001E-6</v>
      </c>
    </row>
    <row r="964" spans="1:9" hidden="1" x14ac:dyDescent="0.2">
      <c r="A964" t="s">
        <v>376</v>
      </c>
      <c r="B964" t="s">
        <v>848</v>
      </c>
      <c r="C964" t="s">
        <v>87</v>
      </c>
      <c r="D964">
        <v>7.9967238139999994E-6</v>
      </c>
      <c r="E964">
        <v>2.1892764729999998E-3</v>
      </c>
      <c r="F964">
        <v>2.269607573E-5</v>
      </c>
      <c r="G964">
        <v>3.5997015889999999E-7</v>
      </c>
      <c r="H964">
        <v>5.5480938380000002E-6</v>
      </c>
      <c r="I964">
        <v>7.5560821299999997E-6</v>
      </c>
    </row>
    <row r="965" spans="1:9" hidden="1" x14ac:dyDescent="0.2">
      <c r="A965" t="s">
        <v>376</v>
      </c>
      <c r="B965" t="s">
        <v>821</v>
      </c>
      <c r="C965" t="s">
        <v>87</v>
      </c>
      <c r="D965">
        <v>2.3250315590000001E-5</v>
      </c>
      <c r="E965">
        <v>3.2590941020000002E-3</v>
      </c>
      <c r="F965">
        <v>7.2356750410000004E-5</v>
      </c>
      <c r="G965">
        <v>1.411129227E-6</v>
      </c>
      <c r="H965">
        <v>2.082606139E-5</v>
      </c>
      <c r="I965">
        <v>2.7744825329999998E-5</v>
      </c>
    </row>
    <row r="966" spans="1:9" hidden="1" x14ac:dyDescent="0.2">
      <c r="A966" t="s">
        <v>376</v>
      </c>
      <c r="B966" t="s">
        <v>852</v>
      </c>
      <c r="C966" t="s">
        <v>87</v>
      </c>
      <c r="D966">
        <v>8.3032000580000002E-7</v>
      </c>
      <c r="E966">
        <v>8.0407522219999995E-5</v>
      </c>
      <c r="F966">
        <v>1.206623173E-5</v>
      </c>
      <c r="G966">
        <v>3.0271791970000001E-7</v>
      </c>
      <c r="H966">
        <v>4.4667385379999998E-6</v>
      </c>
      <c r="I966">
        <v>5.4497557269999999E-6</v>
      </c>
    </row>
    <row r="967" spans="1:9" hidden="1" x14ac:dyDescent="0.2">
      <c r="A967" t="s">
        <v>377</v>
      </c>
      <c r="B967" t="s">
        <v>828</v>
      </c>
      <c r="C967" t="s">
        <v>87</v>
      </c>
      <c r="D967">
        <v>0</v>
      </c>
      <c r="E967">
        <v>3.6392686139999998E-7</v>
      </c>
      <c r="F967">
        <v>0</v>
      </c>
      <c r="G967">
        <v>0</v>
      </c>
      <c r="H967">
        <v>2.8630769849999999E-7</v>
      </c>
      <c r="I967">
        <v>1.1594930719999999E-7</v>
      </c>
    </row>
    <row r="968" spans="1:9" hidden="1" x14ac:dyDescent="0.2">
      <c r="A968" t="s">
        <v>378</v>
      </c>
      <c r="B968" t="s">
        <v>828</v>
      </c>
      <c r="C968" t="s">
        <v>87</v>
      </c>
      <c r="D968">
        <v>0.218120647</v>
      </c>
      <c r="E968">
        <v>0.24286065700000001</v>
      </c>
      <c r="F968">
        <v>0.1921146416</v>
      </c>
      <c r="G968">
        <v>0</v>
      </c>
      <c r="H968">
        <v>9.5297184729999998E-2</v>
      </c>
      <c r="I968">
        <v>7.1175378179999998E-2</v>
      </c>
    </row>
    <row r="969" spans="1:9" hidden="1" x14ac:dyDescent="0.2">
      <c r="A969" t="s">
        <v>378</v>
      </c>
      <c r="B969" t="s">
        <v>853</v>
      </c>
      <c r="C969" t="s">
        <v>87</v>
      </c>
      <c r="D969">
        <v>0.52171344900000005</v>
      </c>
      <c r="E969">
        <v>0.51917935739999999</v>
      </c>
      <c r="F969">
        <v>0.57266573799999998</v>
      </c>
      <c r="G969">
        <v>0</v>
      </c>
      <c r="H969">
        <v>0.58156297310000005</v>
      </c>
      <c r="I969">
        <v>0.5565957024</v>
      </c>
    </row>
    <row r="970" spans="1:9" hidden="1" x14ac:dyDescent="0.2">
      <c r="A970" t="s">
        <v>378</v>
      </c>
      <c r="B970" t="s">
        <v>865</v>
      </c>
      <c r="C970" t="s">
        <v>87</v>
      </c>
      <c r="D970">
        <v>2.1836823849999999E-2</v>
      </c>
      <c r="E970">
        <v>2.5222411510000001E-2</v>
      </c>
      <c r="F970">
        <v>2.5626574329999999E-2</v>
      </c>
      <c r="G970">
        <v>0</v>
      </c>
      <c r="H970">
        <v>3.0017141769999998E-2</v>
      </c>
      <c r="I970">
        <v>3.3042983710000001E-2</v>
      </c>
    </row>
    <row r="971" spans="1:9" hidden="1" x14ac:dyDescent="0.2">
      <c r="A971" t="s">
        <v>378</v>
      </c>
      <c r="B971" t="s">
        <v>819</v>
      </c>
      <c r="C971" t="s">
        <v>87</v>
      </c>
      <c r="E971">
        <v>4.8197926709999998E-2</v>
      </c>
      <c r="F971">
        <v>2.666688423E-2</v>
      </c>
      <c r="G971">
        <v>0</v>
      </c>
      <c r="H971">
        <v>0</v>
      </c>
      <c r="I971">
        <v>0</v>
      </c>
    </row>
    <row r="972" spans="1:9" hidden="1" x14ac:dyDescent="0.2">
      <c r="A972" t="s">
        <v>378</v>
      </c>
      <c r="B972" t="s">
        <v>854</v>
      </c>
      <c r="C972" t="s">
        <v>87</v>
      </c>
      <c r="D972">
        <v>0.21697940269999999</v>
      </c>
      <c r="E972">
        <v>1.3486362159999999E-2</v>
      </c>
      <c r="F972">
        <v>1.170404677E-2</v>
      </c>
      <c r="G972">
        <v>0</v>
      </c>
      <c r="H972">
        <v>1.0525187419999999E-5</v>
      </c>
      <c r="I972">
        <v>3.1371489379999999E-2</v>
      </c>
    </row>
    <row r="973" spans="1:9" hidden="1" x14ac:dyDescent="0.2">
      <c r="A973" t="s">
        <v>378</v>
      </c>
      <c r="B973" t="s">
        <v>851</v>
      </c>
      <c r="C973" t="s">
        <v>87</v>
      </c>
      <c r="D973">
        <v>7.4900077300000003</v>
      </c>
      <c r="E973">
        <v>1.1602812819999999E-4</v>
      </c>
      <c r="F973">
        <v>3.2422660180000002E-4</v>
      </c>
      <c r="G973">
        <v>0</v>
      </c>
      <c r="H973">
        <v>1.873743472E-4</v>
      </c>
      <c r="I973">
        <v>3.9414142270000001</v>
      </c>
    </row>
    <row r="974" spans="1:9" hidden="1" x14ac:dyDescent="0.2">
      <c r="A974" t="s">
        <v>378</v>
      </c>
      <c r="B974" t="s">
        <v>848</v>
      </c>
      <c r="C974" t="s">
        <v>87</v>
      </c>
      <c r="D974">
        <v>35.351349579999997</v>
      </c>
      <c r="E974">
        <v>47.077113779999998</v>
      </c>
      <c r="F974">
        <v>38.511628629999997</v>
      </c>
      <c r="G974">
        <v>0</v>
      </c>
      <c r="H974">
        <v>23.9203416</v>
      </c>
      <c r="I974">
        <v>17.367890580000001</v>
      </c>
    </row>
    <row r="975" spans="1:9" hidden="1" x14ac:dyDescent="0.2">
      <c r="A975" t="s">
        <v>378</v>
      </c>
      <c r="B975" t="s">
        <v>850</v>
      </c>
      <c r="C975" t="s">
        <v>87</v>
      </c>
      <c r="D975">
        <v>0.98978479029999999</v>
      </c>
      <c r="E975">
        <v>0.71442440500000004</v>
      </c>
      <c r="F975">
        <v>0.62015237830000003</v>
      </c>
      <c r="G975">
        <v>0</v>
      </c>
      <c r="H975">
        <v>0.39920945880000003</v>
      </c>
      <c r="I975">
        <v>0.35291042820000001</v>
      </c>
    </row>
    <row r="976" spans="1:9" hidden="1" x14ac:dyDescent="0.2">
      <c r="A976" t="s">
        <v>378</v>
      </c>
      <c r="B976" t="s">
        <v>866</v>
      </c>
      <c r="C976" t="s">
        <v>87</v>
      </c>
      <c r="D976">
        <v>2.1806528339999999E-2</v>
      </c>
      <c r="E976">
        <v>2.508489186E-2</v>
      </c>
      <c r="F976">
        <v>2.5579725340000001E-2</v>
      </c>
      <c r="G976">
        <v>0</v>
      </c>
      <c r="H976">
        <v>2.6369772369999999E-2</v>
      </c>
      <c r="I976">
        <v>3.0010945569999999E-2</v>
      </c>
    </row>
    <row r="977" spans="1:9" hidden="1" x14ac:dyDescent="0.2">
      <c r="A977" t="s">
        <v>378</v>
      </c>
      <c r="B977" t="s">
        <v>855</v>
      </c>
      <c r="C977" t="s">
        <v>87</v>
      </c>
      <c r="D977">
        <v>2.191800113E-2</v>
      </c>
      <c r="E977">
        <v>1.4170397899999999E-2</v>
      </c>
      <c r="F977">
        <v>1.267115062E-2</v>
      </c>
      <c r="G977">
        <v>0</v>
      </c>
      <c r="H977">
        <v>1.04079459E-5</v>
      </c>
      <c r="I977">
        <v>1.8480385070000001E-2</v>
      </c>
    </row>
    <row r="978" spans="1:9" hidden="1" x14ac:dyDescent="0.2">
      <c r="A978" t="s">
        <v>378</v>
      </c>
      <c r="B978" t="s">
        <v>852</v>
      </c>
      <c r="C978" t="s">
        <v>87</v>
      </c>
      <c r="D978">
        <v>2.1298219010000001E-6</v>
      </c>
      <c r="E978">
        <v>1.012400705E-4</v>
      </c>
      <c r="F978">
        <v>2.7620973820000001E-4</v>
      </c>
      <c r="G978">
        <v>0</v>
      </c>
      <c r="H978">
        <v>1.7843156860000001E-4</v>
      </c>
      <c r="I978">
        <v>0.1011229021</v>
      </c>
    </row>
    <row r="979" spans="1:9" hidden="1" x14ac:dyDescent="0.2">
      <c r="A979" t="s">
        <v>379</v>
      </c>
      <c r="B979" t="s">
        <v>867</v>
      </c>
      <c r="C979" t="s">
        <v>128</v>
      </c>
      <c r="D979">
        <v>0</v>
      </c>
    </row>
    <row r="980" spans="1:9" hidden="1" x14ac:dyDescent="0.2">
      <c r="A980" t="s">
        <v>379</v>
      </c>
      <c r="B980" t="s">
        <v>858</v>
      </c>
      <c r="C980" t="s">
        <v>128</v>
      </c>
      <c r="D980">
        <v>0</v>
      </c>
    </row>
    <row r="981" spans="1:9" hidden="1" x14ac:dyDescent="0.2">
      <c r="A981" t="s">
        <v>380</v>
      </c>
      <c r="B981" t="s">
        <v>840</v>
      </c>
      <c r="C981" t="s">
        <v>128</v>
      </c>
      <c r="D981">
        <v>0.17530385449999999</v>
      </c>
    </row>
    <row r="982" spans="1:9" hidden="1" x14ac:dyDescent="0.2">
      <c r="A982" t="s">
        <v>380</v>
      </c>
      <c r="B982" t="s">
        <v>841</v>
      </c>
      <c r="C982" t="s">
        <v>128</v>
      </c>
      <c r="D982">
        <v>-0.17530385449999999</v>
      </c>
    </row>
    <row r="983" spans="1:9" hidden="1" x14ac:dyDescent="0.2">
      <c r="A983" t="s">
        <v>381</v>
      </c>
      <c r="B983" t="s">
        <v>821</v>
      </c>
      <c r="C983" t="s">
        <v>5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hidden="1" x14ac:dyDescent="0.2">
      <c r="A984" t="s">
        <v>382</v>
      </c>
      <c r="B984" t="s">
        <v>887</v>
      </c>
      <c r="C984" t="s">
        <v>383</v>
      </c>
      <c r="D984">
        <v>45.160000150000002</v>
      </c>
      <c r="E984">
        <v>51.680039639999997</v>
      </c>
      <c r="F984">
        <v>54.860005899999997</v>
      </c>
      <c r="G984">
        <v>54.859999989999999</v>
      </c>
      <c r="H984">
        <v>54.859999539999997</v>
      </c>
      <c r="I984">
        <v>54.860006290000001</v>
      </c>
    </row>
    <row r="985" spans="1:9" hidden="1" x14ac:dyDescent="0.2">
      <c r="A985" t="s">
        <v>382</v>
      </c>
      <c r="B985" t="s">
        <v>820</v>
      </c>
      <c r="C985" t="s">
        <v>383</v>
      </c>
      <c r="D985">
        <v>-45.160000150000002</v>
      </c>
      <c r="E985">
        <v>-51.680039639999997</v>
      </c>
      <c r="F985">
        <v>-54.860005899999997</v>
      </c>
      <c r="G985">
        <v>-54.859999989999999</v>
      </c>
      <c r="H985">
        <v>-54.859999539999997</v>
      </c>
      <c r="I985">
        <v>-54.860006290000001</v>
      </c>
    </row>
    <row r="986" spans="1:9" hidden="1" x14ac:dyDescent="0.2">
      <c r="A986" t="s">
        <v>384</v>
      </c>
      <c r="B986" t="s">
        <v>888</v>
      </c>
      <c r="C986" t="s">
        <v>383</v>
      </c>
      <c r="D986">
        <v>57.499997690000001</v>
      </c>
      <c r="E986">
        <v>6.5700172669999999</v>
      </c>
      <c r="F986">
        <v>10.00000208</v>
      </c>
      <c r="G986">
        <v>38.519999990000002</v>
      </c>
      <c r="H986">
        <v>38.519999439999999</v>
      </c>
      <c r="I986">
        <v>38.520001630000003</v>
      </c>
    </row>
    <row r="987" spans="1:9" hidden="1" x14ac:dyDescent="0.2">
      <c r="A987" t="s">
        <v>384</v>
      </c>
      <c r="B987" t="s">
        <v>820</v>
      </c>
      <c r="C987" t="s">
        <v>383</v>
      </c>
      <c r="D987">
        <v>-57.499997690000001</v>
      </c>
      <c r="E987">
        <v>-6.5700172669999999</v>
      </c>
      <c r="F987">
        <v>-10.00000208</v>
      </c>
      <c r="G987">
        <v>-38.519999990000002</v>
      </c>
      <c r="H987">
        <v>-38.519999439999999</v>
      </c>
      <c r="I987">
        <v>-38.520001630000003</v>
      </c>
    </row>
    <row r="988" spans="1:9" x14ac:dyDescent="0.2">
      <c r="A988" t="s">
        <v>385</v>
      </c>
      <c r="B988" t="s">
        <v>821</v>
      </c>
      <c r="C988" t="s">
        <v>20</v>
      </c>
      <c r="D988">
        <v>-13.05493237</v>
      </c>
      <c r="E988">
        <v>-12.96000029</v>
      </c>
      <c r="F988">
        <v>-13.094999830000001</v>
      </c>
      <c r="G988">
        <v>-13.09499999</v>
      </c>
      <c r="H988">
        <v>0</v>
      </c>
      <c r="I988">
        <v>0</v>
      </c>
    </row>
    <row r="989" spans="1:9" x14ac:dyDescent="0.2">
      <c r="A989" t="s">
        <v>385</v>
      </c>
      <c r="B989" t="s">
        <v>889</v>
      </c>
      <c r="C989" t="s">
        <v>20</v>
      </c>
      <c r="D989">
        <v>37.384387340000004</v>
      </c>
      <c r="E989">
        <v>37.112708720000001</v>
      </c>
      <c r="F989">
        <v>37.414295729999999</v>
      </c>
      <c r="G989">
        <v>37.414285679999999</v>
      </c>
      <c r="H989">
        <v>0</v>
      </c>
      <c r="I989">
        <v>0</v>
      </c>
    </row>
    <row r="990" spans="1:9" x14ac:dyDescent="0.2">
      <c r="A990" t="s">
        <v>386</v>
      </c>
      <c r="B990" t="s">
        <v>821</v>
      </c>
      <c r="C990" t="s">
        <v>20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x14ac:dyDescent="0.2">
      <c r="A991" t="s">
        <v>386</v>
      </c>
      <c r="B991" t="s">
        <v>889</v>
      </c>
      <c r="C991" t="s">
        <v>20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hidden="1" x14ac:dyDescent="0.2">
      <c r="A992" t="s">
        <v>387</v>
      </c>
      <c r="B992" t="s">
        <v>817</v>
      </c>
      <c r="C992" t="s">
        <v>113</v>
      </c>
      <c r="D992">
        <v>0</v>
      </c>
      <c r="E992">
        <v>-2.1437782099999999E-5</v>
      </c>
      <c r="F992">
        <v>-9.0460562229999998E-6</v>
      </c>
      <c r="G992">
        <v>-1.916817473E-7</v>
      </c>
      <c r="H992">
        <v>-3.451093811E-6</v>
      </c>
      <c r="I992">
        <v>-7.3320125660000003E-6</v>
      </c>
    </row>
    <row r="993" spans="1:9" hidden="1" x14ac:dyDescent="0.2">
      <c r="A993" t="s">
        <v>387</v>
      </c>
      <c r="B993" t="s">
        <v>820</v>
      </c>
      <c r="C993" t="s">
        <v>113</v>
      </c>
      <c r="D993">
        <v>0</v>
      </c>
      <c r="E993">
        <v>3.2819036520000002E-5</v>
      </c>
      <c r="F993">
        <v>1.384858042E-5</v>
      </c>
      <c r="G993">
        <v>2.9344501390000002E-7</v>
      </c>
      <c r="H993">
        <v>5.2832691969999998E-6</v>
      </c>
      <c r="I993">
        <v>1.122455611E-5</v>
      </c>
    </row>
    <row r="994" spans="1:9" hidden="1" x14ac:dyDescent="0.2">
      <c r="A994" t="s">
        <v>388</v>
      </c>
      <c r="B994" t="s">
        <v>817</v>
      </c>
      <c r="C994" t="s">
        <v>113</v>
      </c>
      <c r="D994">
        <v>0</v>
      </c>
      <c r="E994">
        <v>-3.9033216720000002E-5</v>
      </c>
      <c r="F994">
        <v>-1.9999852710000001E-5</v>
      </c>
      <c r="G994">
        <v>-4.8944413829999995E-7</v>
      </c>
      <c r="H994">
        <v>-8.5246305020000004E-6</v>
      </c>
      <c r="I994">
        <v>-1.479087629E-5</v>
      </c>
    </row>
    <row r="995" spans="1:9" hidden="1" x14ac:dyDescent="0.2">
      <c r="A995" t="s">
        <v>388</v>
      </c>
      <c r="B995" t="s">
        <v>820</v>
      </c>
      <c r="C995" t="s">
        <v>113</v>
      </c>
      <c r="D995">
        <v>0</v>
      </c>
      <c r="E995">
        <v>5.9755834769999998E-5</v>
      </c>
      <c r="F995">
        <v>3.0617714720000003E-5</v>
      </c>
      <c r="G995">
        <v>7.4928856790000003E-7</v>
      </c>
      <c r="H995">
        <v>1.305033135E-5</v>
      </c>
      <c r="I995">
        <v>2.2643308280000001E-5</v>
      </c>
    </row>
    <row r="996" spans="1:9" hidden="1" x14ac:dyDescent="0.2">
      <c r="A996" t="s">
        <v>388</v>
      </c>
      <c r="B996" t="s">
        <v>827</v>
      </c>
      <c r="C996" t="s">
        <v>113</v>
      </c>
      <c r="D996">
        <v>0</v>
      </c>
      <c r="E996">
        <v>-2.0100161590000001E-6</v>
      </c>
      <c r="F996">
        <v>-1.029892755E-6</v>
      </c>
      <c r="G996">
        <v>0</v>
      </c>
      <c r="H996">
        <v>-4.3897599260000002E-7</v>
      </c>
      <c r="I996">
        <v>-7.6165642570000005E-7</v>
      </c>
    </row>
    <row r="997" spans="1:9" hidden="1" x14ac:dyDescent="0.2">
      <c r="A997" t="s">
        <v>388</v>
      </c>
      <c r="B997" t="s">
        <v>821</v>
      </c>
      <c r="C997" t="s">
        <v>113</v>
      </c>
      <c r="D997">
        <v>0</v>
      </c>
      <c r="E997">
        <v>4.8264957050000003E-7</v>
      </c>
      <c r="F997">
        <v>3.926871707E-7</v>
      </c>
      <c r="G997">
        <v>0</v>
      </c>
      <c r="H997">
        <v>1.97507131E-7</v>
      </c>
      <c r="I997">
        <v>3.1445664919999998E-7</v>
      </c>
    </row>
    <row r="998" spans="1:9" hidden="1" x14ac:dyDescent="0.2">
      <c r="A998" t="s">
        <v>389</v>
      </c>
      <c r="B998" t="s">
        <v>903</v>
      </c>
      <c r="C998" t="s">
        <v>7</v>
      </c>
      <c r="E998">
        <v>-2.5852990479999999E-5</v>
      </c>
      <c r="F998">
        <v>-1.1302362430000001E-5</v>
      </c>
      <c r="G998">
        <v>-1.5182329980000001E-7</v>
      </c>
      <c r="H998">
        <v>-3.6252256849999999E-6</v>
      </c>
      <c r="I998">
        <v>-7.9463711860000001E-6</v>
      </c>
    </row>
    <row r="999" spans="1:9" hidden="1" x14ac:dyDescent="0.2">
      <c r="A999" t="s">
        <v>389</v>
      </c>
      <c r="B999" t="s">
        <v>820</v>
      </c>
      <c r="C999" t="s">
        <v>7</v>
      </c>
      <c r="E999">
        <v>4.3741170790000002E-5</v>
      </c>
      <c r="F999">
        <v>1.912268391E-5</v>
      </c>
      <c r="G999">
        <v>2.5687275479999999E-7</v>
      </c>
      <c r="H999">
        <v>6.1335889140000003E-6</v>
      </c>
      <c r="I999">
        <v>1.3444617920000001E-5</v>
      </c>
    </row>
    <row r="1000" spans="1:9" hidden="1" x14ac:dyDescent="0.2">
      <c r="A1000" t="s">
        <v>389</v>
      </c>
      <c r="B1000" t="s">
        <v>821</v>
      </c>
      <c r="C1000" t="s">
        <v>7</v>
      </c>
      <c r="E1000">
        <v>7.5730981380000002E-7</v>
      </c>
      <c r="F1000">
        <v>3.3107929970000001E-7</v>
      </c>
      <c r="G1000">
        <v>0</v>
      </c>
      <c r="H1000">
        <v>1.0619347850000001E-7</v>
      </c>
      <c r="I1000">
        <v>2.327724867E-7</v>
      </c>
    </row>
    <row r="1001" spans="1:9" hidden="1" x14ac:dyDescent="0.2">
      <c r="A1001" t="s">
        <v>389</v>
      </c>
      <c r="B1001" t="s">
        <v>870</v>
      </c>
      <c r="C1001" t="s">
        <v>7</v>
      </c>
      <c r="E1001">
        <v>-3.376557251E-6</v>
      </c>
      <c r="F1001">
        <v>-1.4761570359999999E-6</v>
      </c>
      <c r="G1001">
        <v>0</v>
      </c>
      <c r="H1001">
        <v>-4.7347644680000001E-7</v>
      </c>
      <c r="I1001">
        <v>-1.03784424E-6</v>
      </c>
    </row>
    <row r="1002" spans="1:9" hidden="1" x14ac:dyDescent="0.2">
      <c r="A1002" t="s">
        <v>390</v>
      </c>
      <c r="B1002" t="s">
        <v>851</v>
      </c>
      <c r="C1002" t="s">
        <v>7</v>
      </c>
      <c r="E1002">
        <v>-2.019197293E-5</v>
      </c>
      <c r="F1002">
        <v>-7.7583830320000004E-6</v>
      </c>
      <c r="G1002">
        <v>-1.114001545E-7</v>
      </c>
      <c r="H1002">
        <v>-3.6025930240000001E-6</v>
      </c>
      <c r="I1002">
        <v>-1.5968961569999999E-5</v>
      </c>
    </row>
    <row r="1003" spans="1:9" hidden="1" x14ac:dyDescent="0.2">
      <c r="A1003" t="s">
        <v>390</v>
      </c>
      <c r="B1003" t="s">
        <v>892</v>
      </c>
      <c r="C1003" t="s">
        <v>7</v>
      </c>
      <c r="E1003">
        <v>-8.4133220440000003E-6</v>
      </c>
      <c r="F1003">
        <v>-3.2326595929999998E-6</v>
      </c>
      <c r="G1003">
        <v>0</v>
      </c>
      <c r="H1003">
        <v>-1.5010804249999999E-6</v>
      </c>
      <c r="I1003">
        <v>-6.6537339770000002E-6</v>
      </c>
    </row>
    <row r="1004" spans="1:9" hidden="1" x14ac:dyDescent="0.2">
      <c r="A1004" t="s">
        <v>390</v>
      </c>
      <c r="B1004" t="s">
        <v>820</v>
      </c>
      <c r="C1004" t="s">
        <v>7</v>
      </c>
      <c r="E1004">
        <v>6.5928956379999998E-5</v>
      </c>
      <c r="F1004">
        <v>2.533195237E-5</v>
      </c>
      <c r="G1004">
        <v>3.6373344739999998E-7</v>
      </c>
      <c r="H1004">
        <v>1.176285245E-5</v>
      </c>
      <c r="I1004">
        <v>5.2140371519999998E-5</v>
      </c>
    </row>
    <row r="1005" spans="1:9" hidden="1" x14ac:dyDescent="0.2">
      <c r="A1005" t="s">
        <v>390</v>
      </c>
      <c r="B1005" t="s">
        <v>837</v>
      </c>
      <c r="C1005" t="s">
        <v>7</v>
      </c>
      <c r="E1005">
        <v>-5.0479932429999999E-6</v>
      </c>
      <c r="F1005">
        <v>-1.9395957620000001E-6</v>
      </c>
      <c r="G1005">
        <v>0</v>
      </c>
      <c r="H1005">
        <v>-9.0064825789999997E-7</v>
      </c>
      <c r="I1005">
        <v>-3.9922403999999997E-6</v>
      </c>
    </row>
    <row r="1006" spans="1:9" hidden="1" x14ac:dyDescent="0.2">
      <c r="A1006" t="s">
        <v>390</v>
      </c>
      <c r="B1006" t="s">
        <v>821</v>
      </c>
      <c r="C1006" t="s">
        <v>7</v>
      </c>
      <c r="E1006">
        <v>2.1648313209999999E-7</v>
      </c>
      <c r="F1006">
        <v>0</v>
      </c>
      <c r="G1006">
        <v>0</v>
      </c>
      <c r="H1006">
        <v>0</v>
      </c>
      <c r="I1006">
        <v>1.712071836E-7</v>
      </c>
    </row>
    <row r="1007" spans="1:9" hidden="1" x14ac:dyDescent="0.2">
      <c r="A1007" t="s">
        <v>390</v>
      </c>
      <c r="B1007" t="s">
        <v>870</v>
      </c>
      <c r="C1007" t="s">
        <v>7</v>
      </c>
      <c r="E1007">
        <v>-8.2066790600000004E-6</v>
      </c>
      <c r="F1007">
        <v>-3.153260941E-6</v>
      </c>
      <c r="G1007">
        <v>0</v>
      </c>
      <c r="H1007">
        <v>-1.464211785E-6</v>
      </c>
      <c r="I1007">
        <v>-6.4903089430000003E-6</v>
      </c>
    </row>
    <row r="1008" spans="1:9" hidden="1" x14ac:dyDescent="0.2">
      <c r="A1008" t="s">
        <v>391</v>
      </c>
      <c r="B1008" t="s">
        <v>865</v>
      </c>
      <c r="C1008" t="s">
        <v>7</v>
      </c>
      <c r="E1008">
        <v>-4.0651466579999999E-6</v>
      </c>
      <c r="F1008">
        <v>-2.3189610410000002E-6</v>
      </c>
      <c r="G1008">
        <v>0</v>
      </c>
      <c r="H1008">
        <v>-2.1769190809999999E-6</v>
      </c>
      <c r="I1008">
        <v>-1.25742544E-6</v>
      </c>
    </row>
    <row r="1009" spans="1:9" hidden="1" x14ac:dyDescent="0.2">
      <c r="A1009" t="s">
        <v>391</v>
      </c>
      <c r="B1009" t="s">
        <v>854</v>
      </c>
      <c r="C1009" t="s">
        <v>7</v>
      </c>
      <c r="E1009">
        <v>-3.4498812179999999E-5</v>
      </c>
      <c r="F1009">
        <v>-1.967983154E-5</v>
      </c>
      <c r="G1009">
        <v>-2.4548676370000001E-7</v>
      </c>
      <c r="H1009">
        <v>-1.8474394360000001E-5</v>
      </c>
      <c r="I1009">
        <v>-1.0671123999999999E-5</v>
      </c>
    </row>
    <row r="1010" spans="1:9" hidden="1" x14ac:dyDescent="0.2">
      <c r="A1010" t="s">
        <v>391</v>
      </c>
      <c r="B1010" t="s">
        <v>820</v>
      </c>
      <c r="C1010" t="s">
        <v>7</v>
      </c>
      <c r="E1010">
        <v>6.5921297159999998E-5</v>
      </c>
      <c r="F1010">
        <v>3.7604773630000001E-5</v>
      </c>
      <c r="G1010">
        <v>4.69082988E-7</v>
      </c>
      <c r="H1010">
        <v>3.5301390499999998E-5</v>
      </c>
      <c r="I1010">
        <v>2.0390682810000001E-5</v>
      </c>
    </row>
    <row r="1011" spans="1:9" hidden="1" x14ac:dyDescent="0.2">
      <c r="A1011" t="s">
        <v>391</v>
      </c>
      <c r="B1011" t="s">
        <v>821</v>
      </c>
      <c r="C1011" t="s">
        <v>7</v>
      </c>
      <c r="E1011">
        <v>-2.592904355E-6</v>
      </c>
      <c r="F1011">
        <v>-1.479121096E-6</v>
      </c>
      <c r="G1011">
        <v>0</v>
      </c>
      <c r="H1011">
        <v>-1.3885213599999999E-6</v>
      </c>
      <c r="I1011">
        <v>-8.0203352389999999E-7</v>
      </c>
    </row>
    <row r="1012" spans="1:9" hidden="1" x14ac:dyDescent="0.2">
      <c r="A1012" t="s">
        <v>392</v>
      </c>
      <c r="B1012" t="s">
        <v>865</v>
      </c>
      <c r="C1012" t="s">
        <v>7</v>
      </c>
      <c r="E1012">
        <v>-6.6379394829999998E-6</v>
      </c>
      <c r="F1012">
        <v>-6.1950299579999996E-6</v>
      </c>
      <c r="G1012">
        <v>0</v>
      </c>
      <c r="H1012">
        <v>-1.210703774E-5</v>
      </c>
      <c r="I1012">
        <v>-2.0715973689999999E-6</v>
      </c>
    </row>
    <row r="1013" spans="1:9" hidden="1" x14ac:dyDescent="0.2">
      <c r="A1013" t="s">
        <v>392</v>
      </c>
      <c r="B1013" t="s">
        <v>854</v>
      </c>
      <c r="C1013" t="s">
        <v>7</v>
      </c>
      <c r="E1013">
        <v>-5.6332783719999998E-5</v>
      </c>
      <c r="F1013">
        <v>-5.2574038019999999E-5</v>
      </c>
      <c r="G1013">
        <v>-8.2256001490000001E-7</v>
      </c>
      <c r="H1013">
        <v>-1.0274621209999999E-4</v>
      </c>
      <c r="I1013">
        <v>-1.7580583080000001E-5</v>
      </c>
    </row>
    <row r="1014" spans="1:9" hidden="1" x14ac:dyDescent="0.2">
      <c r="A1014" t="s">
        <v>392</v>
      </c>
      <c r="B1014" t="s">
        <v>820</v>
      </c>
      <c r="C1014" t="s">
        <v>7</v>
      </c>
      <c r="E1014">
        <v>1.076422619E-4</v>
      </c>
      <c r="F1014">
        <v>1.004599453E-4</v>
      </c>
      <c r="G1014">
        <v>1.5717707289999999E-6</v>
      </c>
      <c r="H1014">
        <v>1.9633034170000001E-4</v>
      </c>
      <c r="I1014">
        <v>3.3593470850000003E-5</v>
      </c>
    </row>
    <row r="1015" spans="1:9" hidden="1" x14ac:dyDescent="0.2">
      <c r="A1015" t="s">
        <v>392</v>
      </c>
      <c r="B1015" t="s">
        <v>821</v>
      </c>
      <c r="C1015" t="s">
        <v>7</v>
      </c>
      <c r="E1015">
        <v>-2.1528452379999999E-7</v>
      </c>
      <c r="F1015">
        <v>-2.009198905E-7</v>
      </c>
      <c r="G1015">
        <v>0</v>
      </c>
      <c r="H1015">
        <v>-3.9266068330000002E-7</v>
      </c>
      <c r="I1015">
        <v>0</v>
      </c>
    </row>
    <row r="1016" spans="1:9" hidden="1" x14ac:dyDescent="0.2">
      <c r="A1016" t="s">
        <v>392</v>
      </c>
      <c r="B1016" t="s">
        <v>825</v>
      </c>
      <c r="C1016" t="s">
        <v>7</v>
      </c>
      <c r="E1016">
        <v>-2.3143086309999998E-5</v>
      </c>
      <c r="F1016">
        <v>-2.1598888230000001E-5</v>
      </c>
      <c r="G1016">
        <v>-3.3793070679999999E-7</v>
      </c>
      <c r="H1016">
        <v>-4.2211023460000001E-5</v>
      </c>
      <c r="I1016">
        <v>-7.2225962330000003E-6</v>
      </c>
    </row>
    <row r="1017" spans="1:9" hidden="1" x14ac:dyDescent="0.2">
      <c r="A1017" t="s">
        <v>393</v>
      </c>
      <c r="B1017" t="s">
        <v>865</v>
      </c>
      <c r="C1017" t="s">
        <v>7</v>
      </c>
      <c r="E1017">
        <v>-6.5275439690000003E-6</v>
      </c>
      <c r="F1017">
        <v>-5.9131802440000003E-6</v>
      </c>
      <c r="G1017">
        <v>0</v>
      </c>
      <c r="H1017">
        <v>-1.25298643E-2</v>
      </c>
      <c r="I1017">
        <v>-6.6205242619999998E-3</v>
      </c>
    </row>
    <row r="1018" spans="1:9" hidden="1" x14ac:dyDescent="0.2">
      <c r="A1018" t="s">
        <v>393</v>
      </c>
      <c r="B1018" t="s">
        <v>854</v>
      </c>
      <c r="C1018" t="s">
        <v>7</v>
      </c>
      <c r="E1018">
        <v>-5.5581067459999997E-5</v>
      </c>
      <c r="F1018">
        <v>-5.0349851590000003E-5</v>
      </c>
      <c r="G1018">
        <v>-6.6548388509999998E-7</v>
      </c>
      <c r="H1018">
        <v>-0.1066899337</v>
      </c>
      <c r="I1018">
        <v>-5.6372780839999997E-2</v>
      </c>
    </row>
    <row r="1019" spans="1:9" hidden="1" x14ac:dyDescent="0.2">
      <c r="A1019" t="s">
        <v>393</v>
      </c>
      <c r="B1019" t="s">
        <v>820</v>
      </c>
      <c r="C1019" t="s">
        <v>7</v>
      </c>
      <c r="E1019">
        <v>9.6943722310000003E-5</v>
      </c>
      <c r="F1019">
        <v>8.7819508579999993E-5</v>
      </c>
      <c r="G1019">
        <v>1.160727707E-6</v>
      </c>
      <c r="H1019">
        <v>0.1860870936</v>
      </c>
      <c r="I1019">
        <v>9.8324617749999996E-2</v>
      </c>
    </row>
    <row r="1020" spans="1:9" hidden="1" x14ac:dyDescent="0.2">
      <c r="A1020" t="s">
        <v>393</v>
      </c>
      <c r="B1020" t="s">
        <v>821</v>
      </c>
      <c r="C1020" t="s">
        <v>7</v>
      </c>
      <c r="E1020">
        <v>7.1092063030000004E-7</v>
      </c>
      <c r="F1020">
        <v>6.4400972959999995E-7</v>
      </c>
      <c r="G1020">
        <v>0</v>
      </c>
      <c r="H1020">
        <v>1.3646386859999999E-3</v>
      </c>
      <c r="I1020">
        <v>7.2104719679999996E-4</v>
      </c>
    </row>
    <row r="1021" spans="1:9" hidden="1" x14ac:dyDescent="0.2">
      <c r="A1021" t="s">
        <v>393</v>
      </c>
      <c r="B1021" t="s">
        <v>825</v>
      </c>
      <c r="C1021" t="s">
        <v>7</v>
      </c>
      <c r="E1021">
        <v>-1.786995948E-5</v>
      </c>
      <c r="F1021">
        <v>-1.6188062750000002E-5</v>
      </c>
      <c r="G1021">
        <v>-2.1396080729999999E-7</v>
      </c>
      <c r="H1021">
        <v>-3.4302054249999998E-2</v>
      </c>
      <c r="I1021">
        <v>-1.8124504539999999E-2</v>
      </c>
    </row>
    <row r="1022" spans="1:9" hidden="1" x14ac:dyDescent="0.2">
      <c r="A1022" t="s">
        <v>394</v>
      </c>
      <c r="B1022" t="s">
        <v>865</v>
      </c>
      <c r="C1022" t="s">
        <v>7</v>
      </c>
      <c r="E1022">
        <v>-5.9845162509999998E-6</v>
      </c>
      <c r="F1022">
        <v>-4.8618351260000003E-6</v>
      </c>
      <c r="G1022">
        <v>0</v>
      </c>
      <c r="H1022">
        <v>-1.1788733620000001E-3</v>
      </c>
      <c r="I1022">
        <v>-3.263166136E-3</v>
      </c>
    </row>
    <row r="1023" spans="1:9" hidden="1" x14ac:dyDescent="0.2">
      <c r="A1023" t="s">
        <v>394</v>
      </c>
      <c r="B1023" t="s">
        <v>854</v>
      </c>
      <c r="C1023" t="s">
        <v>7</v>
      </c>
      <c r="E1023">
        <v>-5.0953881219999998E-5</v>
      </c>
      <c r="F1023">
        <v>-4.1395053359999998E-5</v>
      </c>
      <c r="G1023">
        <v>-6.3646255550000003E-7</v>
      </c>
      <c r="H1023">
        <v>-1.0037264630000001E-2</v>
      </c>
      <c r="I1023">
        <v>-2.7783528809999999E-2</v>
      </c>
    </row>
    <row r="1024" spans="1:9" hidden="1" x14ac:dyDescent="0.2">
      <c r="A1024" t="s">
        <v>394</v>
      </c>
      <c r="B1024" t="s">
        <v>820</v>
      </c>
      <c r="C1024" t="s">
        <v>7</v>
      </c>
      <c r="E1024">
        <v>1.025917072E-4</v>
      </c>
      <c r="F1024">
        <v>8.3345745019999993E-5</v>
      </c>
      <c r="G1024">
        <v>1.2814682320000001E-6</v>
      </c>
      <c r="H1024">
        <v>2.0209257639999999E-2</v>
      </c>
      <c r="I1024">
        <v>5.59399909E-2</v>
      </c>
    </row>
    <row r="1025" spans="1:9" hidden="1" x14ac:dyDescent="0.2">
      <c r="A1025" t="s">
        <v>394</v>
      </c>
      <c r="B1025" t="s">
        <v>821</v>
      </c>
      <c r="C1025" t="s">
        <v>7</v>
      </c>
      <c r="E1025">
        <v>-3.419723572E-6</v>
      </c>
      <c r="F1025">
        <v>-2.7781915009999999E-6</v>
      </c>
      <c r="G1025">
        <v>0</v>
      </c>
      <c r="H1025">
        <v>-6.7364192119999996E-4</v>
      </c>
      <c r="I1025">
        <v>-1.8646663629999999E-3</v>
      </c>
    </row>
    <row r="1026" spans="1:9" hidden="1" x14ac:dyDescent="0.2">
      <c r="A1026" t="s">
        <v>394</v>
      </c>
      <c r="B1026" t="s">
        <v>825</v>
      </c>
      <c r="C1026" t="s">
        <v>7</v>
      </c>
      <c r="E1026">
        <v>-2.5682124030000001E-5</v>
      </c>
      <c r="F1026">
        <v>-2.0864218169999999E-5</v>
      </c>
      <c r="G1026">
        <v>-3.2079421419999998E-7</v>
      </c>
      <c r="H1026">
        <v>-5.059050828E-3</v>
      </c>
      <c r="I1026">
        <v>-1.400364439E-2</v>
      </c>
    </row>
    <row r="1027" spans="1:9" hidden="1" x14ac:dyDescent="0.2">
      <c r="A1027" t="s">
        <v>395</v>
      </c>
      <c r="B1027" t="s">
        <v>828</v>
      </c>
      <c r="C1027" t="s">
        <v>11</v>
      </c>
      <c r="D1027">
        <v>0</v>
      </c>
      <c r="E1027">
        <v>81.621395250000006</v>
      </c>
      <c r="F1027">
        <v>65.297132980000001</v>
      </c>
      <c r="G1027">
        <v>52.237709270000003</v>
      </c>
      <c r="H1027">
        <v>19.816827790000001</v>
      </c>
      <c r="I1027">
        <v>6.4590234039999999</v>
      </c>
    </row>
    <row r="1028" spans="1:9" hidden="1" x14ac:dyDescent="0.2">
      <c r="A1028" t="s">
        <v>395</v>
      </c>
      <c r="B1028" t="s">
        <v>827</v>
      </c>
      <c r="C1028" t="s">
        <v>11</v>
      </c>
      <c r="D1028">
        <v>0</v>
      </c>
      <c r="E1028">
        <v>-2.5693566109999999</v>
      </c>
      <c r="F1028">
        <v>-2.055485698</v>
      </c>
      <c r="G1028">
        <v>-1.6443886270000001</v>
      </c>
      <c r="H1028">
        <v>-0.62381307860000001</v>
      </c>
      <c r="I1028">
        <v>-0.20332339899999999</v>
      </c>
    </row>
    <row r="1029" spans="1:9" hidden="1" x14ac:dyDescent="0.2">
      <c r="A1029" t="s">
        <v>395</v>
      </c>
      <c r="B1029" t="s">
        <v>821</v>
      </c>
      <c r="C1029" t="s">
        <v>11</v>
      </c>
      <c r="D1029">
        <v>0</v>
      </c>
      <c r="E1029">
        <v>-0.29871559819999999</v>
      </c>
      <c r="F1029">
        <v>-0.2389725261</v>
      </c>
      <c r="G1029">
        <v>-0.19117802889999999</v>
      </c>
      <c r="H1029">
        <v>-7.2525042319999997E-2</v>
      </c>
      <c r="I1029">
        <v>-2.3638552359999999E-2</v>
      </c>
    </row>
    <row r="1030" spans="1:9" hidden="1" x14ac:dyDescent="0.2">
      <c r="A1030" t="s">
        <v>395</v>
      </c>
      <c r="B1030" t="s">
        <v>824</v>
      </c>
      <c r="C1030" t="s">
        <v>11</v>
      </c>
      <c r="D1030">
        <v>0</v>
      </c>
      <c r="E1030">
        <v>-60.003407979999999</v>
      </c>
      <c r="F1030">
        <v>-48.00273593</v>
      </c>
      <c r="G1030">
        <v>-38.402190349999998</v>
      </c>
      <c r="H1030">
        <v>-14.56820377</v>
      </c>
      <c r="I1030">
        <v>-4.748308121</v>
      </c>
    </row>
    <row r="1031" spans="1:9" hidden="1" x14ac:dyDescent="0.2">
      <c r="A1031" t="s">
        <v>396</v>
      </c>
      <c r="B1031" t="s">
        <v>828</v>
      </c>
      <c r="C1031" t="s">
        <v>11</v>
      </c>
      <c r="D1031">
        <v>0</v>
      </c>
      <c r="E1031">
        <v>5.7737996459999996E-4</v>
      </c>
      <c r="F1031">
        <v>3.6889693929999999E-4</v>
      </c>
      <c r="G1031">
        <v>9.9532137600000006E-6</v>
      </c>
      <c r="H1031">
        <v>4.5049524679999997E-5</v>
      </c>
      <c r="I1031">
        <v>1.683310621E-4</v>
      </c>
    </row>
    <row r="1032" spans="1:9" hidden="1" x14ac:dyDescent="0.2">
      <c r="A1032" t="s">
        <v>396</v>
      </c>
      <c r="B1032" t="s">
        <v>827</v>
      </c>
      <c r="C1032" t="s">
        <v>11</v>
      </c>
      <c r="D1032">
        <v>0</v>
      </c>
      <c r="E1032">
        <v>-2.2048930829999999E-5</v>
      </c>
      <c r="F1032">
        <v>-1.3980292270000001E-5</v>
      </c>
      <c r="G1032">
        <v>-3.7624612720000002E-7</v>
      </c>
      <c r="H1032">
        <v>-1.7030019149999999E-6</v>
      </c>
      <c r="I1032">
        <v>-6.4285850089999999E-6</v>
      </c>
    </row>
    <row r="1033" spans="1:9" hidden="1" x14ac:dyDescent="0.2">
      <c r="A1033" t="s">
        <v>396</v>
      </c>
      <c r="B1033" t="s">
        <v>821</v>
      </c>
      <c r="C1033" t="s">
        <v>11</v>
      </c>
      <c r="D1033">
        <v>0</v>
      </c>
      <c r="E1033">
        <v>-2.0890125600000001E-6</v>
      </c>
      <c r="F1033">
        <v>-1.3245543E-6</v>
      </c>
      <c r="G1033">
        <v>0</v>
      </c>
      <c r="H1033">
        <v>-1.6134988209999999E-7</v>
      </c>
      <c r="I1033">
        <v>-6.0907238220000004E-7</v>
      </c>
    </row>
    <row r="1034" spans="1:9" hidden="1" x14ac:dyDescent="0.2">
      <c r="A1034" t="s">
        <v>396</v>
      </c>
      <c r="B1034" t="s">
        <v>824</v>
      </c>
      <c r="C1034" t="s">
        <v>11</v>
      </c>
      <c r="D1034">
        <v>0</v>
      </c>
      <c r="E1034">
        <v>-4.0601634470000003E-4</v>
      </c>
      <c r="F1034">
        <v>-2.5743775090000001E-4</v>
      </c>
      <c r="G1034">
        <v>-6.9283213069999997E-6</v>
      </c>
      <c r="H1034">
        <v>-3.1359643599999998E-5</v>
      </c>
      <c r="I1034">
        <v>-1.1837810220000001E-4</v>
      </c>
    </row>
    <row r="1035" spans="1:9" hidden="1" x14ac:dyDescent="0.2">
      <c r="A1035" t="s">
        <v>397</v>
      </c>
      <c r="B1035" t="s">
        <v>828</v>
      </c>
      <c r="C1035" t="s">
        <v>11</v>
      </c>
      <c r="D1035">
        <v>0</v>
      </c>
      <c r="E1035">
        <v>1.0816908330000001E-3</v>
      </c>
      <c r="F1035">
        <v>3.2015109770000002E-4</v>
      </c>
      <c r="G1035">
        <v>9.8930111729999997E-6</v>
      </c>
      <c r="H1035">
        <v>4.7975848790000003E-5</v>
      </c>
      <c r="I1035">
        <v>1.7698303160000001E-4</v>
      </c>
    </row>
    <row r="1036" spans="1:9" hidden="1" x14ac:dyDescent="0.2">
      <c r="A1036" t="s">
        <v>397</v>
      </c>
      <c r="B1036" t="s">
        <v>827</v>
      </c>
      <c r="C1036" t="s">
        <v>11</v>
      </c>
      <c r="D1036">
        <v>0</v>
      </c>
      <c r="E1036">
        <v>-3.3226044750000001E-5</v>
      </c>
      <c r="F1036">
        <v>-9.8093205940000002E-6</v>
      </c>
      <c r="G1036">
        <v>-3.022330322E-7</v>
      </c>
      <c r="H1036">
        <v>-1.4657204309999999E-6</v>
      </c>
      <c r="I1036">
        <v>-5.4597305929999999E-6</v>
      </c>
    </row>
    <row r="1037" spans="1:9" hidden="1" x14ac:dyDescent="0.2">
      <c r="A1037" t="s">
        <v>397</v>
      </c>
      <c r="B1037" t="s">
        <v>821</v>
      </c>
      <c r="C1037" t="s">
        <v>11</v>
      </c>
      <c r="D1037">
        <v>0</v>
      </c>
      <c r="E1037">
        <v>3.0742449E-6</v>
      </c>
      <c r="F1037">
        <v>8.758715688E-7</v>
      </c>
      <c r="G1037">
        <v>0</v>
      </c>
      <c r="H1037">
        <v>1.2495568129999999E-7</v>
      </c>
      <c r="I1037">
        <v>5.3914519069999997E-7</v>
      </c>
    </row>
    <row r="1038" spans="1:9" hidden="1" x14ac:dyDescent="0.2">
      <c r="A1038" t="s">
        <v>397</v>
      </c>
      <c r="B1038" t="s">
        <v>824</v>
      </c>
      <c r="C1038" t="s">
        <v>11</v>
      </c>
      <c r="D1038">
        <v>0</v>
      </c>
      <c r="E1038">
        <v>-7.9285720149999996E-4</v>
      </c>
      <c r="F1038">
        <v>-2.3407512190000001E-4</v>
      </c>
      <c r="G1038">
        <v>-7.2120421780000001E-6</v>
      </c>
      <c r="H1038">
        <v>-3.497578505E-5</v>
      </c>
      <c r="I1038">
        <v>-1.3028293769999999E-4</v>
      </c>
    </row>
    <row r="1039" spans="1:9" hidden="1" x14ac:dyDescent="0.2">
      <c r="A1039" t="s">
        <v>398</v>
      </c>
      <c r="B1039" t="s">
        <v>828</v>
      </c>
      <c r="C1039" t="s">
        <v>11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hidden="1" x14ac:dyDescent="0.2">
      <c r="A1040" t="s">
        <v>398</v>
      </c>
      <c r="B1040" t="s">
        <v>827</v>
      </c>
      <c r="C1040" t="s">
        <v>11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hidden="1" x14ac:dyDescent="0.2">
      <c r="A1041" t="s">
        <v>398</v>
      </c>
      <c r="B1041" t="s">
        <v>821</v>
      </c>
      <c r="C1041" t="s">
        <v>11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 hidden="1" x14ac:dyDescent="0.2">
      <c r="A1042" t="s">
        <v>398</v>
      </c>
      <c r="B1042" t="s">
        <v>824</v>
      </c>
      <c r="C1042" t="s">
        <v>11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 spans="1:9" hidden="1" x14ac:dyDescent="0.2">
      <c r="A1043" t="s">
        <v>399</v>
      </c>
      <c r="B1043" t="s">
        <v>828</v>
      </c>
      <c r="C1043" t="s">
        <v>11</v>
      </c>
      <c r="D1043">
        <v>0</v>
      </c>
      <c r="E1043">
        <v>2.442051959E-4</v>
      </c>
      <c r="F1043">
        <v>2.7074333809999998E-4</v>
      </c>
      <c r="G1043">
        <v>6.0746258659999998E-6</v>
      </c>
      <c r="H1043">
        <v>4.4742865350000003E-5</v>
      </c>
      <c r="I1043">
        <v>1.4493256020000001E-4</v>
      </c>
    </row>
    <row r="1044" spans="1:9" hidden="1" x14ac:dyDescent="0.2">
      <c r="A1044" t="s">
        <v>399</v>
      </c>
      <c r="B1044" t="s">
        <v>827</v>
      </c>
      <c r="C1044" t="s">
        <v>11</v>
      </c>
      <c r="D1044">
        <v>0</v>
      </c>
      <c r="E1044">
        <v>-1.2720061750000001E-5</v>
      </c>
      <c r="F1044">
        <v>-1.38171676E-5</v>
      </c>
      <c r="G1044">
        <v>-3.0894419479999999E-7</v>
      </c>
      <c r="H1044">
        <v>-2.2756156750000001E-6</v>
      </c>
      <c r="I1044">
        <v>-7.458999098E-6</v>
      </c>
    </row>
    <row r="1045" spans="1:9" hidden="1" x14ac:dyDescent="0.2">
      <c r="A1045" t="s">
        <v>399</v>
      </c>
      <c r="B1045" t="s">
        <v>821</v>
      </c>
      <c r="C1045" t="s">
        <v>11</v>
      </c>
      <c r="D1045">
        <v>0</v>
      </c>
      <c r="E1045">
        <v>-2.4566170849999999E-7</v>
      </c>
      <c r="F1045">
        <v>-2.668500411E-7</v>
      </c>
      <c r="G1045">
        <v>0</v>
      </c>
      <c r="H1045">
        <v>0</v>
      </c>
      <c r="I1045">
        <v>-1.440551547E-7</v>
      </c>
    </row>
    <row r="1046" spans="1:9" hidden="1" x14ac:dyDescent="0.2">
      <c r="A1046" t="s">
        <v>399</v>
      </c>
      <c r="B1046" t="s">
        <v>824</v>
      </c>
      <c r="C1046" t="s">
        <v>11</v>
      </c>
      <c r="D1046">
        <v>0</v>
      </c>
      <c r="E1046">
        <v>-1.7282824039999999E-4</v>
      </c>
      <c r="F1046">
        <v>-1.877346833E-4</v>
      </c>
      <c r="G1046">
        <v>-4.1976432690000004E-6</v>
      </c>
      <c r="H1046">
        <v>-3.091892641E-5</v>
      </c>
      <c r="I1046">
        <v>-1.0134586730000001E-4</v>
      </c>
    </row>
    <row r="1047" spans="1:9" hidden="1" x14ac:dyDescent="0.2">
      <c r="A1047" t="s">
        <v>400</v>
      </c>
      <c r="B1047" t="s">
        <v>820</v>
      </c>
      <c r="C1047" t="s">
        <v>11</v>
      </c>
      <c r="D1047">
        <v>2.2307471039999999E-6</v>
      </c>
      <c r="E1047">
        <v>2.6302402110000001E-5</v>
      </c>
      <c r="F1047">
        <v>1.091181E-5</v>
      </c>
      <c r="G1047">
        <v>3.6048673819999998E-7</v>
      </c>
      <c r="H1047">
        <v>8.2051514070000002E-6</v>
      </c>
      <c r="I1047">
        <v>2.2922002849999999E-5</v>
      </c>
    </row>
    <row r="1048" spans="1:9" hidden="1" x14ac:dyDescent="0.2">
      <c r="A1048" t="s">
        <v>400</v>
      </c>
      <c r="B1048" t="s">
        <v>821</v>
      </c>
      <c r="C1048" t="s">
        <v>11</v>
      </c>
      <c r="D1048">
        <v>2.5486788950000003E-7</v>
      </c>
      <c r="E1048">
        <v>2.147738344E-6</v>
      </c>
      <c r="F1048">
        <v>9.3463071880000002E-7</v>
      </c>
      <c r="G1048">
        <v>0</v>
      </c>
      <c r="H1048">
        <v>9.1651804959999999E-7</v>
      </c>
      <c r="I1048">
        <v>3.9761346190000001E-7</v>
      </c>
    </row>
    <row r="1049" spans="1:9" hidden="1" x14ac:dyDescent="0.2">
      <c r="A1049" t="s">
        <v>400</v>
      </c>
      <c r="B1049" t="s">
        <v>824</v>
      </c>
      <c r="C1049" t="s">
        <v>11</v>
      </c>
      <c r="D1049">
        <v>-1.4991542290000001E-6</v>
      </c>
      <c r="E1049">
        <v>-1.753318125E-5</v>
      </c>
      <c r="F1049">
        <v>-7.273812543E-6</v>
      </c>
      <c r="G1049">
        <v>-2.4030045970000002E-7</v>
      </c>
      <c r="H1049">
        <v>-5.4695539279999999E-6</v>
      </c>
      <c r="I1049">
        <v>-1.52798071E-5</v>
      </c>
    </row>
    <row r="1050" spans="1:9" hidden="1" x14ac:dyDescent="0.2">
      <c r="A1050" t="s">
        <v>401</v>
      </c>
      <c r="B1050" t="s">
        <v>824</v>
      </c>
      <c r="C1050" t="s">
        <v>11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hidden="1" x14ac:dyDescent="0.2">
      <c r="A1051" t="s">
        <v>401</v>
      </c>
      <c r="B1051" t="s">
        <v>829</v>
      </c>
      <c r="C1051" t="s">
        <v>11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hidden="1" x14ac:dyDescent="0.2">
      <c r="A1052" t="s">
        <v>402</v>
      </c>
      <c r="B1052" t="s">
        <v>821</v>
      </c>
      <c r="C1052" t="s">
        <v>11</v>
      </c>
      <c r="D1052">
        <v>0</v>
      </c>
      <c r="E1052">
        <v>2.073431498E-6</v>
      </c>
      <c r="F1052">
        <v>1.4632214650000001E-6</v>
      </c>
      <c r="G1052">
        <v>0</v>
      </c>
      <c r="H1052">
        <v>1.6973965839999999E-6</v>
      </c>
      <c r="I1052">
        <v>3.4549524240000002E-6</v>
      </c>
    </row>
    <row r="1053" spans="1:9" hidden="1" x14ac:dyDescent="0.2">
      <c r="A1053" t="s">
        <v>402</v>
      </c>
      <c r="B1053" t="s">
        <v>824</v>
      </c>
      <c r="C1053" t="s">
        <v>11</v>
      </c>
      <c r="D1053">
        <v>0</v>
      </c>
      <c r="E1053">
        <v>-1.208648661E-5</v>
      </c>
      <c r="F1053">
        <v>-6.1039463350000002E-6</v>
      </c>
      <c r="G1053">
        <v>-2.4135917330000001E-7</v>
      </c>
      <c r="H1053">
        <v>-6.2123631730000002E-6</v>
      </c>
      <c r="I1053">
        <v>-1.5695365849999998E-5</v>
      </c>
    </row>
    <row r="1054" spans="1:9" hidden="1" x14ac:dyDescent="0.2">
      <c r="A1054" t="s">
        <v>402</v>
      </c>
      <c r="B1054" t="s">
        <v>826</v>
      </c>
      <c r="C1054" t="s">
        <v>11</v>
      </c>
      <c r="D1054">
        <v>0</v>
      </c>
      <c r="E1054">
        <v>1.4434221410000001E-4</v>
      </c>
      <c r="F1054">
        <v>7.2896049759999996E-5</v>
      </c>
      <c r="G1054">
        <v>2.882418905E-6</v>
      </c>
      <c r="H1054">
        <v>7.4190811989999998E-5</v>
      </c>
      <c r="I1054">
        <v>1.8744105979999999E-4</v>
      </c>
    </row>
    <row r="1055" spans="1:9" hidden="1" x14ac:dyDescent="0.2">
      <c r="A1055" t="s">
        <v>403</v>
      </c>
      <c r="B1055" t="s">
        <v>828</v>
      </c>
      <c r="C1055" t="s">
        <v>11</v>
      </c>
      <c r="D1055">
        <v>0</v>
      </c>
      <c r="E1055">
        <v>3.1584074219999998E-7</v>
      </c>
      <c r="F1055">
        <v>0</v>
      </c>
      <c r="G1055">
        <v>0</v>
      </c>
      <c r="H1055">
        <v>8.7618924900000004E-7</v>
      </c>
      <c r="I1055">
        <v>5.7240750060000004E-7</v>
      </c>
    </row>
    <row r="1056" spans="1:9" hidden="1" x14ac:dyDescent="0.2">
      <c r="A1056" t="s">
        <v>403</v>
      </c>
      <c r="B1056" t="s">
        <v>882</v>
      </c>
      <c r="C1056" t="s">
        <v>11</v>
      </c>
      <c r="D1056">
        <v>0</v>
      </c>
      <c r="E1056">
        <v>4.2157440070000002E-5</v>
      </c>
      <c r="F1056">
        <v>7.1587288569999997E-6</v>
      </c>
      <c r="G1056">
        <v>1.2389634840000001E-7</v>
      </c>
      <c r="H1056">
        <v>2.7982245580000001E-6</v>
      </c>
      <c r="I1056">
        <v>5.1354895259999997E-6</v>
      </c>
    </row>
    <row r="1057" spans="1:9" hidden="1" x14ac:dyDescent="0.2">
      <c r="A1057" t="s">
        <v>403</v>
      </c>
      <c r="B1057" t="s">
        <v>821</v>
      </c>
      <c r="C1057" t="s">
        <v>11</v>
      </c>
      <c r="D1057">
        <v>0</v>
      </c>
      <c r="E1057">
        <v>2.776069045E-7</v>
      </c>
      <c r="F1057">
        <v>0</v>
      </c>
      <c r="G1057">
        <v>0</v>
      </c>
      <c r="H1057">
        <v>2.8054490360000002E-7</v>
      </c>
      <c r="I1057">
        <v>2.367560274E-7</v>
      </c>
    </row>
    <row r="1058" spans="1:9" hidden="1" x14ac:dyDescent="0.2">
      <c r="A1058" t="s">
        <v>403</v>
      </c>
      <c r="B1058" t="s">
        <v>824</v>
      </c>
      <c r="C1058" t="s">
        <v>11</v>
      </c>
      <c r="D1058">
        <v>0</v>
      </c>
      <c r="E1058">
        <v>-2.1899968870000001E-5</v>
      </c>
      <c r="F1058">
        <v>-3.7188201850000001E-6</v>
      </c>
      <c r="G1058">
        <v>0</v>
      </c>
      <c r="H1058">
        <v>-1.4536231469999999E-6</v>
      </c>
      <c r="I1058">
        <v>-2.6677867670000001E-6</v>
      </c>
    </row>
    <row r="1059" spans="1:9" hidden="1" x14ac:dyDescent="0.2">
      <c r="A1059" t="s">
        <v>404</v>
      </c>
      <c r="B1059" t="s">
        <v>852</v>
      </c>
      <c r="C1059" t="s">
        <v>405</v>
      </c>
      <c r="D1059">
        <v>0</v>
      </c>
      <c r="E1059">
        <v>-4.1710032680000001E-5</v>
      </c>
      <c r="F1059">
        <v>-2.1248650640000001E-5</v>
      </c>
      <c r="G1059">
        <v>-1.7911986790000001E-7</v>
      </c>
      <c r="H1059">
        <v>-8.0661999210000008E-6</v>
      </c>
      <c r="I1059">
        <v>-5.1959209079999999E-5</v>
      </c>
    </row>
    <row r="1060" spans="1:9" hidden="1" x14ac:dyDescent="0.2">
      <c r="A1060" t="s">
        <v>404</v>
      </c>
      <c r="B1060" t="s">
        <v>890</v>
      </c>
      <c r="C1060" t="s">
        <v>405</v>
      </c>
      <c r="D1060">
        <v>0</v>
      </c>
      <c r="E1060">
        <v>-1.7379180279999998E-5</v>
      </c>
      <c r="F1060">
        <v>-8.8536044320000002E-6</v>
      </c>
      <c r="G1060">
        <v>0</v>
      </c>
      <c r="H1060">
        <v>-3.3609166339999999E-6</v>
      </c>
      <c r="I1060">
        <v>-2.1649670450000001E-5</v>
      </c>
    </row>
    <row r="1061" spans="1:9" hidden="1" x14ac:dyDescent="0.2">
      <c r="A1061" t="s">
        <v>404</v>
      </c>
      <c r="B1061" t="s">
        <v>843</v>
      </c>
      <c r="C1061" t="s">
        <v>405</v>
      </c>
      <c r="D1061">
        <v>0</v>
      </c>
      <c r="E1061">
        <v>-1.042750817E-5</v>
      </c>
      <c r="F1061">
        <v>-5.3121626589999999E-6</v>
      </c>
      <c r="G1061">
        <v>0</v>
      </c>
      <c r="H1061">
        <v>-2.0165499800000001E-6</v>
      </c>
      <c r="I1061">
        <v>-1.298980227E-5</v>
      </c>
    </row>
    <row r="1062" spans="1:9" hidden="1" x14ac:dyDescent="0.2">
      <c r="A1062" t="s">
        <v>404</v>
      </c>
      <c r="B1062" t="s">
        <v>891</v>
      </c>
      <c r="C1062" t="s">
        <v>405</v>
      </c>
      <c r="D1062">
        <v>0</v>
      </c>
      <c r="E1062">
        <v>6.9516721129999997E-5</v>
      </c>
      <c r="F1062">
        <v>3.5414417730000002E-5</v>
      </c>
      <c r="G1062">
        <v>2.9853311320000002E-7</v>
      </c>
      <c r="H1062">
        <v>1.3443666529999999E-5</v>
      </c>
      <c r="I1062">
        <v>8.6598681800000002E-5</v>
      </c>
    </row>
    <row r="1063" spans="1:9" hidden="1" x14ac:dyDescent="0.2">
      <c r="A1063" t="s">
        <v>406</v>
      </c>
      <c r="B1063" t="s">
        <v>821</v>
      </c>
      <c r="C1063" t="s">
        <v>405</v>
      </c>
      <c r="E1063">
        <v>1.0384694769999999E-5</v>
      </c>
      <c r="F1063">
        <v>5.9207369360000001E-6</v>
      </c>
      <c r="G1063">
        <v>0</v>
      </c>
      <c r="H1063">
        <v>2.9202444040000001E-6</v>
      </c>
      <c r="I1063">
        <v>1.1968010819999999E-5</v>
      </c>
    </row>
    <row r="1064" spans="1:9" hidden="1" x14ac:dyDescent="0.2">
      <c r="A1064" t="s">
        <v>406</v>
      </c>
      <c r="B1064" t="s">
        <v>891</v>
      </c>
      <c r="C1064" t="s">
        <v>405</v>
      </c>
      <c r="E1064">
        <v>-1.1798641209999999E-5</v>
      </c>
      <c r="F1064">
        <v>-6.8803388160000002E-6</v>
      </c>
      <c r="G1064">
        <v>0</v>
      </c>
      <c r="H1064">
        <v>-3.7619232909999998E-6</v>
      </c>
      <c r="I1064">
        <v>-1.6817793600000001E-5</v>
      </c>
    </row>
    <row r="1065" spans="1:9" hidden="1" x14ac:dyDescent="0.2">
      <c r="A1065" t="s">
        <v>406</v>
      </c>
      <c r="B1065" t="s">
        <v>824</v>
      </c>
      <c r="C1065" t="s">
        <v>405</v>
      </c>
      <c r="E1065">
        <v>1.43193118E-5</v>
      </c>
      <c r="F1065">
        <v>8.3502595789999995E-6</v>
      </c>
      <c r="G1065">
        <v>0</v>
      </c>
      <c r="H1065">
        <v>4.5656234140000004E-6</v>
      </c>
      <c r="I1065">
        <v>2.0410759680000001E-5</v>
      </c>
    </row>
    <row r="1066" spans="1:9" hidden="1" x14ac:dyDescent="0.2">
      <c r="A1066" t="s">
        <v>407</v>
      </c>
      <c r="B1066" t="s">
        <v>827</v>
      </c>
      <c r="C1066" t="s">
        <v>405</v>
      </c>
      <c r="D1066">
        <v>0</v>
      </c>
      <c r="E1066">
        <v>5.2673502230000001E-6</v>
      </c>
      <c r="F1066">
        <v>2.4266970170000001E-6</v>
      </c>
      <c r="G1066">
        <v>0</v>
      </c>
      <c r="H1066">
        <v>0.12499304629999999</v>
      </c>
      <c r="I1066">
        <v>0.1440122965</v>
      </c>
    </row>
    <row r="1067" spans="1:9" hidden="1" x14ac:dyDescent="0.2">
      <c r="A1067" t="s">
        <v>407</v>
      </c>
      <c r="B1067" t="s">
        <v>821</v>
      </c>
      <c r="C1067" t="s">
        <v>405</v>
      </c>
      <c r="D1067">
        <v>0</v>
      </c>
      <c r="E1067">
        <v>2.1496839289999999E-5</v>
      </c>
      <c r="F1067">
        <v>9.6911436E-6</v>
      </c>
      <c r="G1067">
        <v>0</v>
      </c>
      <c r="H1067">
        <v>0.39799277900000002</v>
      </c>
      <c r="I1067">
        <v>0.35459874299999999</v>
      </c>
    </row>
    <row r="1068" spans="1:9" hidden="1" x14ac:dyDescent="0.2">
      <c r="A1068" t="s">
        <v>407</v>
      </c>
      <c r="B1068" t="s">
        <v>891</v>
      </c>
      <c r="C1068" t="s">
        <v>405</v>
      </c>
      <c r="D1068">
        <v>0</v>
      </c>
      <c r="E1068">
        <v>-7.3147931970000003E-5</v>
      </c>
      <c r="F1068">
        <v>-3.3699651779999998E-5</v>
      </c>
      <c r="G1068">
        <v>-3.3217827590000003E-7</v>
      </c>
      <c r="H1068">
        <v>-1.735784116</v>
      </c>
      <c r="I1068">
        <v>-1.9999053069999999</v>
      </c>
    </row>
    <row r="1069" spans="1:9" hidden="1" x14ac:dyDescent="0.2">
      <c r="A1069" t="s">
        <v>407</v>
      </c>
      <c r="B1069" t="s">
        <v>824</v>
      </c>
      <c r="C1069" t="s">
        <v>405</v>
      </c>
      <c r="D1069">
        <v>0</v>
      </c>
      <c r="E1069">
        <v>8.8775311219999996E-5</v>
      </c>
      <c r="F1069">
        <v>4.0899270740000002E-5</v>
      </c>
      <c r="G1069">
        <v>4.031450928E-7</v>
      </c>
      <c r="H1069">
        <v>2.1066183409999999</v>
      </c>
      <c r="I1069">
        <v>2.4271665819999999</v>
      </c>
    </row>
    <row r="1070" spans="1:9" hidden="1" x14ac:dyDescent="0.2">
      <c r="A1070" t="s">
        <v>408</v>
      </c>
      <c r="B1070" t="s">
        <v>821</v>
      </c>
      <c r="C1070" t="s">
        <v>405</v>
      </c>
      <c r="E1070">
        <v>2.1609822099999999E-5</v>
      </c>
      <c r="F1070">
        <v>1.0510893349999999E-5</v>
      </c>
      <c r="G1070">
        <v>1.2026060759999999E-7</v>
      </c>
      <c r="H1070">
        <v>4.7504752669999998E-6</v>
      </c>
      <c r="I1070">
        <v>2.2056358280000001E-5</v>
      </c>
    </row>
    <row r="1071" spans="1:9" hidden="1" x14ac:dyDescent="0.2">
      <c r="A1071" t="s">
        <v>408</v>
      </c>
      <c r="B1071" t="s">
        <v>891</v>
      </c>
      <c r="C1071" t="s">
        <v>405</v>
      </c>
      <c r="E1071">
        <v>-7.9525443699999995E-6</v>
      </c>
      <c r="F1071">
        <v>-3.9755598169999999E-6</v>
      </c>
      <c r="G1071">
        <v>0</v>
      </c>
      <c r="H1071">
        <v>-1.8573571760000001E-6</v>
      </c>
      <c r="I1071">
        <v>-8.6668929890000007E-6</v>
      </c>
    </row>
    <row r="1072" spans="1:9" hidden="1" x14ac:dyDescent="0.2">
      <c r="A1072" t="s">
        <v>409</v>
      </c>
      <c r="B1072" t="s">
        <v>827</v>
      </c>
      <c r="C1072" t="s">
        <v>405</v>
      </c>
      <c r="E1072">
        <v>9.3297462399999996E-7</v>
      </c>
      <c r="F1072">
        <v>4.501504174E-7</v>
      </c>
      <c r="G1072">
        <v>0</v>
      </c>
      <c r="H1072">
        <v>6.5073655130000001E-7</v>
      </c>
      <c r="I1072">
        <v>4.0750372130000002E-6</v>
      </c>
    </row>
    <row r="1073" spans="1:9" hidden="1" x14ac:dyDescent="0.2">
      <c r="A1073" t="s">
        <v>409</v>
      </c>
      <c r="B1073" t="s">
        <v>821</v>
      </c>
      <c r="C1073" t="s">
        <v>405</v>
      </c>
      <c r="E1073">
        <v>2.7610678649999998E-5</v>
      </c>
      <c r="F1073">
        <v>1.2945868540000001E-5</v>
      </c>
      <c r="G1073">
        <v>1.508638458E-7</v>
      </c>
      <c r="H1073">
        <v>1.7296756839999999E-5</v>
      </c>
      <c r="I1073">
        <v>1.028410114E-4</v>
      </c>
    </row>
    <row r="1074" spans="1:9" hidden="1" x14ac:dyDescent="0.2">
      <c r="A1074" t="s">
        <v>409</v>
      </c>
      <c r="B1074" t="s">
        <v>891</v>
      </c>
      <c r="C1074" t="s">
        <v>405</v>
      </c>
      <c r="E1074">
        <v>-1.295626101E-5</v>
      </c>
      <c r="F1074">
        <v>-6.251259308E-6</v>
      </c>
      <c r="G1074">
        <v>0</v>
      </c>
      <c r="H1074">
        <v>-9.0368080660000007E-6</v>
      </c>
      <c r="I1074">
        <v>-5.6590227010000003E-5</v>
      </c>
    </row>
    <row r="1075" spans="1:9" hidden="1" x14ac:dyDescent="0.2">
      <c r="A1075" t="s">
        <v>410</v>
      </c>
      <c r="B1075" t="s">
        <v>821</v>
      </c>
      <c r="C1075" t="s">
        <v>405</v>
      </c>
      <c r="E1075">
        <v>2.3059711969999999E-5</v>
      </c>
      <c r="F1075">
        <v>1.101023194E-5</v>
      </c>
      <c r="G1075">
        <v>1.211065282E-7</v>
      </c>
      <c r="H1075">
        <v>6.6755427069999999E-6</v>
      </c>
      <c r="I1075">
        <v>2.3596067029999998E-5</v>
      </c>
    </row>
    <row r="1076" spans="1:9" hidden="1" x14ac:dyDescent="0.2">
      <c r="A1076" t="s">
        <v>410</v>
      </c>
      <c r="B1076" t="s">
        <v>891</v>
      </c>
      <c r="C1076" t="s">
        <v>405</v>
      </c>
      <c r="E1076">
        <v>-9.7239749279999992E-6</v>
      </c>
      <c r="F1076">
        <v>-4.7130600470000003E-6</v>
      </c>
      <c r="G1076">
        <v>0</v>
      </c>
      <c r="H1076">
        <v>-2.949473139E-6</v>
      </c>
      <c r="I1076">
        <v>-1.0601131559999999E-5</v>
      </c>
    </row>
    <row r="1077" spans="1:9" hidden="1" x14ac:dyDescent="0.2">
      <c r="A1077" t="s">
        <v>411</v>
      </c>
      <c r="B1077" t="s">
        <v>827</v>
      </c>
      <c r="C1077" t="s">
        <v>405</v>
      </c>
      <c r="E1077">
        <v>1.4270938740000001E-6</v>
      </c>
      <c r="F1077">
        <v>5.6366058829999998E-7</v>
      </c>
      <c r="G1077">
        <v>0</v>
      </c>
      <c r="H1077">
        <v>7.5210528169999995E-7</v>
      </c>
      <c r="I1077">
        <v>3.8898914090000003E-6</v>
      </c>
    </row>
    <row r="1078" spans="1:9" hidden="1" x14ac:dyDescent="0.2">
      <c r="A1078" t="s">
        <v>411</v>
      </c>
      <c r="B1078" t="s">
        <v>821</v>
      </c>
      <c r="C1078" t="s">
        <v>405</v>
      </c>
      <c r="E1078">
        <v>3.5378313440000001E-5</v>
      </c>
      <c r="F1078">
        <v>1.3801239210000001E-5</v>
      </c>
      <c r="G1078">
        <v>1.5344339180000001E-7</v>
      </c>
      <c r="H1078">
        <v>1.7926174500000002E-5</v>
      </c>
      <c r="I1078">
        <v>9.1372567559999993E-5</v>
      </c>
    </row>
    <row r="1079" spans="1:9" hidden="1" x14ac:dyDescent="0.2">
      <c r="A1079" t="s">
        <v>411</v>
      </c>
      <c r="B1079" t="s">
        <v>891</v>
      </c>
      <c r="C1079" t="s">
        <v>405</v>
      </c>
      <c r="E1079">
        <v>-1.9818117490000001E-5</v>
      </c>
      <c r="F1079">
        <v>-7.8275802109999997E-6</v>
      </c>
      <c r="G1079">
        <v>0</v>
      </c>
      <c r="H1079">
        <v>-1.044452023E-5</v>
      </c>
      <c r="I1079">
        <v>-5.40190988E-5</v>
      </c>
    </row>
    <row r="1080" spans="1:9" hidden="1" x14ac:dyDescent="0.2">
      <c r="A1080" t="s">
        <v>412</v>
      </c>
      <c r="B1080" t="s">
        <v>821</v>
      </c>
      <c r="C1080" t="s">
        <v>5</v>
      </c>
      <c r="D1080">
        <v>2.710959279E-8</v>
      </c>
      <c r="E1080">
        <v>-1.4210854720000001E-14</v>
      </c>
      <c r="F1080">
        <v>3.5527136790000002E-13</v>
      </c>
      <c r="G1080">
        <v>-1.2079226509999999E-13</v>
      </c>
      <c r="H1080">
        <v>0</v>
      </c>
      <c r="I1080">
        <v>2.842170943E-14</v>
      </c>
    </row>
    <row r="1081" spans="1:9" hidden="1" x14ac:dyDescent="0.2">
      <c r="A1081" t="s">
        <v>413</v>
      </c>
      <c r="B1081" t="s">
        <v>828</v>
      </c>
      <c r="C1081" t="s">
        <v>5</v>
      </c>
      <c r="D1081">
        <v>-1.2363443600000001E-11</v>
      </c>
      <c r="E1081">
        <v>7.1487122000000003E-8</v>
      </c>
      <c r="F1081">
        <v>8.5123019739999999E-12</v>
      </c>
      <c r="G1081">
        <v>-2.131628207E-13</v>
      </c>
      <c r="H1081">
        <v>0</v>
      </c>
      <c r="I1081">
        <v>-5.684341886E-14</v>
      </c>
    </row>
    <row r="1082" spans="1:9" hidden="1" x14ac:dyDescent="0.2">
      <c r="A1082" t="s">
        <v>414</v>
      </c>
      <c r="B1082" t="s">
        <v>821</v>
      </c>
      <c r="C1082" t="s">
        <v>16</v>
      </c>
      <c r="D1082">
        <v>-5.4341597890000002E-8</v>
      </c>
      <c r="E1082">
        <v>-5.684341886E-14</v>
      </c>
      <c r="F1082">
        <v>7.2901684689999995E-12</v>
      </c>
      <c r="G1082">
        <v>5.684341886E-14</v>
      </c>
      <c r="H1082">
        <v>1.3358203430000001E-12</v>
      </c>
      <c r="I1082">
        <v>-5.5422333389999996E-13</v>
      </c>
    </row>
    <row r="1083" spans="1:9" hidden="1" x14ac:dyDescent="0.2">
      <c r="A1083" t="s">
        <v>415</v>
      </c>
      <c r="B1083" t="s">
        <v>821</v>
      </c>
      <c r="C1083" t="s">
        <v>199</v>
      </c>
      <c r="D1083">
        <v>9.4758334509999999E-10</v>
      </c>
      <c r="E1083">
        <v>9.9475983009999998E-14</v>
      </c>
      <c r="F1083">
        <v>5.2935433810000002E-13</v>
      </c>
      <c r="G1083">
        <v>-1.776356839E-15</v>
      </c>
      <c r="H1083">
        <v>-5.3290705179999997E-15</v>
      </c>
      <c r="I1083">
        <v>-8.8817841969999996E-15</v>
      </c>
    </row>
    <row r="1084" spans="1:9" hidden="1" x14ac:dyDescent="0.2">
      <c r="A1084" t="s">
        <v>416</v>
      </c>
      <c r="B1084" t="s">
        <v>821</v>
      </c>
      <c r="C1084" t="s">
        <v>24</v>
      </c>
      <c r="D1084">
        <v>-7.2202567479999998E-8</v>
      </c>
      <c r="E1084">
        <v>2.5892177290000001E-11</v>
      </c>
      <c r="F1084">
        <v>-1.3827161639999999E-10</v>
      </c>
      <c r="G1084">
        <v>-3.1263880370000002E-13</v>
      </c>
      <c r="H1084">
        <v>-1.136868377E-13</v>
      </c>
      <c r="I1084">
        <v>-1.2505552150000001E-12</v>
      </c>
    </row>
    <row r="1085" spans="1:9" hidden="1" x14ac:dyDescent="0.2">
      <c r="A1085" t="s">
        <v>417</v>
      </c>
      <c r="B1085" t="s">
        <v>821</v>
      </c>
      <c r="C1085" t="s">
        <v>3</v>
      </c>
      <c r="D1085">
        <v>-2.4872228720000001E-8</v>
      </c>
      <c r="E1085">
        <v>2.9132252170000001E-13</v>
      </c>
      <c r="F1085">
        <v>-9.8054897530000002E-12</v>
      </c>
      <c r="G1085">
        <v>-2.131628207E-14</v>
      </c>
      <c r="H1085">
        <v>-1.421085472E-13</v>
      </c>
      <c r="I1085">
        <v>-1.008970685E-12</v>
      </c>
    </row>
    <row r="1086" spans="1:9" hidden="1" x14ac:dyDescent="0.2">
      <c r="A1086" t="s">
        <v>418</v>
      </c>
      <c r="B1086" t="s">
        <v>821</v>
      </c>
      <c r="C1086" t="s">
        <v>318</v>
      </c>
      <c r="D1086">
        <v>5.4542503849999996E-10</v>
      </c>
      <c r="E1086">
        <v>-1.776356839E-15</v>
      </c>
      <c r="F1086">
        <v>-4.4408920990000004E-15</v>
      </c>
      <c r="G1086">
        <v>-8.881784197E-16</v>
      </c>
      <c r="H1086">
        <v>0</v>
      </c>
      <c r="I1086">
        <v>0</v>
      </c>
    </row>
    <row r="1087" spans="1:9" hidden="1" x14ac:dyDescent="0.2">
      <c r="A1087" t="s">
        <v>419</v>
      </c>
      <c r="B1087" t="s">
        <v>825</v>
      </c>
      <c r="C1087" t="s">
        <v>318</v>
      </c>
      <c r="D1087">
        <v>2.4196342710000002E-9</v>
      </c>
      <c r="E1087">
        <v>-7.1054273579999998E-15</v>
      </c>
      <c r="F1087">
        <v>-2.3536728119999998E-13</v>
      </c>
      <c r="G1087">
        <v>1.776356839E-15</v>
      </c>
      <c r="H1087">
        <v>0</v>
      </c>
      <c r="I1087">
        <v>-8.881784197E-16</v>
      </c>
    </row>
    <row r="1088" spans="1:9" hidden="1" x14ac:dyDescent="0.2">
      <c r="A1088" t="s">
        <v>420</v>
      </c>
      <c r="B1088" t="s">
        <v>825</v>
      </c>
      <c r="C1088" t="s">
        <v>5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 spans="1:9" hidden="1" x14ac:dyDescent="0.2">
      <c r="A1089" t="s">
        <v>421</v>
      </c>
      <c r="B1089" t="s">
        <v>825</v>
      </c>
      <c r="C1089" t="s">
        <v>3</v>
      </c>
      <c r="D1089">
        <v>-4.2771775699999999E-17</v>
      </c>
      <c r="E1089">
        <v>-1.854813192E-9</v>
      </c>
      <c r="F1089">
        <v>-1.5573142779999999E-10</v>
      </c>
      <c r="G1089">
        <v>1.7763568390000001E-14</v>
      </c>
      <c r="H1089">
        <v>-3.5527136790000001E-14</v>
      </c>
      <c r="I1089">
        <v>-3.030464768E-11</v>
      </c>
    </row>
    <row r="1090" spans="1:9" hidden="1" x14ac:dyDescent="0.2">
      <c r="A1090" t="s">
        <v>422</v>
      </c>
      <c r="B1090" t="s">
        <v>821</v>
      </c>
      <c r="C1090" t="s">
        <v>2</v>
      </c>
      <c r="D1090">
        <v>3.3332860030000001E-8</v>
      </c>
      <c r="E1090">
        <v>-5.4924953469999997E-12</v>
      </c>
      <c r="F1090">
        <v>1.403321903E-11</v>
      </c>
      <c r="G1090">
        <v>3.5527136790000001E-14</v>
      </c>
      <c r="H1090">
        <v>1.7053025659999999E-13</v>
      </c>
      <c r="I1090">
        <v>-8.5265128290000004E-14</v>
      </c>
    </row>
    <row r="1091" spans="1:9" hidden="1" x14ac:dyDescent="0.2">
      <c r="A1091" t="s">
        <v>423</v>
      </c>
      <c r="B1091" t="s">
        <v>821</v>
      </c>
      <c r="C1091" t="s">
        <v>128</v>
      </c>
      <c r="D1091">
        <v>-4.4561634380000002E-9</v>
      </c>
      <c r="E1091">
        <v>2.1547192119999999E-5</v>
      </c>
      <c r="F1091">
        <v>3.5889633399999999E-6</v>
      </c>
      <c r="G1091">
        <v>2.3660451379999998E-10</v>
      </c>
      <c r="H1091">
        <v>7.4937105410000007E-9</v>
      </c>
      <c r="I1091">
        <v>6.6121837919999996E-6</v>
      </c>
    </row>
    <row r="1092" spans="1:9" hidden="1" x14ac:dyDescent="0.2">
      <c r="A1092" t="s">
        <v>424</v>
      </c>
      <c r="B1092" t="s">
        <v>821</v>
      </c>
      <c r="C1092" t="s">
        <v>194</v>
      </c>
      <c r="D1092">
        <v>1.3339818139999999E-10</v>
      </c>
      <c r="E1092">
        <v>-2.6645352590000001E-14</v>
      </c>
      <c r="F1092">
        <v>1.092459456E-13</v>
      </c>
      <c r="G1092">
        <v>8.881784197E-16</v>
      </c>
      <c r="H1092">
        <v>8.881784197E-16</v>
      </c>
      <c r="I1092">
        <v>0</v>
      </c>
    </row>
    <row r="1093" spans="1:9" hidden="1" x14ac:dyDescent="0.2">
      <c r="A1093" t="s">
        <v>425</v>
      </c>
      <c r="B1093" t="s">
        <v>825</v>
      </c>
      <c r="C1093" t="s">
        <v>16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 hidden="1" x14ac:dyDescent="0.2">
      <c r="A1094" t="s">
        <v>426</v>
      </c>
      <c r="B1094" t="s">
        <v>825</v>
      </c>
      <c r="C1094" t="s">
        <v>24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 spans="1:9" hidden="1" x14ac:dyDescent="0.2">
      <c r="A1095" t="s">
        <v>427</v>
      </c>
      <c r="B1095" t="s">
        <v>825</v>
      </c>
      <c r="C1095" t="s">
        <v>128</v>
      </c>
      <c r="D1095">
        <v>1.83365767E-10</v>
      </c>
      <c r="E1095">
        <v>5.0623033060000002E-5</v>
      </c>
      <c r="F1095">
        <v>8.4312665939999998E-6</v>
      </c>
      <c r="G1095">
        <v>5.5582916049999999E-10</v>
      </c>
      <c r="H1095">
        <v>1.76042898E-8</v>
      </c>
      <c r="I1095">
        <v>1.553338416E-5</v>
      </c>
    </row>
    <row r="1096" spans="1:9" hidden="1" x14ac:dyDescent="0.2">
      <c r="A1096" t="s">
        <v>428</v>
      </c>
      <c r="B1096" t="s">
        <v>825</v>
      </c>
      <c r="C1096" t="s">
        <v>194</v>
      </c>
      <c r="D1096">
        <v>-4.937721343E-10</v>
      </c>
      <c r="E1096">
        <v>2.2204460490000001E-16</v>
      </c>
      <c r="F1096">
        <v>-4.4408920989999998E-16</v>
      </c>
      <c r="G1096">
        <v>0</v>
      </c>
      <c r="H1096">
        <v>0</v>
      </c>
      <c r="I1096">
        <v>0</v>
      </c>
    </row>
    <row r="1097" spans="1:9" hidden="1" x14ac:dyDescent="0.2">
      <c r="A1097" t="s">
        <v>429</v>
      </c>
      <c r="B1097" t="s">
        <v>825</v>
      </c>
      <c r="C1097" t="s">
        <v>199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 hidden="1" x14ac:dyDescent="0.2">
      <c r="A1098" t="s">
        <v>430</v>
      </c>
      <c r="B1098" t="s">
        <v>825</v>
      </c>
      <c r="C1098" t="s">
        <v>2</v>
      </c>
      <c r="D1098">
        <v>2.508201646E-9</v>
      </c>
      <c r="E1098">
        <v>3.5527136789999999E-15</v>
      </c>
      <c r="F1098">
        <v>2.4868995750000002E-14</v>
      </c>
      <c r="G1098">
        <v>0</v>
      </c>
      <c r="H1098">
        <v>0</v>
      </c>
      <c r="I1098">
        <v>3.5527136789999999E-15</v>
      </c>
    </row>
    <row r="1099" spans="1:9" hidden="1" x14ac:dyDescent="0.2">
      <c r="A1099" t="s">
        <v>431</v>
      </c>
      <c r="B1099" t="s">
        <v>828</v>
      </c>
      <c r="C1099" t="s">
        <v>3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 hidden="1" x14ac:dyDescent="0.2">
      <c r="A1100" t="s">
        <v>432</v>
      </c>
      <c r="B1100" t="s">
        <v>828</v>
      </c>
      <c r="C1100" t="s">
        <v>199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 spans="1:9" hidden="1" x14ac:dyDescent="0.2">
      <c r="A1101" t="s">
        <v>433</v>
      </c>
      <c r="B1101" t="s">
        <v>828</v>
      </c>
      <c r="C1101" t="s">
        <v>128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 hidden="1" x14ac:dyDescent="0.2">
      <c r="A1102" t="s">
        <v>434</v>
      </c>
      <c r="B1102" t="s">
        <v>828</v>
      </c>
      <c r="C1102" t="s">
        <v>194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 hidden="1" x14ac:dyDescent="0.2">
      <c r="A1103" t="s">
        <v>435</v>
      </c>
      <c r="B1103" t="s">
        <v>828</v>
      </c>
      <c r="C1103" t="s">
        <v>2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 spans="1:9" hidden="1" x14ac:dyDescent="0.2">
      <c r="A1104" t="s">
        <v>436</v>
      </c>
      <c r="B1104" t="s">
        <v>828</v>
      </c>
      <c r="C1104" t="s">
        <v>318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 spans="1:9" hidden="1" x14ac:dyDescent="0.2">
      <c r="A1105" t="s">
        <v>437</v>
      </c>
      <c r="B1105" t="s">
        <v>828</v>
      </c>
      <c r="C1105" t="s">
        <v>24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 spans="1:9" hidden="1" x14ac:dyDescent="0.2">
      <c r="A1106" t="s">
        <v>438</v>
      </c>
      <c r="B1106" t="s">
        <v>828</v>
      </c>
      <c r="C1106" t="s">
        <v>16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 hidden="1" x14ac:dyDescent="0.2">
      <c r="A1107" t="s">
        <v>439</v>
      </c>
      <c r="B1107" t="s">
        <v>828</v>
      </c>
      <c r="C1107" t="s">
        <v>113</v>
      </c>
      <c r="D1107">
        <v>-4.3114598759999998</v>
      </c>
      <c r="E1107">
        <v>-2.4828070669999998E-4</v>
      </c>
      <c r="F1107">
        <v>-1.013749226E-4</v>
      </c>
      <c r="G1107">
        <v>-1.5107682260000001E-5</v>
      </c>
      <c r="H1107">
        <v>-3.6528177820000003E-5</v>
      </c>
      <c r="I1107">
        <v>-1.9617561160000001E-4</v>
      </c>
    </row>
    <row r="1108" spans="1:9" hidden="1" x14ac:dyDescent="0.2">
      <c r="A1108" t="s">
        <v>439</v>
      </c>
      <c r="B1108" t="s">
        <v>817</v>
      </c>
      <c r="C1108" t="s">
        <v>113</v>
      </c>
      <c r="D1108">
        <v>4.3114644999999996</v>
      </c>
      <c r="E1108">
        <v>3.1344149220000002E-4</v>
      </c>
      <c r="F1108">
        <v>1.122272681E-4</v>
      </c>
      <c r="G1108">
        <v>1.5108397700000001E-5</v>
      </c>
      <c r="H1108">
        <v>3.655083739E-5</v>
      </c>
      <c r="I1108">
        <v>2.027877954E-4</v>
      </c>
    </row>
    <row r="1109" spans="1:9" hidden="1" x14ac:dyDescent="0.2">
      <c r="A1109" t="s">
        <v>440</v>
      </c>
      <c r="B1109" t="s">
        <v>892</v>
      </c>
      <c r="C1109" t="s">
        <v>441</v>
      </c>
      <c r="D1109">
        <v>0</v>
      </c>
      <c r="E1109">
        <v>6.8000044470000001</v>
      </c>
      <c r="F1109">
        <v>5.459680648</v>
      </c>
      <c r="G1109">
        <v>26.86851098</v>
      </c>
      <c r="H1109">
        <v>38.123876660000001</v>
      </c>
      <c r="I1109">
        <v>61.046587279999997</v>
      </c>
    </row>
    <row r="1110" spans="1:9" hidden="1" x14ac:dyDescent="0.2">
      <c r="A1110" t="s">
        <v>440</v>
      </c>
      <c r="B1110" t="s">
        <v>857</v>
      </c>
      <c r="C1110" t="s">
        <v>441</v>
      </c>
      <c r="D1110">
        <v>29.042327100000001</v>
      </c>
      <c r="E1110">
        <v>130.78996520000001</v>
      </c>
      <c r="F1110">
        <v>139.8203044</v>
      </c>
      <c r="G1110">
        <v>126.10149610000001</v>
      </c>
      <c r="H1110">
        <v>121.6782249</v>
      </c>
      <c r="I1110">
        <v>107.9534129</v>
      </c>
    </row>
    <row r="1111" spans="1:9" hidden="1" x14ac:dyDescent="0.2">
      <c r="A1111" t="s">
        <v>440</v>
      </c>
      <c r="B1111" t="s">
        <v>890</v>
      </c>
      <c r="C1111" t="s">
        <v>441</v>
      </c>
      <c r="D1111">
        <v>5.7664145940000001E-2</v>
      </c>
      <c r="E1111">
        <v>0.10003353080000001</v>
      </c>
      <c r="F1111">
        <v>0.10001995430000001</v>
      </c>
      <c r="G1111">
        <v>0.1000002608</v>
      </c>
      <c r="H1111">
        <v>0.96790267689999998</v>
      </c>
      <c r="I1111">
        <v>1.0000001009999999</v>
      </c>
    </row>
    <row r="1112" spans="1:9" hidden="1" x14ac:dyDescent="0.2">
      <c r="A1112" t="s">
        <v>442</v>
      </c>
      <c r="B1112" t="s">
        <v>893</v>
      </c>
      <c r="C1112" t="s">
        <v>441</v>
      </c>
      <c r="D1112">
        <v>4.2014401210000003E-6</v>
      </c>
      <c r="E1112">
        <v>0.10002119769999999</v>
      </c>
      <c r="F1112">
        <v>0.10000294799999999</v>
      </c>
      <c r="G1112">
        <v>9.9999991469999994E-2</v>
      </c>
      <c r="H1112">
        <v>9.99998042E-2</v>
      </c>
      <c r="I1112">
        <v>0.1000062206</v>
      </c>
    </row>
    <row r="1113" spans="1:9" hidden="1" x14ac:dyDescent="0.2">
      <c r="A1113" t="s">
        <v>442</v>
      </c>
      <c r="B1113" t="s">
        <v>851</v>
      </c>
      <c r="C1113" t="s">
        <v>441</v>
      </c>
      <c r="D1113">
        <v>-5.250413322E-7</v>
      </c>
      <c r="E1113">
        <v>20.57359881</v>
      </c>
      <c r="F1113">
        <v>16.436813390000001</v>
      </c>
      <c r="G1113">
        <v>2.505757078E-5</v>
      </c>
      <c r="H1113">
        <v>20.402400799999999</v>
      </c>
      <c r="I1113">
        <v>1.594154201E-3</v>
      </c>
    </row>
    <row r="1114" spans="1:9" hidden="1" x14ac:dyDescent="0.2">
      <c r="A1114" t="s">
        <v>442</v>
      </c>
      <c r="B1114" t="s">
        <v>856</v>
      </c>
      <c r="C1114" t="s">
        <v>441</v>
      </c>
      <c r="D1114">
        <v>221.5053231</v>
      </c>
      <c r="E1114">
        <v>364.52766630000002</v>
      </c>
      <c r="F1114">
        <v>268.36585489999999</v>
      </c>
      <c r="G1114">
        <v>306.33713180000001</v>
      </c>
      <c r="H1114">
        <v>257.03746009999998</v>
      </c>
      <c r="I1114">
        <v>254.97053539999999</v>
      </c>
    </row>
    <row r="1115" spans="1:9" hidden="1" x14ac:dyDescent="0.2">
      <c r="A1115" t="s">
        <v>442</v>
      </c>
      <c r="B1115" t="s">
        <v>852</v>
      </c>
      <c r="C1115" t="s">
        <v>441</v>
      </c>
      <c r="D1115">
        <v>4.9059824289999998E-2</v>
      </c>
      <c r="E1115">
        <v>9.8799569170000004E-2</v>
      </c>
      <c r="F1115">
        <v>9.7344970880000006E-2</v>
      </c>
      <c r="G1115">
        <v>2.0333591690000001E-5</v>
      </c>
      <c r="H1115">
        <v>0.53226141110000003</v>
      </c>
      <c r="I1115">
        <v>1.019326668E-3</v>
      </c>
    </row>
    <row r="1116" spans="1:9" hidden="1" x14ac:dyDescent="0.2">
      <c r="A1116" t="s">
        <v>443</v>
      </c>
      <c r="B1116" t="s">
        <v>851</v>
      </c>
      <c r="C1116" t="s">
        <v>7</v>
      </c>
      <c r="E1116">
        <v>-2.694744936E-5</v>
      </c>
      <c r="F1116">
        <v>-1.1500760480000001E-5</v>
      </c>
      <c r="G1116">
        <v>-3.4271376819999998E-7</v>
      </c>
      <c r="H1116">
        <v>-3.554771114E-5</v>
      </c>
      <c r="I1116">
        <v>-5.5870839459999999</v>
      </c>
    </row>
    <row r="1117" spans="1:9" hidden="1" x14ac:dyDescent="0.2">
      <c r="A1117" t="s">
        <v>443</v>
      </c>
      <c r="B1117" t="s">
        <v>892</v>
      </c>
      <c r="C1117" t="s">
        <v>7</v>
      </c>
      <c r="E1117">
        <v>-5.389489872E-5</v>
      </c>
      <c r="F1117">
        <v>-2.3001520960000001E-5</v>
      </c>
      <c r="G1117">
        <v>-6.8542753650000003E-7</v>
      </c>
      <c r="H1117">
        <v>-7.1095422269999996E-5</v>
      </c>
      <c r="I1117">
        <v>-11.17416789</v>
      </c>
    </row>
    <row r="1118" spans="1:9" hidden="1" x14ac:dyDescent="0.2">
      <c r="A1118" t="s">
        <v>443</v>
      </c>
      <c r="B1118" t="s">
        <v>820</v>
      </c>
      <c r="C1118" t="s">
        <v>7</v>
      </c>
      <c r="E1118">
        <v>2.1116714709999999E-4</v>
      </c>
      <c r="F1118">
        <v>9.0122918379999993E-5</v>
      </c>
      <c r="G1118">
        <v>2.6855932719999999E-6</v>
      </c>
      <c r="H1118">
        <v>2.7856101129999998E-4</v>
      </c>
      <c r="I1118">
        <v>43.781827419999999</v>
      </c>
    </row>
    <row r="1119" spans="1:9" hidden="1" x14ac:dyDescent="0.2">
      <c r="A1119" t="s">
        <v>443</v>
      </c>
      <c r="B1119" t="s">
        <v>837</v>
      </c>
      <c r="C1119" t="s">
        <v>7</v>
      </c>
      <c r="E1119">
        <v>-2.694744936E-5</v>
      </c>
      <c r="F1119">
        <v>-1.1500760480000001E-5</v>
      </c>
      <c r="G1119">
        <v>-3.4271376819999998E-7</v>
      </c>
      <c r="H1119">
        <v>-3.554771114E-5</v>
      </c>
      <c r="I1119">
        <v>-5.5870839459999999</v>
      </c>
    </row>
    <row r="1120" spans="1:9" hidden="1" x14ac:dyDescent="0.2">
      <c r="A1120" t="s">
        <v>443</v>
      </c>
      <c r="B1120" t="s">
        <v>821</v>
      </c>
      <c r="C1120" t="s">
        <v>7</v>
      </c>
      <c r="E1120">
        <v>6.9338463569999995E-7</v>
      </c>
      <c r="F1120">
        <v>2.9592598940000002E-7</v>
      </c>
      <c r="G1120">
        <v>0</v>
      </c>
      <c r="H1120">
        <v>9.1467791279999999E-7</v>
      </c>
      <c r="I1120">
        <v>0.14376121889999999</v>
      </c>
    </row>
    <row r="1121" spans="1:9" hidden="1" x14ac:dyDescent="0.2">
      <c r="A1121" t="s">
        <v>443</v>
      </c>
      <c r="B1121" t="s">
        <v>870</v>
      </c>
      <c r="C1121" t="s">
        <v>7</v>
      </c>
      <c r="E1121">
        <v>-2.6285582230000001E-5</v>
      </c>
      <c r="F1121">
        <v>-1.121828568E-5</v>
      </c>
      <c r="G1121">
        <v>-3.342962376E-7</v>
      </c>
      <c r="H1121">
        <v>-3.4674609519999997E-5</v>
      </c>
      <c r="I1121">
        <v>-5.4498573319999997</v>
      </c>
    </row>
    <row r="1122" spans="1:9" hidden="1" x14ac:dyDescent="0.2">
      <c r="A1122" t="s">
        <v>444</v>
      </c>
      <c r="B1122" t="s">
        <v>893</v>
      </c>
      <c r="C1122" t="s">
        <v>128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 hidden="1" x14ac:dyDescent="0.2">
      <c r="A1123" t="s">
        <v>444</v>
      </c>
      <c r="B1123" t="s">
        <v>854</v>
      </c>
      <c r="C1123" t="s">
        <v>128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 hidden="1" x14ac:dyDescent="0.2">
      <c r="A1124" t="s">
        <v>444</v>
      </c>
      <c r="B1124" t="s">
        <v>851</v>
      </c>
      <c r="C1124" t="s">
        <v>128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 hidden="1" x14ac:dyDescent="0.2">
      <c r="A1125" t="s">
        <v>444</v>
      </c>
      <c r="B1125" t="s">
        <v>892</v>
      </c>
      <c r="C1125" t="s">
        <v>128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 hidden="1" x14ac:dyDescent="0.2">
      <c r="A1126" t="s">
        <v>444</v>
      </c>
      <c r="B1126" t="s">
        <v>820</v>
      </c>
      <c r="C1126" t="s">
        <v>128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 hidden="1" x14ac:dyDescent="0.2">
      <c r="A1127" t="s">
        <v>444</v>
      </c>
      <c r="B1127" t="s">
        <v>821</v>
      </c>
      <c r="C1127" t="s">
        <v>128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 hidden="1" x14ac:dyDescent="0.2">
      <c r="A1128" t="s">
        <v>445</v>
      </c>
      <c r="B1128" t="s">
        <v>819</v>
      </c>
      <c r="C1128" t="s">
        <v>7</v>
      </c>
      <c r="E1128">
        <v>1.1036650829999999E-5</v>
      </c>
      <c r="F1128">
        <v>2.9101906920000001E-5</v>
      </c>
      <c r="G1128">
        <v>6.9234882090000002E-7</v>
      </c>
      <c r="H1128">
        <v>4.7911747390000003E-5</v>
      </c>
      <c r="I1128">
        <v>5.8714355180000002E-5</v>
      </c>
    </row>
    <row r="1129" spans="1:9" hidden="1" x14ac:dyDescent="0.2">
      <c r="A1129" t="s">
        <v>445</v>
      </c>
      <c r="B1129" t="s">
        <v>854</v>
      </c>
      <c r="C1129" t="s">
        <v>7</v>
      </c>
      <c r="E1129">
        <v>-1.570082542E-6</v>
      </c>
      <c r="F1129">
        <v>-4.1400599420000001E-6</v>
      </c>
      <c r="G1129">
        <v>0</v>
      </c>
      <c r="H1129">
        <v>-6.8159624970000003E-6</v>
      </c>
      <c r="I1129">
        <v>-8.3527498919999998E-6</v>
      </c>
    </row>
    <row r="1130" spans="1:9" hidden="1" x14ac:dyDescent="0.2">
      <c r="A1130" t="s">
        <v>445</v>
      </c>
      <c r="B1130" t="s">
        <v>851</v>
      </c>
      <c r="C1130" t="s">
        <v>7</v>
      </c>
      <c r="E1130">
        <v>-8.5169571829999997E-7</v>
      </c>
      <c r="F1130">
        <v>-2.2457872329999999E-6</v>
      </c>
      <c r="G1130">
        <v>0</v>
      </c>
      <c r="H1130">
        <v>-3.6973381470000002E-6</v>
      </c>
      <c r="I1130">
        <v>-4.5309728190000001E-6</v>
      </c>
    </row>
    <row r="1131" spans="1:9" hidden="1" x14ac:dyDescent="0.2">
      <c r="A1131" t="s">
        <v>445</v>
      </c>
      <c r="B1131" t="s">
        <v>892</v>
      </c>
      <c r="C1131" t="s">
        <v>7</v>
      </c>
      <c r="E1131">
        <v>-7.4060497249999998E-6</v>
      </c>
      <c r="F1131">
        <v>-1.952858463E-5</v>
      </c>
      <c r="G1131">
        <v>-4.6459472850000001E-7</v>
      </c>
      <c r="H1131">
        <v>-3.2150766489999999E-5</v>
      </c>
      <c r="I1131">
        <v>-3.9399763640000003E-5</v>
      </c>
    </row>
    <row r="1132" spans="1:9" hidden="1" x14ac:dyDescent="0.2">
      <c r="A1132" t="s">
        <v>445</v>
      </c>
      <c r="B1132" t="s">
        <v>821</v>
      </c>
      <c r="C1132" t="s">
        <v>7</v>
      </c>
      <c r="E1132">
        <v>2.4795454480000003E-7</v>
      </c>
      <c r="F1132">
        <v>6.5381701339999996E-7</v>
      </c>
      <c r="G1132">
        <v>0</v>
      </c>
      <c r="H1132">
        <v>1.076407662E-6</v>
      </c>
      <c r="I1132">
        <v>1.3191040869999999E-6</v>
      </c>
    </row>
    <row r="1133" spans="1:9" hidden="1" x14ac:dyDescent="0.2">
      <c r="A1133" t="s">
        <v>445</v>
      </c>
      <c r="B1133" t="s">
        <v>824</v>
      </c>
      <c r="C1133" t="s">
        <v>7</v>
      </c>
      <c r="E1133">
        <v>5.9914942270000003E-7</v>
      </c>
      <c r="F1133">
        <v>1.5798624969999999E-6</v>
      </c>
      <c r="G1133">
        <v>0</v>
      </c>
      <c r="H1133">
        <v>2.6009970089999998E-6</v>
      </c>
      <c r="I1133">
        <v>3.1874408789999999E-6</v>
      </c>
    </row>
    <row r="1134" spans="1:9" hidden="1" x14ac:dyDescent="0.2">
      <c r="A1134" t="s">
        <v>446</v>
      </c>
      <c r="B1134" t="s">
        <v>851</v>
      </c>
      <c r="C1134" t="s">
        <v>7</v>
      </c>
      <c r="D1134">
        <v>0</v>
      </c>
      <c r="E1134">
        <v>-1.491220432</v>
      </c>
      <c r="F1134">
        <v>-1.1927444460000001</v>
      </c>
      <c r="G1134">
        <v>-5.9564094939999999</v>
      </c>
      <c r="H1134">
        <v>-7.0978605679999998</v>
      </c>
      <c r="I1134">
        <v>-9.3470179239999993</v>
      </c>
    </row>
    <row r="1135" spans="1:9" hidden="1" x14ac:dyDescent="0.2">
      <c r="A1135" t="s">
        <v>446</v>
      </c>
      <c r="B1135" t="s">
        <v>892</v>
      </c>
      <c r="C1135" t="s">
        <v>7</v>
      </c>
      <c r="D1135">
        <v>1.3579391019999999E-6</v>
      </c>
      <c r="E1135">
        <v>-6.6999427020000004</v>
      </c>
      <c r="F1135">
        <v>-5.3595933840000001</v>
      </c>
      <c r="G1135">
        <v>-26.768508659999998</v>
      </c>
      <c r="H1135">
        <v>-31.90232061</v>
      </c>
      <c r="I1135">
        <v>-42.016808609999998</v>
      </c>
    </row>
    <row r="1136" spans="1:9" hidden="1" x14ac:dyDescent="0.2">
      <c r="A1136" t="s">
        <v>446</v>
      </c>
      <c r="B1136" t="s">
        <v>894</v>
      </c>
      <c r="C1136" t="s">
        <v>7</v>
      </c>
      <c r="D1136">
        <v>-1.8516996720000001E-6</v>
      </c>
      <c r="E1136">
        <v>9.1384329629999996</v>
      </c>
      <c r="F1136">
        <v>7.3093252499999997</v>
      </c>
      <c r="G1136">
        <v>36.501812659999999</v>
      </c>
      <c r="H1136">
        <v>43.496804079999997</v>
      </c>
      <c r="I1136">
        <v>57.279993519999998</v>
      </c>
    </row>
    <row r="1137" spans="1:9" hidden="1" x14ac:dyDescent="0.2">
      <c r="A1137" t="s">
        <v>446</v>
      </c>
      <c r="B1137" t="s">
        <v>837</v>
      </c>
      <c r="C1137" t="s">
        <v>7</v>
      </c>
      <c r="D1137">
        <v>0</v>
      </c>
      <c r="E1137">
        <v>-1.998765251</v>
      </c>
      <c r="F1137">
        <v>-1.5995906369999999</v>
      </c>
      <c r="G1137">
        <v>-7.9925869460000003</v>
      </c>
      <c r="H1137">
        <v>-9.5295309190000008</v>
      </c>
      <c r="I1137">
        <v>-12.556200410000001</v>
      </c>
    </row>
    <row r="1138" spans="1:9" hidden="1" x14ac:dyDescent="0.2">
      <c r="A1138" t="s">
        <v>446</v>
      </c>
      <c r="B1138" t="s">
        <v>821</v>
      </c>
      <c r="C1138" t="s">
        <v>7</v>
      </c>
      <c r="D1138">
        <v>0</v>
      </c>
      <c r="E1138">
        <v>4.180851947E-2</v>
      </c>
      <c r="F1138">
        <v>3.3440313919999999E-2</v>
      </c>
      <c r="G1138">
        <v>0.16699654650000001</v>
      </c>
      <c r="H1138">
        <v>0.19899877669999999</v>
      </c>
      <c r="I1138">
        <v>0.26205715289999998</v>
      </c>
    </row>
    <row r="1139" spans="1:9" hidden="1" x14ac:dyDescent="0.2">
      <c r="A1139" t="s">
        <v>446</v>
      </c>
      <c r="B1139" t="s">
        <v>833</v>
      </c>
      <c r="C1139" t="s">
        <v>7</v>
      </c>
      <c r="D1139">
        <v>0</v>
      </c>
      <c r="E1139">
        <v>1.1101485259999999</v>
      </c>
      <c r="F1139">
        <v>0.88794618079999998</v>
      </c>
      <c r="G1139">
        <v>4.4342868920000003</v>
      </c>
      <c r="H1139">
        <v>5.2840473970000001</v>
      </c>
      <c r="I1139">
        <v>6.9584468810000004</v>
      </c>
    </row>
    <row r="1140" spans="1:9" hidden="1" x14ac:dyDescent="0.2">
      <c r="A1140" t="s">
        <v>446</v>
      </c>
      <c r="B1140" t="s">
        <v>824</v>
      </c>
      <c r="C1140" t="s">
        <v>7</v>
      </c>
      <c r="D1140">
        <v>0</v>
      </c>
      <c r="E1140">
        <v>1.3186916150000001</v>
      </c>
      <c r="F1140">
        <v>1.054748222</v>
      </c>
      <c r="G1140">
        <v>5.2672744319999998</v>
      </c>
      <c r="H1140">
        <v>6.2766637410000001</v>
      </c>
      <c r="I1140">
        <v>8.2656017140000007</v>
      </c>
    </row>
    <row r="1141" spans="1:9" hidden="1" x14ac:dyDescent="0.2">
      <c r="A1141" t="s">
        <v>447</v>
      </c>
      <c r="B1141" t="s">
        <v>828</v>
      </c>
      <c r="C1141" t="s">
        <v>199</v>
      </c>
      <c r="D1141">
        <v>2.710778108E-4</v>
      </c>
      <c r="E1141">
        <v>4.1091414140000002E-4</v>
      </c>
      <c r="F1141">
        <v>1.3515609389999999E-4</v>
      </c>
      <c r="G1141">
        <v>1.557870043E-6</v>
      </c>
      <c r="H1141">
        <v>1.5859089020000002E-5</v>
      </c>
      <c r="I1141">
        <v>2.3421275320000001</v>
      </c>
    </row>
    <row r="1142" spans="1:9" hidden="1" x14ac:dyDescent="0.2">
      <c r="A1142" t="s">
        <v>447</v>
      </c>
      <c r="B1142" t="s">
        <v>834</v>
      </c>
      <c r="C1142" t="s">
        <v>199</v>
      </c>
      <c r="D1142">
        <v>-2.7107782289999998E-4</v>
      </c>
      <c r="E1142">
        <v>-4.1091414140000002E-4</v>
      </c>
      <c r="F1142">
        <v>-1.3515609389999999E-4</v>
      </c>
      <c r="G1142">
        <v>-1.557870043E-6</v>
      </c>
      <c r="H1142">
        <v>-1.5859089020000002E-5</v>
      </c>
      <c r="I1142">
        <v>-2.3421275320000001</v>
      </c>
    </row>
    <row r="1143" spans="1:9" hidden="1" x14ac:dyDescent="0.2">
      <c r="A1143" t="s">
        <v>448</v>
      </c>
      <c r="B1143" t="s">
        <v>821</v>
      </c>
      <c r="C1143" t="s">
        <v>199</v>
      </c>
      <c r="D1143">
        <v>0</v>
      </c>
      <c r="E1143">
        <v>2.195198163E-5</v>
      </c>
      <c r="F1143">
        <v>2.6941261799999999E-5</v>
      </c>
      <c r="G1143">
        <v>3.1571585080000002E-7</v>
      </c>
      <c r="H1143">
        <v>1.6592997120000002E-5</v>
      </c>
      <c r="I1143">
        <v>2.2552466930000001</v>
      </c>
    </row>
    <row r="1144" spans="1:9" hidden="1" x14ac:dyDescent="0.2">
      <c r="A1144" t="s">
        <v>448</v>
      </c>
      <c r="B1144" t="s">
        <v>834</v>
      </c>
      <c r="C1144" t="s">
        <v>199</v>
      </c>
      <c r="D1144">
        <v>0</v>
      </c>
      <c r="E1144">
        <v>-2.195198163E-5</v>
      </c>
      <c r="F1144">
        <v>-2.6941261799999999E-5</v>
      </c>
      <c r="G1144">
        <v>-3.1571585080000002E-7</v>
      </c>
      <c r="H1144">
        <v>-1.6592997120000002E-5</v>
      </c>
      <c r="I1144">
        <v>-2.2552466930000001</v>
      </c>
    </row>
    <row r="1145" spans="1:9" hidden="1" x14ac:dyDescent="0.2">
      <c r="A1145" t="s">
        <v>449</v>
      </c>
      <c r="B1145" t="s">
        <v>834</v>
      </c>
      <c r="C1145" t="s">
        <v>199</v>
      </c>
      <c r="D1145">
        <v>-3.3055430320000002E-6</v>
      </c>
      <c r="E1145">
        <v>-3.8122524070000001E-5</v>
      </c>
      <c r="F1145">
        <v>-2.3386138890000002E-5</v>
      </c>
      <c r="G1145">
        <v>-2.6351369940000001E-7</v>
      </c>
      <c r="H1145">
        <v>-8.6885824219999993E-6</v>
      </c>
      <c r="I1145">
        <v>-4.0327342819999997E-5</v>
      </c>
    </row>
    <row r="1146" spans="1:9" hidden="1" x14ac:dyDescent="0.2">
      <c r="A1146" t="s">
        <v>449</v>
      </c>
      <c r="B1146" t="s">
        <v>824</v>
      </c>
      <c r="C1146" t="s">
        <v>199</v>
      </c>
      <c r="D1146">
        <v>3.3055430320000002E-6</v>
      </c>
      <c r="E1146">
        <v>3.8122524070000001E-5</v>
      </c>
      <c r="F1146">
        <v>2.3386138890000002E-5</v>
      </c>
      <c r="G1146">
        <v>2.6351369940000001E-7</v>
      </c>
      <c r="H1146">
        <v>8.6885824219999993E-6</v>
      </c>
      <c r="I1146">
        <v>4.0327342819999997E-5</v>
      </c>
    </row>
    <row r="1147" spans="1:9" hidden="1" x14ac:dyDescent="0.2">
      <c r="A1147" t="s">
        <v>450</v>
      </c>
      <c r="B1147" t="s">
        <v>820</v>
      </c>
      <c r="C1147" t="s">
        <v>199</v>
      </c>
      <c r="D1147">
        <v>8.2659706469999997E-3</v>
      </c>
      <c r="E1147">
        <v>0.33592103010000002</v>
      </c>
      <c r="F1147">
        <v>0.32201773620000002</v>
      </c>
      <c r="G1147">
        <v>0.30813594649999998</v>
      </c>
      <c r="H1147">
        <v>0.29410238239999997</v>
      </c>
      <c r="I1147">
        <v>1.6872779769999999E-4</v>
      </c>
    </row>
    <row r="1148" spans="1:9" hidden="1" x14ac:dyDescent="0.2">
      <c r="A1148" t="s">
        <v>450</v>
      </c>
      <c r="B1148" t="s">
        <v>846</v>
      </c>
      <c r="C1148" t="s">
        <v>199</v>
      </c>
      <c r="D1148">
        <v>-8.2659706469999997E-3</v>
      </c>
      <c r="E1148">
        <v>-0.33592103010000002</v>
      </c>
      <c r="F1148">
        <v>-0.32201773620000002</v>
      </c>
      <c r="G1148">
        <v>-0.30813594649999998</v>
      </c>
      <c r="H1148">
        <v>-0.29410238239999997</v>
      </c>
      <c r="I1148">
        <v>-1.6872779769999999E-4</v>
      </c>
    </row>
    <row r="1149" spans="1:9" hidden="1" x14ac:dyDescent="0.2">
      <c r="A1149" t="s">
        <v>451</v>
      </c>
      <c r="B1149" t="s">
        <v>820</v>
      </c>
      <c r="C1149" t="s">
        <v>199</v>
      </c>
      <c r="D1149">
        <v>6.0627251099999997</v>
      </c>
      <c r="E1149">
        <v>5.4994296120000001</v>
      </c>
      <c r="F1149">
        <v>5.2871115870000001</v>
      </c>
      <c r="G1149">
        <v>5.0574120999999996</v>
      </c>
      <c r="H1149">
        <v>4.8274904340000004</v>
      </c>
      <c r="I1149">
        <v>2.3467406470000001E-4</v>
      </c>
    </row>
    <row r="1150" spans="1:9" hidden="1" x14ac:dyDescent="0.2">
      <c r="A1150" t="s">
        <v>451</v>
      </c>
      <c r="B1150" t="s">
        <v>834</v>
      </c>
      <c r="C1150" t="s">
        <v>199</v>
      </c>
      <c r="D1150">
        <v>-6.0627251099999997</v>
      </c>
      <c r="E1150">
        <v>-5.4994296120000001</v>
      </c>
      <c r="F1150">
        <v>-5.2871115870000001</v>
      </c>
      <c r="G1150">
        <v>-5.0574120999999996</v>
      </c>
      <c r="H1150">
        <v>-4.8274904340000004</v>
      </c>
      <c r="I1150">
        <v>-2.3467406470000001E-4</v>
      </c>
    </row>
    <row r="1151" spans="1:9" hidden="1" x14ac:dyDescent="0.2">
      <c r="A1151" t="s">
        <v>452</v>
      </c>
      <c r="B1151" t="s">
        <v>821</v>
      </c>
      <c r="C1151" t="s">
        <v>199</v>
      </c>
      <c r="D1151">
        <v>0.3653533343</v>
      </c>
      <c r="E1151">
        <v>1.3379417089999999E-6</v>
      </c>
      <c r="F1151">
        <v>8.0706421940000004E-4</v>
      </c>
      <c r="G1151">
        <v>5.7072478860000005E-7</v>
      </c>
      <c r="H1151">
        <v>0.19000070029999999</v>
      </c>
      <c r="I1151">
        <v>0.1708985871</v>
      </c>
    </row>
    <row r="1152" spans="1:9" hidden="1" x14ac:dyDescent="0.2">
      <c r="A1152" t="s">
        <v>452</v>
      </c>
      <c r="B1152" t="s">
        <v>832</v>
      </c>
      <c r="C1152" t="s">
        <v>199</v>
      </c>
      <c r="D1152">
        <v>-0.3653533343</v>
      </c>
      <c r="E1152">
        <v>-1.3379417089999999E-6</v>
      </c>
      <c r="F1152">
        <v>-8.0706421940000004E-4</v>
      </c>
      <c r="G1152">
        <v>-5.7072478860000005E-7</v>
      </c>
      <c r="H1152">
        <v>-0.19000070029999999</v>
      </c>
      <c r="I1152">
        <v>-0.1708985871</v>
      </c>
    </row>
    <row r="1153" spans="1:9" hidden="1" x14ac:dyDescent="0.2">
      <c r="A1153" t="s">
        <v>453</v>
      </c>
      <c r="B1153" t="s">
        <v>821</v>
      </c>
      <c r="C1153" t="s">
        <v>199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 hidden="1" x14ac:dyDescent="0.2">
      <c r="A1154" t="s">
        <v>453</v>
      </c>
      <c r="B1154" t="s">
        <v>833</v>
      </c>
      <c r="C1154" t="s">
        <v>199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 hidden="1" x14ac:dyDescent="0.2">
      <c r="A1155" t="s">
        <v>454</v>
      </c>
      <c r="B1155" t="s">
        <v>835</v>
      </c>
      <c r="C1155" t="s">
        <v>3</v>
      </c>
      <c r="D1155">
        <v>0</v>
      </c>
      <c r="E1155">
        <v>0</v>
      </c>
      <c r="F1155">
        <v>0</v>
      </c>
      <c r="G1155">
        <v>0</v>
      </c>
      <c r="H1155">
        <v>-8.2121345180000006E-6</v>
      </c>
      <c r="I1155">
        <v>-28.467983419999999</v>
      </c>
    </row>
    <row r="1156" spans="1:9" hidden="1" x14ac:dyDescent="0.2">
      <c r="A1156" t="s">
        <v>454</v>
      </c>
      <c r="B1156" t="s">
        <v>836</v>
      </c>
      <c r="C1156" t="s">
        <v>3</v>
      </c>
      <c r="D1156">
        <v>0</v>
      </c>
      <c r="E1156">
        <v>0</v>
      </c>
      <c r="F1156">
        <v>0</v>
      </c>
      <c r="G1156">
        <v>0</v>
      </c>
      <c r="H1156">
        <v>-1.471933641E-5</v>
      </c>
      <c r="I1156">
        <v>-2.2448928760000002</v>
      </c>
    </row>
    <row r="1157" spans="1:9" hidden="1" x14ac:dyDescent="0.2">
      <c r="A1157" t="s">
        <v>454</v>
      </c>
      <c r="B1157" t="s">
        <v>867</v>
      </c>
      <c r="C1157" t="s">
        <v>3</v>
      </c>
      <c r="D1157">
        <v>0</v>
      </c>
      <c r="E1157">
        <v>0</v>
      </c>
      <c r="F1157">
        <v>0</v>
      </c>
      <c r="G1157">
        <v>0</v>
      </c>
      <c r="H1157">
        <v>-2.6042001250000001E-5</v>
      </c>
      <c r="I1157">
        <v>-3.9717264339999998</v>
      </c>
    </row>
    <row r="1158" spans="1:9" hidden="1" x14ac:dyDescent="0.2">
      <c r="A1158" t="s">
        <v>454</v>
      </c>
      <c r="B1158" t="s">
        <v>837</v>
      </c>
      <c r="C1158" t="s">
        <v>3</v>
      </c>
      <c r="D1158">
        <v>0</v>
      </c>
      <c r="E1158">
        <v>0</v>
      </c>
      <c r="F1158">
        <v>0</v>
      </c>
      <c r="G1158">
        <v>0</v>
      </c>
      <c r="H1158">
        <v>1.4185324740000001E-4</v>
      </c>
      <c r="I1158">
        <v>21.63443023</v>
      </c>
    </row>
    <row r="1159" spans="1:9" hidden="1" x14ac:dyDescent="0.2">
      <c r="A1159" t="s">
        <v>454</v>
      </c>
      <c r="B1159" t="s">
        <v>821</v>
      </c>
      <c r="C1159" t="s">
        <v>3</v>
      </c>
      <c r="D1159">
        <v>0</v>
      </c>
      <c r="E1159">
        <v>0</v>
      </c>
      <c r="F1159">
        <v>0</v>
      </c>
      <c r="G1159">
        <v>0</v>
      </c>
      <c r="H1159">
        <v>1.200874133E-4</v>
      </c>
      <c r="I1159">
        <v>49.010062509999997</v>
      </c>
    </row>
    <row r="1160" spans="1:9" hidden="1" x14ac:dyDescent="0.2">
      <c r="A1160" t="s">
        <v>454</v>
      </c>
      <c r="B1160" t="s">
        <v>838</v>
      </c>
      <c r="C1160" t="s">
        <v>3</v>
      </c>
      <c r="D1160">
        <v>0</v>
      </c>
      <c r="E1160">
        <v>0</v>
      </c>
      <c r="F1160">
        <v>0</v>
      </c>
      <c r="G1160">
        <v>0</v>
      </c>
      <c r="H1160">
        <v>7.9142191340000006E-5</v>
      </c>
      <c r="I1160">
        <v>274.35099389999999</v>
      </c>
    </row>
    <row r="1161" spans="1:9" hidden="1" x14ac:dyDescent="0.2">
      <c r="A1161" t="s">
        <v>454</v>
      </c>
      <c r="B1161" t="s">
        <v>839</v>
      </c>
      <c r="C1161" t="s">
        <v>3</v>
      </c>
      <c r="D1161">
        <v>0</v>
      </c>
      <c r="E1161">
        <v>0</v>
      </c>
      <c r="F1161">
        <v>0</v>
      </c>
      <c r="G1161">
        <v>0</v>
      </c>
      <c r="H1161">
        <v>-1.3012996839999999E-4</v>
      </c>
      <c r="I1161">
        <v>-0.14843873320000001</v>
      </c>
    </row>
    <row r="1162" spans="1:9" hidden="1" x14ac:dyDescent="0.2">
      <c r="A1162" t="s">
        <v>454</v>
      </c>
      <c r="B1162" t="s">
        <v>840</v>
      </c>
      <c r="C1162" t="s">
        <v>3</v>
      </c>
      <c r="D1162">
        <v>0</v>
      </c>
      <c r="E1162">
        <v>0</v>
      </c>
      <c r="F1162">
        <v>0</v>
      </c>
      <c r="G1162">
        <v>0</v>
      </c>
      <c r="H1162">
        <v>-3.6505598059999998E-5</v>
      </c>
      <c r="I1162">
        <v>-5.5675594569999998</v>
      </c>
    </row>
    <row r="1163" spans="1:9" hidden="1" x14ac:dyDescent="0.2">
      <c r="A1163" t="s">
        <v>454</v>
      </c>
      <c r="B1163" t="s">
        <v>841</v>
      </c>
      <c r="C1163" t="s">
        <v>3</v>
      </c>
      <c r="D1163">
        <v>0</v>
      </c>
      <c r="E1163">
        <v>0</v>
      </c>
      <c r="F1163">
        <v>0</v>
      </c>
      <c r="G1163">
        <v>0</v>
      </c>
      <c r="H1163">
        <v>-2.0367085239999998E-5</v>
      </c>
      <c r="I1163">
        <v>-70.603452000000004</v>
      </c>
    </row>
    <row r="1164" spans="1:9" hidden="1" x14ac:dyDescent="0.2">
      <c r="A1164" t="s">
        <v>454</v>
      </c>
      <c r="B1164" t="s">
        <v>858</v>
      </c>
      <c r="C1164" t="s">
        <v>3</v>
      </c>
      <c r="D1164">
        <v>0</v>
      </c>
      <c r="E1164">
        <v>0</v>
      </c>
      <c r="F1164">
        <v>0</v>
      </c>
      <c r="G1164">
        <v>0</v>
      </c>
      <c r="H1164">
        <v>-1.4529280439999999E-5</v>
      </c>
      <c r="I1164">
        <v>-50.366340460000004</v>
      </c>
    </row>
    <row r="1165" spans="1:9" hidden="1" x14ac:dyDescent="0.2">
      <c r="A1165" t="s">
        <v>454</v>
      </c>
      <c r="B1165" t="s">
        <v>842</v>
      </c>
      <c r="C1165" t="s">
        <v>3</v>
      </c>
      <c r="D1165">
        <v>0</v>
      </c>
      <c r="E1165">
        <v>0</v>
      </c>
      <c r="F1165">
        <v>0</v>
      </c>
      <c r="G1165">
        <v>0</v>
      </c>
      <c r="H1165">
        <v>-5.246957316E-5</v>
      </c>
      <c r="I1165">
        <v>-5.985184927E-2</v>
      </c>
    </row>
    <row r="1166" spans="1:9" hidden="1" x14ac:dyDescent="0.2">
      <c r="A1166" t="s">
        <v>454</v>
      </c>
      <c r="B1166" t="s">
        <v>843</v>
      </c>
      <c r="C1166" t="s">
        <v>3</v>
      </c>
      <c r="D1166">
        <v>0</v>
      </c>
      <c r="E1166">
        <v>0</v>
      </c>
      <c r="F1166">
        <v>0</v>
      </c>
      <c r="G1166">
        <v>0</v>
      </c>
      <c r="H1166">
        <v>5.0565895879999998E-4</v>
      </c>
      <c r="I1166">
        <v>0.57680321320000005</v>
      </c>
    </row>
    <row r="1167" spans="1:9" hidden="1" x14ac:dyDescent="0.2">
      <c r="A1167" t="s">
        <v>454</v>
      </c>
      <c r="B1167" t="s">
        <v>868</v>
      </c>
      <c r="C1167" t="s">
        <v>3</v>
      </c>
      <c r="D1167">
        <v>0</v>
      </c>
      <c r="E1167">
        <v>0</v>
      </c>
      <c r="F1167">
        <v>0</v>
      </c>
      <c r="G1167">
        <v>0</v>
      </c>
      <c r="H1167">
        <v>-9.2830759809999996E-5</v>
      </c>
      <c r="I1167">
        <v>-0.1058916689</v>
      </c>
    </row>
    <row r="1168" spans="1:9" hidden="1" x14ac:dyDescent="0.2">
      <c r="A1168" t="s">
        <v>454</v>
      </c>
      <c r="B1168" t="s">
        <v>824</v>
      </c>
      <c r="C1168" t="s">
        <v>3</v>
      </c>
      <c r="D1168">
        <v>0</v>
      </c>
      <c r="E1168">
        <v>0</v>
      </c>
      <c r="F1168">
        <v>0</v>
      </c>
      <c r="G1168">
        <v>0</v>
      </c>
      <c r="H1168">
        <v>-1.9789288109999999E-5</v>
      </c>
      <c r="I1168">
        <v>-8.0763718460000007</v>
      </c>
    </row>
    <row r="1169" spans="1:9" hidden="1" x14ac:dyDescent="0.2">
      <c r="A1169" t="s">
        <v>455</v>
      </c>
      <c r="B1169" t="s">
        <v>867</v>
      </c>
      <c r="C1169" t="s">
        <v>3</v>
      </c>
      <c r="D1169">
        <v>1.582493798E-6</v>
      </c>
      <c r="E1169">
        <v>0.13121456510000001</v>
      </c>
      <c r="F1169">
        <v>5.9088119799999998E-2</v>
      </c>
      <c r="G1169">
        <v>2.6905601719999998E-2</v>
      </c>
      <c r="H1169">
        <v>2.3280687550000002E-2</v>
      </c>
      <c r="I1169">
        <v>0.4108270785</v>
      </c>
    </row>
    <row r="1170" spans="1:9" hidden="1" x14ac:dyDescent="0.2">
      <c r="A1170" t="s">
        <v>455</v>
      </c>
      <c r="B1170" t="s">
        <v>821</v>
      </c>
      <c r="C1170" t="s">
        <v>3</v>
      </c>
      <c r="D1170">
        <v>-8.6906631189999998E-7</v>
      </c>
      <c r="E1170">
        <v>-1.4112662250000001</v>
      </c>
      <c r="F1170">
        <v>-0.62378281270000002</v>
      </c>
      <c r="G1170">
        <v>-0.401250314</v>
      </c>
      <c r="H1170">
        <v>-0.38772621019999998</v>
      </c>
      <c r="I1170">
        <v>-0.46953779559999997</v>
      </c>
    </row>
    <row r="1171" spans="1:9" hidden="1" x14ac:dyDescent="0.2">
      <c r="A1171" t="s">
        <v>455</v>
      </c>
      <c r="B1171" t="s">
        <v>832</v>
      </c>
      <c r="C1171" t="s">
        <v>3</v>
      </c>
      <c r="D1171">
        <v>-2.0768453290000002E-6</v>
      </c>
      <c r="E1171">
        <v>-3.384331113</v>
      </c>
      <c r="F1171">
        <v>-1.495881985</v>
      </c>
      <c r="G1171">
        <v>-0.96223096870000002</v>
      </c>
      <c r="H1171">
        <v>-0.9297990652</v>
      </c>
      <c r="I1171">
        <v>-1.1259898070000001</v>
      </c>
    </row>
    <row r="1172" spans="1:9" hidden="1" x14ac:dyDescent="0.2">
      <c r="A1172" t="s">
        <v>455</v>
      </c>
      <c r="B1172" t="s">
        <v>858</v>
      </c>
      <c r="C1172" t="s">
        <v>3</v>
      </c>
      <c r="D1172">
        <v>1.891731011E-6</v>
      </c>
      <c r="E1172">
        <v>5.5104617429999996</v>
      </c>
      <c r="F1172">
        <v>2.4345455669999998</v>
      </c>
      <c r="G1172">
        <v>1.5771333380000001</v>
      </c>
      <c r="H1172">
        <v>1.526684428</v>
      </c>
      <c r="I1172">
        <v>1.448725472</v>
      </c>
    </row>
    <row r="1173" spans="1:9" hidden="1" x14ac:dyDescent="0.2">
      <c r="A1173" t="s">
        <v>455</v>
      </c>
      <c r="B1173" t="s">
        <v>868</v>
      </c>
      <c r="C1173" t="s">
        <v>3</v>
      </c>
      <c r="D1173">
        <v>0</v>
      </c>
      <c r="E1173">
        <v>4.0029305130000003E-6</v>
      </c>
      <c r="F1173">
        <v>1.6391242979999999E-6</v>
      </c>
      <c r="G1173">
        <v>0</v>
      </c>
      <c r="H1173">
        <v>9.9263140289999993E-6</v>
      </c>
      <c r="I1173">
        <v>1.7472563069999999E-2</v>
      </c>
    </row>
    <row r="1174" spans="1:9" hidden="1" x14ac:dyDescent="0.2">
      <c r="A1174" t="s">
        <v>456</v>
      </c>
      <c r="B1174" t="s">
        <v>867</v>
      </c>
      <c r="C1174" t="s">
        <v>3</v>
      </c>
      <c r="D1174">
        <v>0</v>
      </c>
      <c r="E1174">
        <v>2.9963830689999998E-7</v>
      </c>
      <c r="F1174">
        <v>0</v>
      </c>
      <c r="G1174">
        <v>0</v>
      </c>
      <c r="H1174">
        <v>0</v>
      </c>
      <c r="I1174">
        <v>0</v>
      </c>
    </row>
    <row r="1175" spans="1:9" hidden="1" x14ac:dyDescent="0.2">
      <c r="A1175" t="s">
        <v>456</v>
      </c>
      <c r="B1175" t="s">
        <v>827</v>
      </c>
      <c r="C1175" t="s">
        <v>3</v>
      </c>
      <c r="D1175">
        <v>0</v>
      </c>
      <c r="E1175">
        <v>-8.7087458470000001E-7</v>
      </c>
      <c r="F1175">
        <v>-1.3880245400000001E-7</v>
      </c>
      <c r="G1175">
        <v>0</v>
      </c>
      <c r="H1175">
        <v>0</v>
      </c>
      <c r="I1175">
        <v>-2.5572481920000002E-7</v>
      </c>
    </row>
    <row r="1176" spans="1:9" hidden="1" x14ac:dyDescent="0.2">
      <c r="A1176" t="s">
        <v>456</v>
      </c>
      <c r="B1176" t="s">
        <v>821</v>
      </c>
      <c r="C1176" t="s">
        <v>3</v>
      </c>
      <c r="D1176">
        <v>0</v>
      </c>
      <c r="E1176">
        <v>-2.5960472339999998E-7</v>
      </c>
      <c r="F1176">
        <v>0</v>
      </c>
      <c r="G1176">
        <v>0</v>
      </c>
      <c r="H1176">
        <v>0</v>
      </c>
      <c r="I1176">
        <v>0</v>
      </c>
    </row>
    <row r="1177" spans="1:9" hidden="1" x14ac:dyDescent="0.2">
      <c r="A1177" t="s">
        <v>456</v>
      </c>
      <c r="B1177" t="s">
        <v>832</v>
      </c>
      <c r="C1177" t="s">
        <v>3</v>
      </c>
      <c r="D1177">
        <v>0</v>
      </c>
      <c r="E1177">
        <v>-2.5960472339999998E-7</v>
      </c>
      <c r="F1177">
        <v>0</v>
      </c>
      <c r="G1177">
        <v>0</v>
      </c>
      <c r="H1177">
        <v>0</v>
      </c>
      <c r="I1177">
        <v>0</v>
      </c>
    </row>
    <row r="1178" spans="1:9" hidden="1" x14ac:dyDescent="0.2">
      <c r="A1178" t="s">
        <v>456</v>
      </c>
      <c r="B1178" t="s">
        <v>858</v>
      </c>
      <c r="C1178" t="s">
        <v>3</v>
      </c>
      <c r="D1178">
        <v>0</v>
      </c>
      <c r="E1178">
        <v>3.320494897E-7</v>
      </c>
      <c r="F1178">
        <v>0</v>
      </c>
      <c r="G1178">
        <v>0</v>
      </c>
      <c r="H1178">
        <v>0</v>
      </c>
      <c r="I1178">
        <v>1.000788845E-7</v>
      </c>
    </row>
    <row r="1179" spans="1:9" hidden="1" x14ac:dyDescent="0.2">
      <c r="A1179" t="s">
        <v>456</v>
      </c>
      <c r="B1179" t="s">
        <v>868</v>
      </c>
      <c r="C1179" t="s">
        <v>3</v>
      </c>
      <c r="D1179">
        <v>0</v>
      </c>
      <c r="E1179">
        <v>1.471263735E-7</v>
      </c>
      <c r="F1179">
        <v>0</v>
      </c>
      <c r="G1179">
        <v>0</v>
      </c>
      <c r="H1179">
        <v>0</v>
      </c>
      <c r="I1179">
        <v>0</v>
      </c>
    </row>
    <row r="1180" spans="1:9" hidden="1" x14ac:dyDescent="0.2">
      <c r="A1180" t="s">
        <v>457</v>
      </c>
      <c r="B1180" t="s">
        <v>828</v>
      </c>
      <c r="C1180" t="s">
        <v>3</v>
      </c>
      <c r="D1180">
        <v>1.9339745819999999E-6</v>
      </c>
      <c r="E1180">
        <v>1.3296355900000001E-4</v>
      </c>
      <c r="F1180">
        <v>0</v>
      </c>
      <c r="G1180">
        <v>0</v>
      </c>
      <c r="H1180">
        <v>0</v>
      </c>
      <c r="I1180">
        <v>0</v>
      </c>
    </row>
    <row r="1181" spans="1:9" hidden="1" x14ac:dyDescent="0.2">
      <c r="A1181" t="s">
        <v>457</v>
      </c>
      <c r="B1181" t="s">
        <v>834</v>
      </c>
      <c r="C1181" t="s">
        <v>3</v>
      </c>
      <c r="D1181">
        <v>-1.9339745819999999E-6</v>
      </c>
      <c r="E1181">
        <v>-1.3296355900000001E-4</v>
      </c>
      <c r="F1181">
        <v>0</v>
      </c>
      <c r="G1181">
        <v>0</v>
      </c>
      <c r="H1181">
        <v>0</v>
      </c>
      <c r="I1181">
        <v>0</v>
      </c>
    </row>
    <row r="1182" spans="1:9" hidden="1" x14ac:dyDescent="0.2">
      <c r="A1182" t="s">
        <v>458</v>
      </c>
      <c r="B1182" t="s">
        <v>828</v>
      </c>
      <c r="C1182" t="s">
        <v>3</v>
      </c>
      <c r="D1182">
        <v>4.3760517520000004</v>
      </c>
      <c r="E1182">
        <v>1.125298905</v>
      </c>
      <c r="F1182">
        <v>1.026256261E-2</v>
      </c>
      <c r="G1182">
        <v>6.5175093799999996E-6</v>
      </c>
      <c r="H1182">
        <v>1.013115761E-3</v>
      </c>
      <c r="I1182">
        <v>3.936461225E-3</v>
      </c>
    </row>
    <row r="1183" spans="1:9" hidden="1" x14ac:dyDescent="0.2">
      <c r="A1183" t="s">
        <v>458</v>
      </c>
      <c r="B1183" t="s">
        <v>846</v>
      </c>
      <c r="C1183" t="s">
        <v>3</v>
      </c>
      <c r="D1183">
        <v>-4.3760517520000004</v>
      </c>
      <c r="E1183">
        <v>-1.125298905</v>
      </c>
      <c r="F1183">
        <v>-1.026256261E-2</v>
      </c>
      <c r="G1183">
        <v>-6.5175093799999996E-6</v>
      </c>
      <c r="H1183">
        <v>-1.013115761E-3</v>
      </c>
      <c r="I1183">
        <v>-3.936461225E-3</v>
      </c>
    </row>
    <row r="1184" spans="1:9" hidden="1" x14ac:dyDescent="0.2">
      <c r="A1184" t="s">
        <v>459</v>
      </c>
      <c r="B1184" t="s">
        <v>832</v>
      </c>
      <c r="C1184" t="s">
        <v>3</v>
      </c>
      <c r="D1184">
        <v>-3.4437908660000001E-6</v>
      </c>
      <c r="E1184">
        <v>-7.189108903E-5</v>
      </c>
      <c r="F1184">
        <v>-5.0980735720000001E-5</v>
      </c>
      <c r="G1184">
        <v>-6.6743097229999998E-7</v>
      </c>
      <c r="H1184">
        <v>-1.6463727819999999E-5</v>
      </c>
      <c r="I1184">
        <v>-3.7810986409999999E-5</v>
      </c>
    </row>
    <row r="1185" spans="1:9" hidden="1" x14ac:dyDescent="0.2">
      <c r="A1185" t="s">
        <v>459</v>
      </c>
      <c r="B1185" t="s">
        <v>824</v>
      </c>
      <c r="C1185" t="s">
        <v>3</v>
      </c>
      <c r="D1185">
        <v>3.8186030530000001E-6</v>
      </c>
      <c r="E1185">
        <v>7.9770552309999998E-5</v>
      </c>
      <c r="F1185">
        <v>5.6583916809999999E-5</v>
      </c>
      <c r="G1185">
        <v>7.4084806940000004E-7</v>
      </c>
      <c r="H1185">
        <v>1.8274728069999998E-5</v>
      </c>
      <c r="I1185">
        <v>4.1961536099999998E-5</v>
      </c>
    </row>
    <row r="1186" spans="1:9" hidden="1" x14ac:dyDescent="0.2">
      <c r="A1186" t="s">
        <v>460</v>
      </c>
      <c r="B1186" t="s">
        <v>820</v>
      </c>
      <c r="C1186" t="s">
        <v>3</v>
      </c>
      <c r="E1186">
        <v>0.75654754390000001</v>
      </c>
      <c r="F1186">
        <v>0</v>
      </c>
      <c r="G1186">
        <v>0</v>
      </c>
      <c r="H1186">
        <v>0</v>
      </c>
      <c r="I1186">
        <v>0</v>
      </c>
    </row>
    <row r="1187" spans="1:9" hidden="1" x14ac:dyDescent="0.2">
      <c r="A1187" t="s">
        <v>460</v>
      </c>
      <c r="B1187" t="s">
        <v>834</v>
      </c>
      <c r="C1187" t="s">
        <v>3</v>
      </c>
      <c r="D1187">
        <v>-6.2539743169999999</v>
      </c>
      <c r="E1187">
        <v>-0.75654754390000001</v>
      </c>
      <c r="F1187">
        <v>0</v>
      </c>
      <c r="G1187">
        <v>0</v>
      </c>
      <c r="H1187">
        <v>0</v>
      </c>
      <c r="I1187">
        <v>0</v>
      </c>
    </row>
    <row r="1188" spans="1:9" hidden="1" x14ac:dyDescent="0.2">
      <c r="A1188" t="s">
        <v>460</v>
      </c>
      <c r="B1188" t="s">
        <v>849</v>
      </c>
      <c r="C1188" t="s">
        <v>3</v>
      </c>
      <c r="D1188">
        <v>6.2539743159999999</v>
      </c>
    </row>
    <row r="1189" spans="1:9" hidden="1" x14ac:dyDescent="0.2">
      <c r="A1189" t="s">
        <v>461</v>
      </c>
      <c r="B1189" t="s">
        <v>820</v>
      </c>
      <c r="C1189" t="s">
        <v>3</v>
      </c>
      <c r="E1189">
        <v>0.75654754390000001</v>
      </c>
      <c r="F1189">
        <v>0</v>
      </c>
      <c r="G1189">
        <v>0</v>
      </c>
      <c r="H1189">
        <v>0</v>
      </c>
      <c r="I1189">
        <v>0</v>
      </c>
    </row>
    <row r="1190" spans="1:9" hidden="1" x14ac:dyDescent="0.2">
      <c r="A1190" t="s">
        <v>461</v>
      </c>
      <c r="B1190" t="s">
        <v>834</v>
      </c>
      <c r="C1190" t="s">
        <v>3</v>
      </c>
      <c r="D1190">
        <v>-6.2539743080000001</v>
      </c>
      <c r="E1190">
        <v>-0.75654754390000001</v>
      </c>
      <c r="F1190">
        <v>0</v>
      </c>
      <c r="G1190">
        <v>0</v>
      </c>
      <c r="H1190">
        <v>0</v>
      </c>
      <c r="I1190">
        <v>0</v>
      </c>
    </row>
    <row r="1191" spans="1:9" hidden="1" x14ac:dyDescent="0.2">
      <c r="A1191" t="s">
        <v>461</v>
      </c>
      <c r="B1191" t="s">
        <v>849</v>
      </c>
      <c r="C1191" t="s">
        <v>3</v>
      </c>
      <c r="D1191">
        <v>6.2539743080000001</v>
      </c>
    </row>
    <row r="1192" spans="1:9" hidden="1" x14ac:dyDescent="0.2">
      <c r="A1192" t="s">
        <v>462</v>
      </c>
      <c r="B1192" t="s">
        <v>867</v>
      </c>
      <c r="C1192" t="s">
        <v>3</v>
      </c>
      <c r="D1192">
        <v>9.0573388380000002E-7</v>
      </c>
      <c r="E1192">
        <v>3.4286654040000001E-3</v>
      </c>
      <c r="F1192">
        <v>6.1549948889999997E-2</v>
      </c>
      <c r="G1192">
        <v>8.1077091800000001E-2</v>
      </c>
      <c r="H1192">
        <v>4.4324648549999998E-2</v>
      </c>
      <c r="I1192">
        <v>0.1647255651</v>
      </c>
    </row>
    <row r="1193" spans="1:9" hidden="1" x14ac:dyDescent="0.2">
      <c r="A1193" t="s">
        <v>462</v>
      </c>
      <c r="B1193" t="s">
        <v>832</v>
      </c>
      <c r="C1193" t="s">
        <v>3</v>
      </c>
      <c r="D1193">
        <v>-1.7165490290000001E-6</v>
      </c>
      <c r="E1193">
        <v>-5.0241534379999999E-3</v>
      </c>
      <c r="F1193">
        <v>-1.2179936099999999</v>
      </c>
      <c r="G1193">
        <v>-1.9372281330000001</v>
      </c>
      <c r="H1193">
        <v>-1.4865705410000001</v>
      </c>
      <c r="I1193">
        <v>-0.94479901730000004</v>
      </c>
    </row>
    <row r="1194" spans="1:9" hidden="1" x14ac:dyDescent="0.2">
      <c r="A1194" t="s">
        <v>462</v>
      </c>
      <c r="B1194" t="s">
        <v>858</v>
      </c>
      <c r="C1194" t="s">
        <v>3</v>
      </c>
      <c r="D1194">
        <v>1.033718218E-6</v>
      </c>
      <c r="E1194">
        <v>2.1507302619999998E-3</v>
      </c>
      <c r="F1194">
        <v>1.2916394229999999</v>
      </c>
      <c r="G1194">
        <v>2.0711832800000001</v>
      </c>
      <c r="H1194">
        <v>1.6072442579999999</v>
      </c>
      <c r="I1194">
        <v>0.88024593429999998</v>
      </c>
    </row>
    <row r="1195" spans="1:9" hidden="1" x14ac:dyDescent="0.2">
      <c r="A1195" t="s">
        <v>462</v>
      </c>
      <c r="B1195" t="s">
        <v>868</v>
      </c>
      <c r="C1195" t="s">
        <v>3</v>
      </c>
      <c r="D1195">
        <v>0</v>
      </c>
      <c r="E1195">
        <v>2.9291975059999999E-6</v>
      </c>
      <c r="F1195">
        <v>1.6095456569999999E-6</v>
      </c>
      <c r="G1195">
        <v>0</v>
      </c>
      <c r="H1195">
        <v>1.0964632690000001E-5</v>
      </c>
      <c r="I1195">
        <v>4.7003574920000003E-3</v>
      </c>
    </row>
    <row r="1196" spans="1:9" hidden="1" x14ac:dyDescent="0.2">
      <c r="A1196" t="s">
        <v>463</v>
      </c>
      <c r="B1196" t="s">
        <v>867</v>
      </c>
      <c r="C1196" t="s">
        <v>3</v>
      </c>
      <c r="D1196">
        <v>0.37335626890000001</v>
      </c>
      <c r="E1196">
        <v>0.12704366380000001</v>
      </c>
      <c r="F1196">
        <v>9.866607225E-2</v>
      </c>
      <c r="G1196">
        <v>7.8085644689999997E-2</v>
      </c>
      <c r="H1196">
        <v>5.979159983E-2</v>
      </c>
      <c r="I1196">
        <v>0.84583382119999995</v>
      </c>
    </row>
    <row r="1197" spans="1:9" hidden="1" x14ac:dyDescent="0.2">
      <c r="A1197" t="s">
        <v>463</v>
      </c>
      <c r="B1197" t="s">
        <v>833</v>
      </c>
      <c r="C1197" t="s">
        <v>3</v>
      </c>
      <c r="D1197">
        <v>-40.975032050000003</v>
      </c>
      <c r="E1197">
        <v>-45.621325140000003</v>
      </c>
      <c r="F1197">
        <v>-40.28342567</v>
      </c>
      <c r="G1197">
        <v>-38.031788570000003</v>
      </c>
      <c r="H1197">
        <v>-30.22117188</v>
      </c>
      <c r="I1197">
        <v>-24.951577690000001</v>
      </c>
    </row>
    <row r="1198" spans="1:9" hidden="1" x14ac:dyDescent="0.2">
      <c r="A1198" t="s">
        <v>463</v>
      </c>
      <c r="B1198" t="s">
        <v>858</v>
      </c>
      <c r="C1198" t="s">
        <v>3</v>
      </c>
      <c r="D1198">
        <v>45.149904360000001</v>
      </c>
      <c r="E1198">
        <v>50.558244549999998</v>
      </c>
      <c r="F1198">
        <v>44.656218279999997</v>
      </c>
      <c r="G1198">
        <v>42.175231369999999</v>
      </c>
      <c r="H1198">
        <v>33.515919029999999</v>
      </c>
      <c r="I1198">
        <v>26.856787959999998</v>
      </c>
    </row>
    <row r="1199" spans="1:9" hidden="1" x14ac:dyDescent="0.2">
      <c r="A1199" t="s">
        <v>463</v>
      </c>
      <c r="B1199" t="s">
        <v>868</v>
      </c>
      <c r="C1199" t="s">
        <v>3</v>
      </c>
      <c r="D1199">
        <v>0</v>
      </c>
      <c r="E1199">
        <v>4.5026651370000002E-6</v>
      </c>
      <c r="F1199">
        <v>1.6458783199999999E-6</v>
      </c>
      <c r="G1199">
        <v>0</v>
      </c>
      <c r="H1199">
        <v>1.1329909299999999E-5</v>
      </c>
      <c r="I1199">
        <v>1.8581185810000001E-2</v>
      </c>
    </row>
    <row r="1200" spans="1:9" hidden="1" x14ac:dyDescent="0.2">
      <c r="A1200" t="s">
        <v>464</v>
      </c>
      <c r="B1200" t="s">
        <v>867</v>
      </c>
      <c r="C1200" t="s">
        <v>3</v>
      </c>
      <c r="D1200">
        <v>1.190915443E-7</v>
      </c>
      <c r="E1200">
        <v>2.9963830689999998E-7</v>
      </c>
      <c r="F1200">
        <v>0</v>
      </c>
      <c r="G1200">
        <v>0</v>
      </c>
      <c r="H1200">
        <v>0</v>
      </c>
      <c r="I1200">
        <v>0</v>
      </c>
    </row>
    <row r="1201" spans="1:9" hidden="1" x14ac:dyDescent="0.2">
      <c r="A1201" t="s">
        <v>464</v>
      </c>
      <c r="B1201" t="s">
        <v>827</v>
      </c>
      <c r="C1201" t="s">
        <v>3</v>
      </c>
      <c r="D1201">
        <v>-3.404146505E-7</v>
      </c>
      <c r="E1201">
        <v>-7.964731157E-7</v>
      </c>
      <c r="F1201">
        <v>-1.3264413950000001E-7</v>
      </c>
      <c r="G1201">
        <v>0</v>
      </c>
      <c r="H1201">
        <v>0</v>
      </c>
      <c r="I1201">
        <v>-2.4437895449999999E-7</v>
      </c>
    </row>
    <row r="1202" spans="1:9" hidden="1" x14ac:dyDescent="0.2">
      <c r="A1202" t="s">
        <v>464</v>
      </c>
      <c r="B1202" t="s">
        <v>821</v>
      </c>
      <c r="C1202" t="s">
        <v>3</v>
      </c>
      <c r="D1202">
        <v>0</v>
      </c>
      <c r="E1202">
        <v>2.5960472339999998E-7</v>
      </c>
      <c r="F1202">
        <v>0</v>
      </c>
      <c r="G1202">
        <v>0</v>
      </c>
      <c r="H1202">
        <v>0</v>
      </c>
      <c r="I1202">
        <v>0</v>
      </c>
    </row>
    <row r="1203" spans="1:9" hidden="1" x14ac:dyDescent="0.2">
      <c r="A1203" t="s">
        <v>464</v>
      </c>
      <c r="B1203" t="s">
        <v>832</v>
      </c>
      <c r="C1203" t="s">
        <v>3</v>
      </c>
      <c r="D1203">
        <v>-1.4562938770000001E-7</v>
      </c>
      <c r="E1203">
        <v>-5.192094467E-7</v>
      </c>
      <c r="F1203">
        <v>0</v>
      </c>
      <c r="G1203">
        <v>0</v>
      </c>
      <c r="H1203">
        <v>0</v>
      </c>
      <c r="I1203">
        <v>-3.1486589560000002E-7</v>
      </c>
    </row>
    <row r="1204" spans="1:9" hidden="1" x14ac:dyDescent="0.2">
      <c r="A1204" t="s">
        <v>464</v>
      </c>
      <c r="B1204" t="s">
        <v>858</v>
      </c>
      <c r="C1204" t="s">
        <v>3</v>
      </c>
      <c r="D1204">
        <v>0</v>
      </c>
      <c r="E1204">
        <v>3.320494897E-7</v>
      </c>
      <c r="F1204">
        <v>0</v>
      </c>
      <c r="G1204">
        <v>0</v>
      </c>
      <c r="H1204">
        <v>0</v>
      </c>
      <c r="I1204">
        <v>1.000788845E-7</v>
      </c>
    </row>
    <row r="1205" spans="1:9" hidden="1" x14ac:dyDescent="0.2">
      <c r="A1205" t="s">
        <v>464</v>
      </c>
      <c r="B1205" t="s">
        <v>868</v>
      </c>
      <c r="C1205" t="s">
        <v>3</v>
      </c>
      <c r="D1205">
        <v>0</v>
      </c>
      <c r="E1205">
        <v>1.471263735E-7</v>
      </c>
      <c r="F1205">
        <v>0</v>
      </c>
      <c r="G1205">
        <v>0</v>
      </c>
      <c r="H1205">
        <v>0</v>
      </c>
      <c r="I1205">
        <v>0</v>
      </c>
    </row>
    <row r="1206" spans="1:9" hidden="1" x14ac:dyDescent="0.2">
      <c r="A1206" t="s">
        <v>465</v>
      </c>
      <c r="B1206" t="s">
        <v>867</v>
      </c>
      <c r="C1206" t="s">
        <v>3</v>
      </c>
      <c r="D1206">
        <v>1.190915443E-7</v>
      </c>
      <c r="E1206">
        <v>2.9963830689999998E-7</v>
      </c>
      <c r="F1206">
        <v>0</v>
      </c>
      <c r="G1206">
        <v>0</v>
      </c>
      <c r="H1206">
        <v>0</v>
      </c>
      <c r="I1206">
        <v>0</v>
      </c>
    </row>
    <row r="1207" spans="1:9" hidden="1" x14ac:dyDescent="0.2">
      <c r="A1207" t="s">
        <v>465</v>
      </c>
      <c r="B1207" t="s">
        <v>827</v>
      </c>
      <c r="C1207" t="s">
        <v>3</v>
      </c>
      <c r="D1207">
        <v>-3.6819505569999998E-7</v>
      </c>
      <c r="E1207">
        <v>-8.614713344E-7</v>
      </c>
      <c r="F1207">
        <v>-1.4346890260000001E-7</v>
      </c>
      <c r="G1207">
        <v>0</v>
      </c>
      <c r="H1207">
        <v>0</v>
      </c>
      <c r="I1207">
        <v>-2.64322122E-7</v>
      </c>
    </row>
    <row r="1208" spans="1:9" hidden="1" x14ac:dyDescent="0.2">
      <c r="A1208" t="s">
        <v>465</v>
      </c>
      <c r="B1208" t="s">
        <v>821</v>
      </c>
      <c r="C1208" t="s">
        <v>3</v>
      </c>
      <c r="D1208">
        <v>0</v>
      </c>
      <c r="E1208">
        <v>2.5960472339999998E-7</v>
      </c>
      <c r="F1208">
        <v>0</v>
      </c>
      <c r="G1208">
        <v>0</v>
      </c>
      <c r="H1208">
        <v>0</v>
      </c>
      <c r="I1208">
        <v>0</v>
      </c>
    </row>
    <row r="1209" spans="1:9" hidden="1" x14ac:dyDescent="0.2">
      <c r="A1209" t="s">
        <v>465</v>
      </c>
      <c r="B1209" t="s">
        <v>833</v>
      </c>
      <c r="C1209" t="s">
        <v>3</v>
      </c>
      <c r="D1209">
        <v>-1.4562938770000001E-7</v>
      </c>
      <c r="E1209">
        <v>-5.192094467E-7</v>
      </c>
      <c r="F1209">
        <v>0</v>
      </c>
      <c r="G1209">
        <v>0</v>
      </c>
      <c r="H1209">
        <v>0</v>
      </c>
      <c r="I1209">
        <v>-3.1486589560000002E-7</v>
      </c>
    </row>
    <row r="1210" spans="1:9" hidden="1" x14ac:dyDescent="0.2">
      <c r="A1210" t="s">
        <v>465</v>
      </c>
      <c r="B1210" t="s">
        <v>858</v>
      </c>
      <c r="C1210" t="s">
        <v>3</v>
      </c>
      <c r="D1210">
        <v>0</v>
      </c>
      <c r="E1210">
        <v>3.320494897E-7</v>
      </c>
      <c r="F1210">
        <v>0</v>
      </c>
      <c r="G1210">
        <v>0</v>
      </c>
      <c r="H1210">
        <v>0</v>
      </c>
      <c r="I1210">
        <v>1.000788845E-7</v>
      </c>
    </row>
    <row r="1211" spans="1:9" hidden="1" x14ac:dyDescent="0.2">
      <c r="A1211" t="s">
        <v>465</v>
      </c>
      <c r="B1211" t="s">
        <v>868</v>
      </c>
      <c r="C1211" t="s">
        <v>3</v>
      </c>
      <c r="D1211">
        <v>0</v>
      </c>
      <c r="E1211">
        <v>1.471263735E-7</v>
      </c>
      <c r="F1211">
        <v>0</v>
      </c>
      <c r="G1211">
        <v>0</v>
      </c>
      <c r="H1211">
        <v>0</v>
      </c>
      <c r="I1211">
        <v>0</v>
      </c>
    </row>
    <row r="1212" spans="1:9" hidden="1" x14ac:dyDescent="0.2">
      <c r="A1212" t="s">
        <v>466</v>
      </c>
      <c r="B1212" t="s">
        <v>821</v>
      </c>
      <c r="C1212" t="s">
        <v>3</v>
      </c>
      <c r="D1212">
        <v>0</v>
      </c>
      <c r="E1212">
        <v>3.6736290219999998E-5</v>
      </c>
      <c r="F1212">
        <v>0.3419962627</v>
      </c>
      <c r="G1212">
        <v>6.6788899979999996E-7</v>
      </c>
      <c r="H1212">
        <v>2.7638802800000002E-4</v>
      </c>
      <c r="I1212">
        <v>1.469285576E-4</v>
      </c>
    </row>
    <row r="1213" spans="1:9" hidden="1" x14ac:dyDescent="0.2">
      <c r="A1213" t="s">
        <v>466</v>
      </c>
      <c r="B1213" t="s">
        <v>832</v>
      </c>
      <c r="C1213" t="s">
        <v>3</v>
      </c>
      <c r="D1213">
        <v>0</v>
      </c>
      <c r="E1213">
        <v>-3.6736290219999998E-5</v>
      </c>
      <c r="F1213">
        <v>-0.3419962627</v>
      </c>
      <c r="G1213">
        <v>-6.6788899979999996E-7</v>
      </c>
      <c r="H1213">
        <v>-2.7638802800000002E-4</v>
      </c>
      <c r="I1213">
        <v>-1.469285576E-4</v>
      </c>
    </row>
    <row r="1214" spans="1:9" hidden="1" x14ac:dyDescent="0.2">
      <c r="A1214" t="s">
        <v>467</v>
      </c>
      <c r="B1214" t="s">
        <v>821</v>
      </c>
      <c r="C1214" t="s">
        <v>3</v>
      </c>
      <c r="D1214">
        <v>0</v>
      </c>
      <c r="E1214">
        <v>5.416425613E-5</v>
      </c>
      <c r="F1214">
        <v>4.7513304959999998E-4</v>
      </c>
      <c r="G1214">
        <v>6.8513212439999995E-7</v>
      </c>
      <c r="H1214">
        <v>4.4509955880000001E-5</v>
      </c>
      <c r="I1214">
        <v>5.2215448589999999E-5</v>
      </c>
    </row>
    <row r="1215" spans="1:9" hidden="1" x14ac:dyDescent="0.2">
      <c r="A1215" t="s">
        <v>467</v>
      </c>
      <c r="B1215" t="s">
        <v>833</v>
      </c>
      <c r="C1215" t="s">
        <v>3</v>
      </c>
      <c r="D1215">
        <v>0</v>
      </c>
      <c r="E1215">
        <v>-5.3630546709999998E-5</v>
      </c>
      <c r="F1215">
        <v>-4.7042918499999998E-4</v>
      </c>
      <c r="G1215">
        <v>-6.7834866589999999E-7</v>
      </c>
      <c r="H1215">
        <v>-4.4069264129999998E-5</v>
      </c>
      <c r="I1215">
        <v>-5.169924332E-5</v>
      </c>
    </row>
    <row r="1216" spans="1:9" hidden="1" x14ac:dyDescent="0.2">
      <c r="A1216" t="s">
        <v>468</v>
      </c>
      <c r="B1216" t="s">
        <v>821</v>
      </c>
      <c r="C1216" t="s">
        <v>3</v>
      </c>
      <c r="D1216">
        <v>5.8596215300000002E-7</v>
      </c>
      <c r="E1216">
        <v>6.9277601059999999E-6</v>
      </c>
      <c r="F1216">
        <v>1.54198512E-5</v>
      </c>
      <c r="G1216">
        <v>4.2729653099999998E-7</v>
      </c>
      <c r="H1216">
        <v>9.5691305939999994E-6</v>
      </c>
      <c r="I1216">
        <v>1.630037049E-5</v>
      </c>
    </row>
    <row r="1217" spans="1:9" hidden="1" x14ac:dyDescent="0.2">
      <c r="A1217" t="s">
        <v>468</v>
      </c>
      <c r="B1217" t="s">
        <v>830</v>
      </c>
      <c r="C1217" t="s">
        <v>3</v>
      </c>
      <c r="D1217">
        <v>1.455803544E-6</v>
      </c>
      <c r="E1217">
        <v>3.224667183E-5</v>
      </c>
      <c r="F1217">
        <v>4.1036878099999998E-5</v>
      </c>
      <c r="G1217">
        <v>1.068326833E-6</v>
      </c>
      <c r="H1217">
        <v>2.39280198E-5</v>
      </c>
      <c r="I1217">
        <v>4.5333349460000001E-5</v>
      </c>
    </row>
    <row r="1218" spans="1:9" hidden="1" x14ac:dyDescent="0.2">
      <c r="A1218" t="s">
        <v>468</v>
      </c>
      <c r="B1218" t="s">
        <v>825</v>
      </c>
      <c r="C1218" t="s">
        <v>3</v>
      </c>
      <c r="D1218">
        <v>-2.023562023E-6</v>
      </c>
      <c r="E1218">
        <v>-2.3598148539999999E-5</v>
      </c>
      <c r="F1218">
        <v>-5.3862664710000001E-5</v>
      </c>
      <c r="G1218">
        <v>-1.495530815E-6</v>
      </c>
      <c r="H1218">
        <v>-3.3491734020000003E-5</v>
      </c>
      <c r="I1218">
        <v>-5.6854505469999998E-5</v>
      </c>
    </row>
    <row r="1219" spans="1:9" hidden="1" x14ac:dyDescent="0.2">
      <c r="A1219" t="s">
        <v>469</v>
      </c>
      <c r="B1219" t="s">
        <v>821</v>
      </c>
      <c r="C1219" t="s">
        <v>3</v>
      </c>
      <c r="D1219">
        <v>1.4008352429999999E-5</v>
      </c>
      <c r="E1219">
        <v>1.953045821E-5</v>
      </c>
      <c r="F1219">
        <v>2.6320656069999999E-5</v>
      </c>
      <c r="G1219">
        <v>4.7915330910000001E-7</v>
      </c>
      <c r="H1219">
        <v>9.2542670879999997E-6</v>
      </c>
      <c r="I1219">
        <v>1.3103107100000001E-5</v>
      </c>
    </row>
    <row r="1220" spans="1:9" hidden="1" x14ac:dyDescent="0.2">
      <c r="A1220" t="s">
        <v>469</v>
      </c>
      <c r="B1220" t="s">
        <v>833</v>
      </c>
      <c r="C1220" t="s">
        <v>3</v>
      </c>
      <c r="D1220">
        <v>-4.2006853659999999E-5</v>
      </c>
      <c r="E1220">
        <v>-5.8072165249999999E-5</v>
      </c>
      <c r="F1220">
        <v>-7.8876516759999993E-5</v>
      </c>
      <c r="G1220">
        <v>-1.4374542949999999E-6</v>
      </c>
      <c r="H1220">
        <v>-2.7762622869999999E-5</v>
      </c>
      <c r="I1220">
        <v>-3.9151888389999997E-5</v>
      </c>
    </row>
    <row r="1221" spans="1:9" hidden="1" x14ac:dyDescent="0.2">
      <c r="A1221" t="s">
        <v>469</v>
      </c>
      <c r="B1221" t="s">
        <v>825</v>
      </c>
      <c r="C1221" t="s">
        <v>3</v>
      </c>
      <c r="D1221">
        <v>2.8016704900000001E-5</v>
      </c>
      <c r="E1221">
        <v>3.8801311760000001E-5</v>
      </c>
      <c r="F1221">
        <v>5.2598586460000002E-5</v>
      </c>
      <c r="G1221">
        <v>9.5830380299999992E-7</v>
      </c>
      <c r="H1221">
        <v>1.850844499E-5</v>
      </c>
      <c r="I1221">
        <v>2.6127497769999999E-5</v>
      </c>
    </row>
    <row r="1222" spans="1:9" hidden="1" x14ac:dyDescent="0.2">
      <c r="A1222" t="s">
        <v>470</v>
      </c>
      <c r="B1222" t="s">
        <v>828</v>
      </c>
      <c r="C1222" t="s">
        <v>194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 hidden="1" x14ac:dyDescent="0.2">
      <c r="A1223" t="s">
        <v>470</v>
      </c>
      <c r="B1223" t="s">
        <v>821</v>
      </c>
      <c r="C1223" t="s">
        <v>194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 hidden="1" x14ac:dyDescent="0.2">
      <c r="A1224" t="s">
        <v>470</v>
      </c>
      <c r="B1224" t="s">
        <v>832</v>
      </c>
      <c r="C1224" t="s">
        <v>194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 hidden="1" x14ac:dyDescent="0.2">
      <c r="A1225" t="s">
        <v>471</v>
      </c>
      <c r="B1225" t="s">
        <v>828</v>
      </c>
      <c r="C1225" t="s">
        <v>194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hidden="1" x14ac:dyDescent="0.2">
      <c r="A1226" t="s">
        <v>471</v>
      </c>
      <c r="B1226" t="s">
        <v>827</v>
      </c>
      <c r="C1226" t="s">
        <v>194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 hidden="1" x14ac:dyDescent="0.2">
      <c r="A1227" t="s">
        <v>471</v>
      </c>
      <c r="B1227" t="s">
        <v>821</v>
      </c>
      <c r="C1227" t="s">
        <v>194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hidden="1" x14ac:dyDescent="0.2">
      <c r="A1228" t="s">
        <v>471</v>
      </c>
      <c r="B1228" t="s">
        <v>832</v>
      </c>
      <c r="C1228" t="s">
        <v>194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hidden="1" x14ac:dyDescent="0.2">
      <c r="A1229" t="s">
        <v>472</v>
      </c>
      <c r="B1229" t="s">
        <v>820</v>
      </c>
      <c r="C1229" t="s">
        <v>194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 hidden="1" x14ac:dyDescent="0.2">
      <c r="A1230" t="s">
        <v>472</v>
      </c>
      <c r="B1230" t="s">
        <v>821</v>
      </c>
      <c r="C1230" t="s">
        <v>194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 hidden="1" x14ac:dyDescent="0.2">
      <c r="A1231" t="s">
        <v>472</v>
      </c>
      <c r="B1231" t="s">
        <v>832</v>
      </c>
      <c r="C1231" t="s">
        <v>194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hidden="1" x14ac:dyDescent="0.2">
      <c r="A1232" t="s">
        <v>473</v>
      </c>
      <c r="B1232" t="s">
        <v>820</v>
      </c>
      <c r="C1232" t="s">
        <v>194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hidden="1" x14ac:dyDescent="0.2">
      <c r="A1233" t="s">
        <v>473</v>
      </c>
      <c r="B1233" t="s">
        <v>827</v>
      </c>
      <c r="C1233" t="s">
        <v>194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hidden="1" x14ac:dyDescent="0.2">
      <c r="A1234" t="s">
        <v>473</v>
      </c>
      <c r="B1234" t="s">
        <v>821</v>
      </c>
      <c r="C1234" t="s">
        <v>194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 hidden="1" x14ac:dyDescent="0.2">
      <c r="A1235" t="s">
        <v>473</v>
      </c>
      <c r="B1235" t="s">
        <v>832</v>
      </c>
      <c r="C1235" t="s">
        <v>194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hidden="1" x14ac:dyDescent="0.2">
      <c r="A1236" t="s">
        <v>474</v>
      </c>
      <c r="B1236" t="s">
        <v>828</v>
      </c>
      <c r="C1236" t="s">
        <v>194</v>
      </c>
      <c r="D1236">
        <v>3.4645235889999999E-6</v>
      </c>
      <c r="E1236">
        <v>6.5833407890000003E-4</v>
      </c>
      <c r="F1236">
        <v>1.7655792589999999E-4</v>
      </c>
      <c r="G1236">
        <v>1.113801643E-6</v>
      </c>
      <c r="H1236">
        <v>6.8208915630000002E-6</v>
      </c>
      <c r="I1236">
        <v>1.032429206E-4</v>
      </c>
    </row>
    <row r="1237" spans="1:9" hidden="1" x14ac:dyDescent="0.2">
      <c r="A1237" t="s">
        <v>474</v>
      </c>
      <c r="B1237" t="s">
        <v>832</v>
      </c>
      <c r="C1237" t="s">
        <v>194</v>
      </c>
      <c r="D1237">
        <v>-3.1217119649999998E-6</v>
      </c>
      <c r="E1237">
        <v>-5.9252663020000005E-4</v>
      </c>
      <c r="F1237">
        <v>-1.5890640610000001E-4</v>
      </c>
      <c r="G1237">
        <v>-1.0024217600000001E-6</v>
      </c>
      <c r="H1237">
        <v>-6.1388113260000002E-6</v>
      </c>
      <c r="I1237">
        <v>-9.2926500219999995E-5</v>
      </c>
    </row>
    <row r="1238" spans="1:9" hidden="1" x14ac:dyDescent="0.2">
      <c r="A1238" t="s">
        <v>475</v>
      </c>
      <c r="B1238" t="s">
        <v>828</v>
      </c>
      <c r="C1238" t="s">
        <v>194</v>
      </c>
      <c r="D1238">
        <v>2.4402406939999999E-5</v>
      </c>
      <c r="E1238">
        <v>2.2401396080000001E-3</v>
      </c>
      <c r="F1238">
        <v>8.7009792469999996E-3</v>
      </c>
      <c r="G1238">
        <v>1.3083766699999999E-3</v>
      </c>
      <c r="H1238">
        <v>6.4686896880000004E-3</v>
      </c>
      <c r="I1238">
        <v>0.4545981711</v>
      </c>
    </row>
    <row r="1239" spans="1:9" hidden="1" x14ac:dyDescent="0.2">
      <c r="A1239" t="s">
        <v>475</v>
      </c>
      <c r="B1239" t="s">
        <v>833</v>
      </c>
      <c r="C1239" t="s">
        <v>194</v>
      </c>
      <c r="D1239">
        <v>-2.1965806979999998E-5</v>
      </c>
      <c r="E1239">
        <v>-2.0161516080000001E-3</v>
      </c>
      <c r="F1239">
        <v>-7.8308855960000003E-3</v>
      </c>
      <c r="G1239">
        <v>-1.177539003E-3</v>
      </c>
      <c r="H1239">
        <v>-5.8218207290000002E-3</v>
      </c>
      <c r="I1239">
        <v>-0.40913836190000002</v>
      </c>
    </row>
    <row r="1240" spans="1:9" hidden="1" x14ac:dyDescent="0.2">
      <c r="A1240" t="s">
        <v>476</v>
      </c>
      <c r="B1240" t="s">
        <v>828</v>
      </c>
      <c r="C1240" t="s">
        <v>194</v>
      </c>
      <c r="D1240">
        <v>7.602375864E-6</v>
      </c>
      <c r="E1240">
        <v>7.4836490880000005E-5</v>
      </c>
      <c r="F1240">
        <v>1.2281494380000001E-2</v>
      </c>
      <c r="G1240">
        <v>2.5382086459999999E-6</v>
      </c>
      <c r="H1240">
        <v>6.853761036E-6</v>
      </c>
      <c r="I1240">
        <v>7.8060943759999994E-5</v>
      </c>
    </row>
    <row r="1241" spans="1:9" hidden="1" x14ac:dyDescent="0.2">
      <c r="A1241" t="s">
        <v>476</v>
      </c>
      <c r="B1241" t="s">
        <v>827</v>
      </c>
      <c r="C1241" t="s">
        <v>194</v>
      </c>
      <c r="D1241">
        <v>-4.266134576E-7</v>
      </c>
      <c r="E1241">
        <v>-4.1767294279999998E-6</v>
      </c>
      <c r="F1241">
        <v>-6.001838332E-4</v>
      </c>
      <c r="G1241">
        <v>-1.2402741789999999E-7</v>
      </c>
      <c r="H1241">
        <v>-3.350687106E-7</v>
      </c>
      <c r="I1241">
        <v>-3.9738251389999998E-6</v>
      </c>
    </row>
    <row r="1242" spans="1:9" hidden="1" x14ac:dyDescent="0.2">
      <c r="A1242" t="s">
        <v>476</v>
      </c>
      <c r="B1242" t="s">
        <v>821</v>
      </c>
      <c r="C1242" t="s">
        <v>194</v>
      </c>
      <c r="D1242">
        <v>3.1520318579999999E-7</v>
      </c>
      <c r="E1242">
        <v>3.276810704E-6</v>
      </c>
      <c r="F1242">
        <v>4.9692146789999999E-4</v>
      </c>
      <c r="G1242">
        <v>1.026926741E-7</v>
      </c>
      <c r="H1242">
        <v>2.7737270570000001E-7</v>
      </c>
      <c r="I1242">
        <v>3.2336945740000001E-6</v>
      </c>
    </row>
    <row r="1243" spans="1:9" hidden="1" x14ac:dyDescent="0.2">
      <c r="A1243" t="s">
        <v>476</v>
      </c>
      <c r="B1243" t="s">
        <v>832</v>
      </c>
      <c r="C1243" t="s">
        <v>194</v>
      </c>
      <c r="D1243">
        <v>-6.7857102159999999E-6</v>
      </c>
      <c r="E1243">
        <v>-6.6786711020000005E-5</v>
      </c>
      <c r="F1243">
        <v>-1.09558426E-2</v>
      </c>
      <c r="G1243">
        <v>-2.2642363840000001E-6</v>
      </c>
      <c r="H1243">
        <v>-6.1139802239999997E-6</v>
      </c>
      <c r="I1243">
        <v>-6.9643593629999998E-5</v>
      </c>
    </row>
    <row r="1244" spans="1:9" hidden="1" x14ac:dyDescent="0.2">
      <c r="A1244" t="s">
        <v>477</v>
      </c>
      <c r="B1244" t="s">
        <v>828</v>
      </c>
      <c r="C1244" t="s">
        <v>194</v>
      </c>
      <c r="D1244">
        <v>2.351592142E-5</v>
      </c>
      <c r="E1244">
        <v>1.0031473879999999E-4</v>
      </c>
      <c r="F1244">
        <v>1.0788986129999999E-3</v>
      </c>
      <c r="G1244">
        <v>3.2370008950000001E-6</v>
      </c>
      <c r="H1244">
        <v>8.3873342689999998E-6</v>
      </c>
      <c r="I1244">
        <v>7.3894400259999997E-5</v>
      </c>
    </row>
    <row r="1245" spans="1:9" hidden="1" x14ac:dyDescent="0.2">
      <c r="A1245" t="s">
        <v>477</v>
      </c>
      <c r="B1245" t="s">
        <v>827</v>
      </c>
      <c r="C1245" t="s">
        <v>194</v>
      </c>
      <c r="D1245">
        <v>-1.2130736640000001E-6</v>
      </c>
      <c r="E1245">
        <v>-5.4616894240000003E-6</v>
      </c>
      <c r="F1245">
        <v>-5.3193686329999998E-5</v>
      </c>
      <c r="G1245">
        <v>-1.5933999469999999E-7</v>
      </c>
      <c r="H1245">
        <v>-4.1303029519999999E-7</v>
      </c>
      <c r="I1245">
        <v>-3.7980869030000001E-6</v>
      </c>
    </row>
    <row r="1246" spans="1:9" hidden="1" x14ac:dyDescent="0.2">
      <c r="A1246" t="s">
        <v>477</v>
      </c>
      <c r="B1246" t="s">
        <v>821</v>
      </c>
      <c r="C1246" t="s">
        <v>194</v>
      </c>
      <c r="D1246">
        <v>9.6207002429999998E-7</v>
      </c>
      <c r="E1246">
        <v>4.3205643979999996E-6</v>
      </c>
      <c r="F1246">
        <v>4.3830486320000003E-5</v>
      </c>
      <c r="G1246">
        <v>1.3138356769999999E-7</v>
      </c>
      <c r="H1246">
        <v>3.4050416579999999E-7</v>
      </c>
      <c r="I1246">
        <v>3.074689823E-6</v>
      </c>
    </row>
    <row r="1247" spans="1:9" hidden="1" x14ac:dyDescent="0.2">
      <c r="A1247" t="s">
        <v>477</v>
      </c>
      <c r="B1247" t="s">
        <v>833</v>
      </c>
      <c r="C1247" t="s">
        <v>194</v>
      </c>
      <c r="D1247">
        <v>-2.0312326229999999E-5</v>
      </c>
      <c r="E1247">
        <v>-8.6663002060000005E-5</v>
      </c>
      <c r="F1247">
        <v>-9.3169720560000002E-4</v>
      </c>
      <c r="G1247">
        <v>-2.7953379450000001E-6</v>
      </c>
      <c r="H1247">
        <v>-7.2429605909999998E-6</v>
      </c>
      <c r="I1247">
        <v>-6.3822830279999999E-5</v>
      </c>
    </row>
    <row r="1248" spans="1:9" hidden="1" x14ac:dyDescent="0.2">
      <c r="A1248" t="s">
        <v>478</v>
      </c>
      <c r="B1248" t="s">
        <v>832</v>
      </c>
      <c r="C1248" t="s">
        <v>194</v>
      </c>
      <c r="D1248">
        <v>-1.6469545E-6</v>
      </c>
      <c r="E1248">
        <v>-2.403615859E-5</v>
      </c>
      <c r="F1248">
        <v>-1.4343257969999999E-5</v>
      </c>
      <c r="G1248">
        <v>-1.7699206700000001E-7</v>
      </c>
      <c r="H1248">
        <v>-3.9702471739999999E-6</v>
      </c>
      <c r="I1248">
        <v>-1.4610078569999999E-5</v>
      </c>
    </row>
    <row r="1249" spans="1:9" hidden="1" x14ac:dyDescent="0.2">
      <c r="A1249" t="s">
        <v>478</v>
      </c>
      <c r="B1249" t="s">
        <v>824</v>
      </c>
      <c r="C1249" t="s">
        <v>194</v>
      </c>
      <c r="D1249">
        <v>1.8241146859999999E-6</v>
      </c>
      <c r="E1249">
        <v>2.6651579510000001E-5</v>
      </c>
      <c r="F1249">
        <v>1.591631651E-5</v>
      </c>
      <c r="G1249">
        <v>1.9646088450000001E-7</v>
      </c>
      <c r="H1249">
        <v>4.4069645499999998E-6</v>
      </c>
      <c r="I1249">
        <v>1.6208528399999999E-5</v>
      </c>
    </row>
    <row r="1250" spans="1:9" hidden="1" x14ac:dyDescent="0.2">
      <c r="A1250" t="s">
        <v>479</v>
      </c>
      <c r="B1250" t="s">
        <v>833</v>
      </c>
      <c r="C1250" t="s">
        <v>194</v>
      </c>
      <c r="D1250">
        <v>-2.8491018529999998E-6</v>
      </c>
      <c r="E1250">
        <v>-4.007469138E-5</v>
      </c>
      <c r="F1250">
        <v>-2.2473824879999999E-5</v>
      </c>
      <c r="G1250">
        <v>-2.3299206900000001E-7</v>
      </c>
      <c r="H1250">
        <v>-4.6887951470000002E-6</v>
      </c>
      <c r="I1250">
        <v>-2.1823141839999999E-5</v>
      </c>
    </row>
    <row r="1251" spans="1:9" hidden="1" x14ac:dyDescent="0.2">
      <c r="A1251" t="s">
        <v>479</v>
      </c>
      <c r="B1251" t="s">
        <v>824</v>
      </c>
      <c r="C1251" t="s">
        <v>194</v>
      </c>
      <c r="D1251">
        <v>3.1584982489999998E-6</v>
      </c>
      <c r="E1251">
        <v>4.445435092E-5</v>
      </c>
      <c r="F1251">
        <v>2.4941245780000001E-5</v>
      </c>
      <c r="G1251">
        <v>2.586208867E-7</v>
      </c>
      <c r="H1251">
        <v>5.2045528E-6</v>
      </c>
      <c r="I1251">
        <v>2.421502863E-5</v>
      </c>
    </row>
    <row r="1252" spans="1:9" hidden="1" x14ac:dyDescent="0.2">
      <c r="A1252" t="s">
        <v>480</v>
      </c>
      <c r="B1252" t="s">
        <v>820</v>
      </c>
      <c r="C1252" t="s">
        <v>194</v>
      </c>
      <c r="D1252">
        <v>6.4212491399999998E-3</v>
      </c>
      <c r="E1252">
        <v>0.16106981479999999</v>
      </c>
      <c r="F1252">
        <v>0.1289270384</v>
      </c>
      <c r="G1252">
        <v>0.13390040380000001</v>
      </c>
      <c r="H1252">
        <v>0.1136679698</v>
      </c>
      <c r="I1252">
        <v>3.614222148E-2</v>
      </c>
    </row>
    <row r="1253" spans="1:9" hidden="1" x14ac:dyDescent="0.2">
      <c r="A1253" t="s">
        <v>480</v>
      </c>
      <c r="B1253" t="s">
        <v>832</v>
      </c>
      <c r="C1253" t="s">
        <v>194</v>
      </c>
      <c r="D1253">
        <v>-5.7128591229999998E-3</v>
      </c>
      <c r="E1253">
        <v>-0.14330057560000001</v>
      </c>
      <c r="F1253">
        <v>-0.11470377549999999</v>
      </c>
      <c r="G1253">
        <v>-0.11912847310000001</v>
      </c>
      <c r="H1253">
        <v>-0.10112808700000001</v>
      </c>
      <c r="I1253">
        <v>-3.2155009999999998E-2</v>
      </c>
    </row>
    <row r="1254" spans="1:9" hidden="1" x14ac:dyDescent="0.2">
      <c r="A1254" t="s">
        <v>481</v>
      </c>
      <c r="B1254" t="s">
        <v>820</v>
      </c>
      <c r="C1254" t="s">
        <v>194</v>
      </c>
      <c r="D1254">
        <v>0.29854293189999997</v>
      </c>
      <c r="E1254">
        <v>6.7573499149999998</v>
      </c>
      <c r="F1254">
        <v>6.0080458930000002</v>
      </c>
      <c r="G1254">
        <v>5.4859858670000001</v>
      </c>
      <c r="H1254">
        <v>4.7010131550000001</v>
      </c>
      <c r="I1254">
        <v>1.087066302</v>
      </c>
    </row>
    <row r="1255" spans="1:9" hidden="1" x14ac:dyDescent="0.2">
      <c r="A1255" t="s">
        <v>481</v>
      </c>
      <c r="B1255" t="s">
        <v>833</v>
      </c>
      <c r="C1255" t="s">
        <v>194</v>
      </c>
      <c r="D1255">
        <v>-0.2656075947</v>
      </c>
      <c r="E1255">
        <v>-6.0118771769999997</v>
      </c>
      <c r="F1255">
        <v>-5.3452365640000004</v>
      </c>
      <c r="G1255">
        <v>-4.8807703440000001</v>
      </c>
      <c r="H1255">
        <v>-4.182396045</v>
      </c>
      <c r="I1255">
        <v>-0.96714084629999997</v>
      </c>
    </row>
    <row r="1256" spans="1:9" hidden="1" x14ac:dyDescent="0.2">
      <c r="A1256" t="s">
        <v>482</v>
      </c>
      <c r="B1256" t="s">
        <v>820</v>
      </c>
      <c r="C1256" t="s">
        <v>194</v>
      </c>
      <c r="D1256">
        <v>1.257689147E-6</v>
      </c>
      <c r="E1256">
        <v>9.902986496E-6</v>
      </c>
      <c r="F1256">
        <v>1.6454856720000001E-4</v>
      </c>
      <c r="G1256">
        <v>1.9711412730000002E-6</v>
      </c>
      <c r="H1256">
        <v>1.796021593E-5</v>
      </c>
      <c r="I1256">
        <v>1.5282998449999999E-5</v>
      </c>
    </row>
    <row r="1257" spans="1:9" hidden="1" x14ac:dyDescent="0.2">
      <c r="A1257" t="s">
        <v>482</v>
      </c>
      <c r="B1257" t="s">
        <v>827</v>
      </c>
      <c r="C1257" t="s">
        <v>194</v>
      </c>
      <c r="D1257">
        <v>-1.041842127E-6</v>
      </c>
      <c r="E1257">
        <v>-9.6675783039999996E-6</v>
      </c>
      <c r="F1257">
        <v>-1.479605766E-5</v>
      </c>
      <c r="G1257">
        <v>-1.5956631549999999E-7</v>
      </c>
      <c r="H1257">
        <v>-1.454163338E-6</v>
      </c>
      <c r="I1257">
        <v>-1.5572714750000001E-6</v>
      </c>
    </row>
    <row r="1258" spans="1:9" hidden="1" x14ac:dyDescent="0.2">
      <c r="A1258" t="s">
        <v>482</v>
      </c>
      <c r="B1258" t="s">
        <v>821</v>
      </c>
      <c r="C1258" t="s">
        <v>194</v>
      </c>
      <c r="D1258">
        <v>0</v>
      </c>
      <c r="E1258">
        <v>7.2446345479999996E-7</v>
      </c>
      <c r="F1258">
        <v>8.1899904509999997E-6</v>
      </c>
      <c r="G1258">
        <v>0</v>
      </c>
      <c r="H1258">
        <v>8.8979463180000001E-7</v>
      </c>
      <c r="I1258">
        <v>8.2021609330000005E-7</v>
      </c>
    </row>
    <row r="1259" spans="1:9" hidden="1" x14ac:dyDescent="0.2">
      <c r="A1259" t="s">
        <v>482</v>
      </c>
      <c r="B1259" t="s">
        <v>832</v>
      </c>
      <c r="C1259" t="s">
        <v>194</v>
      </c>
      <c r="D1259">
        <v>-9.669438333000001E-7</v>
      </c>
      <c r="E1259">
        <v>-7.4496208570000004E-6</v>
      </c>
      <c r="F1259">
        <v>-1.2155008649999999E-4</v>
      </c>
      <c r="G1259">
        <v>-1.4557885039999999E-6</v>
      </c>
      <c r="H1259">
        <v>-1.326447612E-5</v>
      </c>
      <c r="I1259">
        <v>-1.121218373E-5</v>
      </c>
    </row>
    <row r="1260" spans="1:9" hidden="1" x14ac:dyDescent="0.2">
      <c r="A1260" t="s">
        <v>483</v>
      </c>
      <c r="B1260" t="s">
        <v>820</v>
      </c>
      <c r="C1260" t="s">
        <v>194</v>
      </c>
      <c r="D1260">
        <v>4.3978981859999998E-6</v>
      </c>
      <c r="E1260">
        <v>9.3591705450000003E-6</v>
      </c>
      <c r="F1260">
        <v>2.5175872419999997E-4</v>
      </c>
      <c r="G1260">
        <v>2.1699840970000002E-6</v>
      </c>
      <c r="H1260">
        <v>2.0110143890000001E-5</v>
      </c>
      <c r="I1260">
        <v>1.693163489E-5</v>
      </c>
    </row>
    <row r="1261" spans="1:9" hidden="1" x14ac:dyDescent="0.2">
      <c r="A1261" t="s">
        <v>483</v>
      </c>
      <c r="B1261" t="s">
        <v>827</v>
      </c>
      <c r="C1261" t="s">
        <v>194</v>
      </c>
      <c r="D1261">
        <v>-1.2956527890000001E-6</v>
      </c>
      <c r="E1261">
        <v>-9.6158508110000001E-6</v>
      </c>
      <c r="F1261">
        <v>-2.188799116E-5</v>
      </c>
      <c r="G1261">
        <v>-1.7595624340000001E-7</v>
      </c>
      <c r="H1261">
        <v>-1.630919189E-6</v>
      </c>
      <c r="I1261">
        <v>-1.6926307139999999E-6</v>
      </c>
    </row>
    <row r="1262" spans="1:9" hidden="1" x14ac:dyDescent="0.2">
      <c r="A1262" t="s">
        <v>483</v>
      </c>
      <c r="B1262" t="s">
        <v>821</v>
      </c>
      <c r="C1262" t="s">
        <v>194</v>
      </c>
      <c r="D1262">
        <v>2.2941936249999999E-7</v>
      </c>
      <c r="E1262">
        <v>6.9869702040000005E-7</v>
      </c>
      <c r="F1262">
        <v>1.254366261E-5</v>
      </c>
      <c r="G1262">
        <v>1.077881728E-7</v>
      </c>
      <c r="H1262">
        <v>9.98968334E-7</v>
      </c>
      <c r="I1262">
        <v>9.0409287400000004E-7</v>
      </c>
    </row>
    <row r="1263" spans="1:9" hidden="1" x14ac:dyDescent="0.2">
      <c r="A1263" t="s">
        <v>483</v>
      </c>
      <c r="B1263" t="s">
        <v>833</v>
      </c>
      <c r="C1263" t="s">
        <v>194</v>
      </c>
      <c r="D1263">
        <v>-3.2517424619999998E-6</v>
      </c>
      <c r="E1263">
        <v>-6.976449109E-6</v>
      </c>
      <c r="F1263">
        <v>-1.839227581E-4</v>
      </c>
      <c r="G1263">
        <v>-1.5850843989999999E-6</v>
      </c>
      <c r="H1263">
        <v>-1.4689577289999999E-5</v>
      </c>
      <c r="I1263">
        <v>-1.229532118E-5</v>
      </c>
    </row>
    <row r="1264" spans="1:9" hidden="1" x14ac:dyDescent="0.2">
      <c r="A1264" t="s">
        <v>484</v>
      </c>
      <c r="B1264" t="s">
        <v>821</v>
      </c>
      <c r="C1264" t="s">
        <v>194</v>
      </c>
      <c r="D1264">
        <v>0.25766315140000001</v>
      </c>
      <c r="E1264">
        <v>4.558270403E-5</v>
      </c>
      <c r="F1264">
        <v>6.5944727650000005E-5</v>
      </c>
      <c r="G1264">
        <v>5.5343856539999997E-7</v>
      </c>
      <c r="H1264">
        <v>2.4243937910000001E-4</v>
      </c>
      <c r="I1264">
        <v>5.0529687279999999E-2</v>
      </c>
    </row>
    <row r="1265" spans="1:9" hidden="1" x14ac:dyDescent="0.2">
      <c r="A1265" t="s">
        <v>484</v>
      </c>
      <c r="B1265" t="s">
        <v>832</v>
      </c>
      <c r="C1265" t="s">
        <v>194</v>
      </c>
      <c r="D1265">
        <v>-0.25766315140000001</v>
      </c>
      <c r="E1265">
        <v>-4.558270403E-5</v>
      </c>
      <c r="F1265">
        <v>-6.5944727650000005E-5</v>
      </c>
      <c r="G1265">
        <v>-5.5343856539999997E-7</v>
      </c>
      <c r="H1265">
        <v>-2.4243937910000001E-4</v>
      </c>
      <c r="I1265">
        <v>-5.0529687279999999E-2</v>
      </c>
    </row>
    <row r="1266" spans="1:9" hidden="1" x14ac:dyDescent="0.2">
      <c r="A1266" t="s">
        <v>485</v>
      </c>
      <c r="B1266" t="s">
        <v>821</v>
      </c>
      <c r="C1266" t="s">
        <v>194</v>
      </c>
      <c r="D1266">
        <v>0</v>
      </c>
      <c r="E1266">
        <v>3.8681775560000002E-5</v>
      </c>
      <c r="F1266">
        <v>6.2274483420000001E-5</v>
      </c>
      <c r="G1266">
        <v>7.4869130500000004E-7</v>
      </c>
      <c r="H1266">
        <v>9.5494696359999995E-5</v>
      </c>
      <c r="I1266">
        <v>2.0844511529999998</v>
      </c>
    </row>
    <row r="1267" spans="1:9" hidden="1" x14ac:dyDescent="0.2">
      <c r="A1267" t="s">
        <v>485</v>
      </c>
      <c r="B1267" t="s">
        <v>833</v>
      </c>
      <c r="C1267" t="s">
        <v>194</v>
      </c>
      <c r="D1267">
        <v>0</v>
      </c>
      <c r="E1267">
        <v>-3.830135803E-5</v>
      </c>
      <c r="F1267">
        <v>-6.1658327410000002E-5</v>
      </c>
      <c r="G1267">
        <v>-7.4127854769999999E-7</v>
      </c>
      <c r="H1267">
        <v>-9.4549205199999996E-5</v>
      </c>
      <c r="I1267">
        <v>-2.0638130239999999</v>
      </c>
    </row>
    <row r="1268" spans="1:9" hidden="1" x14ac:dyDescent="0.2">
      <c r="A1268" t="s">
        <v>486</v>
      </c>
      <c r="B1268" t="s">
        <v>828</v>
      </c>
      <c r="C1268" t="s">
        <v>194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 spans="1:9" hidden="1" x14ac:dyDescent="0.2">
      <c r="A1269" t="s">
        <v>486</v>
      </c>
      <c r="B1269" t="s">
        <v>830</v>
      </c>
      <c r="C1269" t="s">
        <v>194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 spans="1:9" hidden="1" x14ac:dyDescent="0.2">
      <c r="A1270" t="s">
        <v>486</v>
      </c>
      <c r="B1270" t="s">
        <v>825</v>
      </c>
      <c r="C1270" t="s">
        <v>194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 spans="1:9" hidden="1" x14ac:dyDescent="0.2">
      <c r="A1271" t="s">
        <v>487</v>
      </c>
      <c r="B1271" t="s">
        <v>821</v>
      </c>
      <c r="C1271" t="s">
        <v>194</v>
      </c>
      <c r="D1271">
        <v>5.4461861330000003E-7</v>
      </c>
      <c r="E1271">
        <v>0.10433710340000001</v>
      </c>
      <c r="F1271">
        <v>0.18736371860000001</v>
      </c>
      <c r="G1271">
        <v>0.25061122289999999</v>
      </c>
      <c r="H1271">
        <v>0.25790713069999999</v>
      </c>
      <c r="I1271">
        <v>0.23600392170000001</v>
      </c>
    </row>
    <row r="1272" spans="1:9" hidden="1" x14ac:dyDescent="0.2">
      <c r="A1272" t="s">
        <v>487</v>
      </c>
      <c r="B1272" t="s">
        <v>830</v>
      </c>
      <c r="C1272" t="s">
        <v>194</v>
      </c>
      <c r="D1272">
        <v>1.352444695E-6</v>
      </c>
      <c r="E1272">
        <v>0.26085768529999998</v>
      </c>
      <c r="F1272">
        <v>0.46841178319999999</v>
      </c>
      <c r="G1272">
        <v>0.62652805629999997</v>
      </c>
      <c r="H1272">
        <v>0.64476783100000001</v>
      </c>
      <c r="I1272">
        <v>0.59001438589999999</v>
      </c>
    </row>
    <row r="1273" spans="1:9" hidden="1" x14ac:dyDescent="0.2">
      <c r="A1273" t="s">
        <v>487</v>
      </c>
      <c r="B1273" t="s">
        <v>825</v>
      </c>
      <c r="C1273" t="s">
        <v>194</v>
      </c>
      <c r="D1273">
        <v>-1.8788596349999999E-6</v>
      </c>
      <c r="E1273">
        <v>-0.36517921240000001</v>
      </c>
      <c r="F1273">
        <v>-0.65577290769999996</v>
      </c>
      <c r="G1273">
        <v>-0.8771392791</v>
      </c>
      <c r="H1273">
        <v>-0.90267495630000005</v>
      </c>
      <c r="I1273">
        <v>-0.82601352839999997</v>
      </c>
    </row>
    <row r="1274" spans="1:9" hidden="1" x14ac:dyDescent="0.2">
      <c r="A1274" t="s">
        <v>488</v>
      </c>
      <c r="B1274" t="s">
        <v>821</v>
      </c>
      <c r="C1274" t="s">
        <v>194</v>
      </c>
      <c r="D1274">
        <v>2.447509413E-5</v>
      </c>
      <c r="E1274">
        <v>3.9876125750000001E-6</v>
      </c>
      <c r="F1274">
        <v>6.3951246370000003E-6</v>
      </c>
      <c r="G1274">
        <v>1.3022389860000001E-7</v>
      </c>
      <c r="H1274">
        <v>4.7470201199999998E-6</v>
      </c>
      <c r="I1274">
        <v>1.2214472409999999E-5</v>
      </c>
    </row>
    <row r="1275" spans="1:9" hidden="1" x14ac:dyDescent="0.2">
      <c r="A1275" t="s">
        <v>488</v>
      </c>
      <c r="B1275" t="s">
        <v>833</v>
      </c>
      <c r="C1275" t="s">
        <v>194</v>
      </c>
      <c r="D1275">
        <v>-7.3407078780000004E-5</v>
      </c>
      <c r="E1275">
        <v>-1.144362829E-5</v>
      </c>
      <c r="F1275">
        <v>-1.909992239E-5</v>
      </c>
      <c r="G1275">
        <v>-3.9066606289999998E-7</v>
      </c>
      <c r="H1275">
        <v>-1.4240881949999999E-5</v>
      </c>
      <c r="I1275">
        <v>-3.64859843E-5</v>
      </c>
    </row>
    <row r="1276" spans="1:9" hidden="1" x14ac:dyDescent="0.2">
      <c r="A1276" t="s">
        <v>488</v>
      </c>
      <c r="B1276" t="s">
        <v>825</v>
      </c>
      <c r="C1276" t="s">
        <v>194</v>
      </c>
      <c r="D1276">
        <v>4.8950188319999999E-5</v>
      </c>
      <c r="E1276">
        <v>7.7156204379999993E-6</v>
      </c>
      <c r="F1276">
        <v>1.274752352E-5</v>
      </c>
      <c r="G1276">
        <v>2.6044498099999998E-7</v>
      </c>
      <c r="H1276">
        <v>9.4939510430000005E-6</v>
      </c>
      <c r="I1276">
        <v>2.435022837E-5</v>
      </c>
    </row>
    <row r="1277" spans="1:9" hidden="1" x14ac:dyDescent="0.2">
      <c r="A1277" t="s">
        <v>489</v>
      </c>
      <c r="B1277" t="s">
        <v>834</v>
      </c>
      <c r="C1277" t="s">
        <v>2</v>
      </c>
      <c r="D1277">
        <v>0</v>
      </c>
      <c r="E1277">
        <v>-3.5794299479999999E-5</v>
      </c>
      <c r="F1277">
        <v>-2.244586472E-5</v>
      </c>
      <c r="G1277">
        <v>-2.6095898859999998E-7</v>
      </c>
      <c r="H1277">
        <v>-1.0284395770000001E-5</v>
      </c>
      <c r="I1277">
        <v>-4.9281662840000001E-5</v>
      </c>
    </row>
    <row r="1278" spans="1:9" hidden="1" x14ac:dyDescent="0.2">
      <c r="A1278" t="s">
        <v>489</v>
      </c>
      <c r="B1278" t="s">
        <v>824</v>
      </c>
      <c r="C1278" t="s">
        <v>2</v>
      </c>
      <c r="D1278">
        <v>0</v>
      </c>
      <c r="E1278">
        <v>3.5794299479999999E-5</v>
      </c>
      <c r="F1278">
        <v>2.244586472E-5</v>
      </c>
      <c r="G1278">
        <v>2.6095898859999998E-7</v>
      </c>
      <c r="H1278">
        <v>1.0284395770000001E-5</v>
      </c>
      <c r="I1278">
        <v>4.9281662840000001E-5</v>
      </c>
    </row>
    <row r="1279" spans="1:9" hidden="1" x14ac:dyDescent="0.2">
      <c r="A1279" t="s">
        <v>490</v>
      </c>
      <c r="B1279" t="s">
        <v>833</v>
      </c>
      <c r="C1279" t="s">
        <v>2</v>
      </c>
      <c r="D1279">
        <v>-1.981343154E-6</v>
      </c>
      <c r="E1279">
        <v>-3.4233047629999997E-5</v>
      </c>
      <c r="F1279">
        <v>-2.0492673839999999E-5</v>
      </c>
      <c r="G1279">
        <v>-2.2058442079999999E-7</v>
      </c>
      <c r="H1279">
        <v>-7.1465922670000003E-6</v>
      </c>
      <c r="I1279">
        <v>-2.8513720379999999E-5</v>
      </c>
    </row>
    <row r="1280" spans="1:9" hidden="1" x14ac:dyDescent="0.2">
      <c r="A1280" t="s">
        <v>490</v>
      </c>
      <c r="B1280" t="s">
        <v>824</v>
      </c>
      <c r="C1280" t="s">
        <v>2</v>
      </c>
      <c r="D1280">
        <v>2.1952860929999998E-6</v>
      </c>
      <c r="E1280">
        <v>3.7970126349999999E-5</v>
      </c>
      <c r="F1280">
        <v>2.2742168130000001E-5</v>
      </c>
      <c r="G1280">
        <v>2.4484839729999999E-7</v>
      </c>
      <c r="H1280">
        <v>7.9327076029999992E-6</v>
      </c>
      <c r="I1280">
        <v>3.1641570809999999E-5</v>
      </c>
    </row>
    <row r="1281" spans="1:9" hidden="1" x14ac:dyDescent="0.2">
      <c r="A1281" t="s">
        <v>491</v>
      </c>
      <c r="B1281" t="s">
        <v>821</v>
      </c>
      <c r="C1281" t="s">
        <v>2</v>
      </c>
      <c r="D1281">
        <v>0</v>
      </c>
      <c r="E1281">
        <v>5.2218052650000002E-5</v>
      </c>
      <c r="F1281">
        <v>0.39844048510000002</v>
      </c>
      <c r="G1281">
        <v>6.6085649640000003E-7</v>
      </c>
      <c r="H1281">
        <v>1.653216247</v>
      </c>
      <c r="I1281">
        <v>1.0625662659999999</v>
      </c>
    </row>
    <row r="1282" spans="1:9" hidden="1" x14ac:dyDescent="0.2">
      <c r="A1282" t="s">
        <v>491</v>
      </c>
      <c r="B1282" t="s">
        <v>832</v>
      </c>
      <c r="C1282" t="s">
        <v>2</v>
      </c>
      <c r="D1282">
        <v>0</v>
      </c>
      <c r="E1282">
        <v>-5.2218052650000002E-5</v>
      </c>
      <c r="F1282">
        <v>-0.39844048510000002</v>
      </c>
      <c r="G1282">
        <v>-6.6085649640000003E-7</v>
      </c>
      <c r="H1282">
        <v>-1.653216247</v>
      </c>
      <c r="I1282">
        <v>-1.0625662659999999</v>
      </c>
    </row>
    <row r="1283" spans="1:9" hidden="1" x14ac:dyDescent="0.2">
      <c r="A1283" t="s">
        <v>492</v>
      </c>
      <c r="B1283" t="s">
        <v>821</v>
      </c>
      <c r="C1283" t="s">
        <v>2</v>
      </c>
      <c r="D1283">
        <v>1.200682087E-5</v>
      </c>
      <c r="E1283">
        <v>1.4853448249999999E-5</v>
      </c>
      <c r="F1283">
        <v>1.8262324440000001E-5</v>
      </c>
      <c r="G1283">
        <v>2.3242815689999999E-7</v>
      </c>
      <c r="H1283">
        <v>7.2732332929999996E-6</v>
      </c>
      <c r="I1283">
        <v>1.507093319E-5</v>
      </c>
    </row>
    <row r="1284" spans="1:9" hidden="1" x14ac:dyDescent="0.2">
      <c r="A1284" t="s">
        <v>492</v>
      </c>
      <c r="B1284" t="s">
        <v>833</v>
      </c>
      <c r="C1284" t="s">
        <v>2</v>
      </c>
      <c r="D1284">
        <v>-3.6002258960000001E-5</v>
      </c>
      <c r="E1284">
        <v>-4.4041135350000001E-5</v>
      </c>
      <c r="F1284">
        <v>-5.4701521849999997E-5</v>
      </c>
      <c r="G1284">
        <v>-6.9727883790000001E-7</v>
      </c>
      <c r="H1284">
        <v>-2.1819521479999999E-5</v>
      </c>
      <c r="I1284">
        <v>-4.5055366659999998E-5</v>
      </c>
    </row>
    <row r="1285" spans="1:9" hidden="1" x14ac:dyDescent="0.2">
      <c r="A1285" t="s">
        <v>492</v>
      </c>
      <c r="B1285" t="s">
        <v>825</v>
      </c>
      <c r="C1285" t="s">
        <v>2</v>
      </c>
      <c r="D1285">
        <v>2.4013641769999999E-5</v>
      </c>
      <c r="E1285">
        <v>2.944729182E-5</v>
      </c>
      <c r="F1285">
        <v>3.6481923169999997E-5</v>
      </c>
      <c r="G1285">
        <v>4.6485349770000001E-7</v>
      </c>
      <c r="H1285">
        <v>1.45463774E-5</v>
      </c>
      <c r="I1285">
        <v>3.0063149950000001E-5</v>
      </c>
    </row>
    <row r="1286" spans="1:9" hidden="1" x14ac:dyDescent="0.2">
      <c r="A1286" t="s">
        <v>493</v>
      </c>
      <c r="B1286" t="s">
        <v>828</v>
      </c>
      <c r="C1286" t="s">
        <v>2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 hidden="1" x14ac:dyDescent="0.2">
      <c r="A1287" t="s">
        <v>493</v>
      </c>
      <c r="B1287" t="s">
        <v>846</v>
      </c>
      <c r="C1287" t="s">
        <v>2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 hidden="1" x14ac:dyDescent="0.2">
      <c r="A1288" t="s">
        <v>494</v>
      </c>
      <c r="B1288" t="s">
        <v>820</v>
      </c>
      <c r="C1288" t="s">
        <v>2</v>
      </c>
      <c r="D1288">
        <v>0</v>
      </c>
      <c r="E1288">
        <v>0.81833714830000004</v>
      </c>
      <c r="F1288">
        <v>1.2715817169999999</v>
      </c>
      <c r="G1288">
        <v>1.956127154</v>
      </c>
      <c r="H1288">
        <v>1.7387157099999999</v>
      </c>
      <c r="I1288">
        <v>4.9047307280000003E-4</v>
      </c>
    </row>
    <row r="1289" spans="1:9" hidden="1" x14ac:dyDescent="0.2">
      <c r="A1289" t="s">
        <v>494</v>
      </c>
      <c r="B1289" t="s">
        <v>834</v>
      </c>
      <c r="C1289" t="s">
        <v>2</v>
      </c>
      <c r="D1289">
        <v>0</v>
      </c>
      <c r="E1289">
        <v>-0.81833714830000004</v>
      </c>
      <c r="F1289">
        <v>-1.2715817169999999</v>
      </c>
      <c r="G1289">
        <v>-1.956127154</v>
      </c>
      <c r="H1289">
        <v>-1.7387157099999999</v>
      </c>
      <c r="I1289">
        <v>-4.9047307280000003E-4</v>
      </c>
    </row>
    <row r="1290" spans="1:9" hidden="1" x14ac:dyDescent="0.2">
      <c r="A1290" t="s">
        <v>495</v>
      </c>
      <c r="B1290" t="s">
        <v>820</v>
      </c>
      <c r="C1290" t="s">
        <v>128</v>
      </c>
      <c r="E1290">
        <v>0</v>
      </c>
      <c r="F1290">
        <v>1.839112591E-5</v>
      </c>
      <c r="G1290">
        <v>0</v>
      </c>
      <c r="H1290">
        <v>8.8882991309999996E-6</v>
      </c>
      <c r="I1290">
        <v>0</v>
      </c>
    </row>
    <row r="1291" spans="1:9" hidden="1" x14ac:dyDescent="0.2">
      <c r="A1291" t="s">
        <v>495</v>
      </c>
      <c r="B1291" t="s">
        <v>821</v>
      </c>
      <c r="C1291" t="s">
        <v>128</v>
      </c>
      <c r="E1291">
        <v>0</v>
      </c>
      <c r="F1291">
        <v>-8.7664366860000003E-7</v>
      </c>
      <c r="G1291">
        <v>0</v>
      </c>
      <c r="H1291">
        <v>-4.2367559190000002E-7</v>
      </c>
      <c r="I1291">
        <v>0</v>
      </c>
    </row>
    <row r="1292" spans="1:9" hidden="1" x14ac:dyDescent="0.2">
      <c r="A1292" t="s">
        <v>495</v>
      </c>
      <c r="B1292" t="s">
        <v>921</v>
      </c>
      <c r="C1292" t="s">
        <v>128</v>
      </c>
      <c r="E1292">
        <v>0</v>
      </c>
      <c r="F1292">
        <v>-9.6246892290000001E-6</v>
      </c>
      <c r="G1292">
        <v>0</v>
      </c>
      <c r="H1292">
        <v>-4.6515432119999999E-6</v>
      </c>
      <c r="I1292">
        <v>0</v>
      </c>
    </row>
    <row r="1293" spans="1:9" hidden="1" x14ac:dyDescent="0.2">
      <c r="A1293" t="s">
        <v>496</v>
      </c>
      <c r="B1293" t="s">
        <v>835</v>
      </c>
      <c r="C1293" t="s">
        <v>128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 hidden="1" x14ac:dyDescent="0.2">
      <c r="A1294" t="s">
        <v>496</v>
      </c>
      <c r="B1294" t="s">
        <v>853</v>
      </c>
      <c r="C1294" t="s">
        <v>128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 hidden="1" x14ac:dyDescent="0.2">
      <c r="A1295" t="s">
        <v>496</v>
      </c>
      <c r="B1295" t="s">
        <v>865</v>
      </c>
      <c r="C1295" t="s">
        <v>128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 hidden="1" x14ac:dyDescent="0.2">
      <c r="A1296" t="s">
        <v>496</v>
      </c>
      <c r="B1296" t="s">
        <v>836</v>
      </c>
      <c r="C1296" t="s">
        <v>128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 hidden="1" x14ac:dyDescent="0.2">
      <c r="A1297" t="s">
        <v>496</v>
      </c>
      <c r="B1297" t="s">
        <v>867</v>
      </c>
      <c r="C1297" t="s">
        <v>128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 hidden="1" x14ac:dyDescent="0.2">
      <c r="A1298" t="s">
        <v>496</v>
      </c>
      <c r="B1298" t="s">
        <v>893</v>
      </c>
      <c r="C1298" t="s">
        <v>128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 hidden="1" x14ac:dyDescent="0.2">
      <c r="A1299" t="s">
        <v>496</v>
      </c>
      <c r="B1299" t="s">
        <v>854</v>
      </c>
      <c r="C1299" t="s">
        <v>128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 hidden="1" x14ac:dyDescent="0.2">
      <c r="A1300" t="s">
        <v>496</v>
      </c>
      <c r="B1300" t="s">
        <v>851</v>
      </c>
      <c r="C1300" t="s">
        <v>128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 spans="1:9" hidden="1" x14ac:dyDescent="0.2">
      <c r="A1301" t="s">
        <v>496</v>
      </c>
      <c r="B1301" t="s">
        <v>892</v>
      </c>
      <c r="C1301" t="s">
        <v>128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 hidden="1" x14ac:dyDescent="0.2">
      <c r="A1302" t="s">
        <v>496</v>
      </c>
      <c r="B1302" t="s">
        <v>895</v>
      </c>
      <c r="C1302" t="s">
        <v>128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 spans="1:9" hidden="1" x14ac:dyDescent="0.2">
      <c r="A1303" t="s">
        <v>496</v>
      </c>
      <c r="B1303" t="s">
        <v>837</v>
      </c>
      <c r="C1303" t="s">
        <v>128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 hidden="1" x14ac:dyDescent="0.2">
      <c r="A1304" t="s">
        <v>496</v>
      </c>
      <c r="B1304" t="s">
        <v>848</v>
      </c>
      <c r="C1304" t="s">
        <v>128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 spans="1:9" hidden="1" x14ac:dyDescent="0.2">
      <c r="A1305" t="s">
        <v>496</v>
      </c>
      <c r="B1305" t="s">
        <v>821</v>
      </c>
      <c r="C1305" t="s">
        <v>128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 spans="1:9" hidden="1" x14ac:dyDescent="0.2">
      <c r="A1306" t="s">
        <v>496</v>
      </c>
      <c r="B1306" t="s">
        <v>856</v>
      </c>
      <c r="C1306" t="s">
        <v>128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 spans="1:9" hidden="1" x14ac:dyDescent="0.2">
      <c r="A1307" t="s">
        <v>496</v>
      </c>
      <c r="B1307" t="s">
        <v>832</v>
      </c>
      <c r="C1307" t="s">
        <v>128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 spans="1:9" hidden="1" x14ac:dyDescent="0.2">
      <c r="A1308" t="s">
        <v>496</v>
      </c>
      <c r="B1308" t="s">
        <v>857</v>
      </c>
      <c r="C1308" t="s">
        <v>128</v>
      </c>
      <c r="E1308">
        <v>0</v>
      </c>
      <c r="F1308">
        <v>0</v>
      </c>
      <c r="G1308">
        <v>0</v>
      </c>
      <c r="H1308">
        <v>0</v>
      </c>
      <c r="I1308">
        <v>0</v>
      </c>
    </row>
    <row r="1309" spans="1:9" hidden="1" x14ac:dyDescent="0.2">
      <c r="A1309" t="s">
        <v>496</v>
      </c>
      <c r="B1309" t="s">
        <v>850</v>
      </c>
      <c r="C1309" t="s">
        <v>128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 spans="1:9" hidden="1" x14ac:dyDescent="0.2">
      <c r="A1310" t="s">
        <v>496</v>
      </c>
      <c r="B1310" t="s">
        <v>838</v>
      </c>
      <c r="C1310" t="s">
        <v>128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 spans="1:9" hidden="1" x14ac:dyDescent="0.2">
      <c r="A1311" t="s">
        <v>496</v>
      </c>
      <c r="B1311" t="s">
        <v>849</v>
      </c>
      <c r="C1311" t="s">
        <v>128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 spans="1:9" hidden="1" x14ac:dyDescent="0.2">
      <c r="A1312" t="s">
        <v>496</v>
      </c>
      <c r="B1312" t="s">
        <v>840</v>
      </c>
      <c r="C1312" t="s">
        <v>128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 hidden="1" x14ac:dyDescent="0.2">
      <c r="A1313" t="s">
        <v>496</v>
      </c>
      <c r="B1313" t="s">
        <v>841</v>
      </c>
      <c r="C1313" t="s">
        <v>128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 spans="1:9" hidden="1" x14ac:dyDescent="0.2">
      <c r="A1314" t="s">
        <v>496</v>
      </c>
      <c r="B1314" t="s">
        <v>858</v>
      </c>
      <c r="C1314" t="s">
        <v>128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 hidden="1" x14ac:dyDescent="0.2">
      <c r="A1315" t="s">
        <v>496</v>
      </c>
      <c r="B1315" t="s">
        <v>824</v>
      </c>
      <c r="C1315" t="s">
        <v>128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 hidden="1" x14ac:dyDescent="0.2">
      <c r="A1316" t="s">
        <v>497</v>
      </c>
      <c r="B1316" t="s">
        <v>854</v>
      </c>
      <c r="C1316" t="s">
        <v>7</v>
      </c>
      <c r="D1316">
        <v>-1.7040032199999999</v>
      </c>
      <c r="E1316">
        <v>-1.462091484E-5</v>
      </c>
      <c r="F1316">
        <v>-7.1592996040000001E-6</v>
      </c>
      <c r="G1316">
        <v>0</v>
      </c>
      <c r="H1316">
        <v>-1.835414451E-6</v>
      </c>
      <c r="I1316">
        <v>-2.5160966560000001E-6</v>
      </c>
    </row>
    <row r="1317" spans="1:9" hidden="1" x14ac:dyDescent="0.2">
      <c r="A1317" t="s">
        <v>497</v>
      </c>
      <c r="B1317" t="s">
        <v>851</v>
      </c>
      <c r="C1317" t="s">
        <v>7</v>
      </c>
      <c r="D1317">
        <v>-2.136988686</v>
      </c>
      <c r="E1317">
        <v>-1.8336074149999998E-5</v>
      </c>
      <c r="F1317">
        <v>-8.9784702120000005E-6</v>
      </c>
      <c r="G1317">
        <v>-1.173395593E-7</v>
      </c>
      <c r="H1317">
        <v>-2.301791361E-6</v>
      </c>
      <c r="I1317">
        <v>-3.1554342079999999E-6</v>
      </c>
    </row>
    <row r="1318" spans="1:9" hidden="1" x14ac:dyDescent="0.2">
      <c r="A1318" t="s">
        <v>497</v>
      </c>
      <c r="B1318" t="s">
        <v>895</v>
      </c>
      <c r="C1318" t="s">
        <v>7</v>
      </c>
      <c r="D1318">
        <v>4.3224413850000003</v>
      </c>
      <c r="E1318">
        <v>3.708798597E-5</v>
      </c>
      <c r="F1318">
        <v>1.8160560139999998E-5</v>
      </c>
      <c r="G1318">
        <v>2.3734022309999999E-7</v>
      </c>
      <c r="H1318">
        <v>4.6557842759999997E-6</v>
      </c>
      <c r="I1318">
        <v>6.38242945E-6</v>
      </c>
    </row>
    <row r="1319" spans="1:9" hidden="1" x14ac:dyDescent="0.2">
      <c r="A1319" t="s">
        <v>497</v>
      </c>
      <c r="B1319" t="s">
        <v>832</v>
      </c>
      <c r="C1319" t="s">
        <v>7</v>
      </c>
      <c r="D1319">
        <v>1.129694054</v>
      </c>
      <c r="E1319">
        <v>9.6931508139999995E-6</v>
      </c>
      <c r="F1319">
        <v>4.7463631059999998E-6</v>
      </c>
      <c r="G1319">
        <v>0</v>
      </c>
      <c r="H1319">
        <v>1.2168150400000001E-6</v>
      </c>
      <c r="I1319">
        <v>1.6680833320000001E-6</v>
      </c>
    </row>
    <row r="1320" spans="1:9" hidden="1" x14ac:dyDescent="0.2">
      <c r="A1320" t="s">
        <v>497</v>
      </c>
      <c r="B1320" t="s">
        <v>824</v>
      </c>
      <c r="C1320" t="s">
        <v>7</v>
      </c>
      <c r="D1320">
        <v>2.2012386390000001</v>
      </c>
      <c r="E1320">
        <v>1.888736014E-5</v>
      </c>
      <c r="F1320">
        <v>9.2484137560000006E-6</v>
      </c>
      <c r="G1320">
        <v>1.2086744950000001E-7</v>
      </c>
      <c r="H1320">
        <v>2.3709962150000002E-6</v>
      </c>
      <c r="I1320">
        <v>3.2503043890000002E-6</v>
      </c>
    </row>
    <row r="1321" spans="1:9" hidden="1" x14ac:dyDescent="0.2">
      <c r="A1321" t="s">
        <v>498</v>
      </c>
      <c r="B1321" t="s">
        <v>853</v>
      </c>
      <c r="C1321" t="s">
        <v>128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 spans="1:9" hidden="1" x14ac:dyDescent="0.2">
      <c r="A1322" t="s">
        <v>498</v>
      </c>
      <c r="B1322" t="s">
        <v>848</v>
      </c>
      <c r="C1322" t="s">
        <v>128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 hidden="1" x14ac:dyDescent="0.2">
      <c r="A1323" t="s">
        <v>498</v>
      </c>
      <c r="B1323" t="s">
        <v>821</v>
      </c>
      <c r="C1323" t="s">
        <v>128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 hidden="1" x14ac:dyDescent="0.2">
      <c r="A1324" t="s">
        <v>498</v>
      </c>
      <c r="B1324" t="s">
        <v>832</v>
      </c>
      <c r="C1324" t="s">
        <v>128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 hidden="1" x14ac:dyDescent="0.2">
      <c r="A1325" t="s">
        <v>498</v>
      </c>
      <c r="B1325" t="s">
        <v>857</v>
      </c>
      <c r="C1325" t="s">
        <v>128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 hidden="1" x14ac:dyDescent="0.2">
      <c r="A1326" t="s">
        <v>498</v>
      </c>
      <c r="B1326" t="s">
        <v>850</v>
      </c>
      <c r="C1326" t="s">
        <v>128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 hidden="1" x14ac:dyDescent="0.2">
      <c r="A1327" t="s">
        <v>498</v>
      </c>
      <c r="B1327" t="s">
        <v>838</v>
      </c>
      <c r="C1327" t="s">
        <v>128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hidden="1" x14ac:dyDescent="0.2">
      <c r="A1328" t="s">
        <v>498</v>
      </c>
      <c r="B1328" t="s">
        <v>921</v>
      </c>
      <c r="C1328" t="s">
        <v>128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 hidden="1" x14ac:dyDescent="0.2">
      <c r="A1329" t="s">
        <v>498</v>
      </c>
      <c r="B1329" t="s">
        <v>841</v>
      </c>
      <c r="C1329" t="s">
        <v>128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 spans="1:9" hidden="1" x14ac:dyDescent="0.2">
      <c r="A1330" t="s">
        <v>499</v>
      </c>
      <c r="B1330" t="s">
        <v>828</v>
      </c>
      <c r="C1330" t="s">
        <v>128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 spans="1:9" hidden="1" x14ac:dyDescent="0.2">
      <c r="A1331" t="s">
        <v>499</v>
      </c>
      <c r="B1331" t="s">
        <v>834</v>
      </c>
      <c r="C1331" t="s">
        <v>128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 hidden="1" x14ac:dyDescent="0.2">
      <c r="A1332" t="s">
        <v>500</v>
      </c>
      <c r="B1332" t="s">
        <v>828</v>
      </c>
      <c r="C1332" t="s">
        <v>128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 spans="1:9" hidden="1" x14ac:dyDescent="0.2">
      <c r="A1333" t="s">
        <v>500</v>
      </c>
      <c r="B1333" t="s">
        <v>846</v>
      </c>
      <c r="C1333" t="s">
        <v>128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 hidden="1" x14ac:dyDescent="0.2">
      <c r="A1334" t="s">
        <v>501</v>
      </c>
      <c r="B1334" t="s">
        <v>834</v>
      </c>
      <c r="C1334" t="s">
        <v>128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hidden="1" x14ac:dyDescent="0.2">
      <c r="A1335" t="s">
        <v>501</v>
      </c>
      <c r="B1335" t="s">
        <v>824</v>
      </c>
      <c r="C1335" t="s">
        <v>128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 hidden="1" x14ac:dyDescent="0.2">
      <c r="A1336" t="s">
        <v>502</v>
      </c>
      <c r="B1336" t="s">
        <v>820</v>
      </c>
      <c r="C1336" t="s">
        <v>128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 hidden="1" x14ac:dyDescent="0.2">
      <c r="A1337" t="s">
        <v>502</v>
      </c>
      <c r="B1337" t="s">
        <v>834</v>
      </c>
      <c r="C1337" t="s">
        <v>128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 hidden="1" x14ac:dyDescent="0.2">
      <c r="A1338" t="s">
        <v>503</v>
      </c>
      <c r="B1338" t="s">
        <v>820</v>
      </c>
      <c r="C1338" t="s">
        <v>128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 spans="1:9" hidden="1" x14ac:dyDescent="0.2">
      <c r="A1339" t="s">
        <v>503</v>
      </c>
      <c r="B1339" t="s">
        <v>834</v>
      </c>
      <c r="C1339" t="s">
        <v>128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 spans="1:9" hidden="1" x14ac:dyDescent="0.2">
      <c r="A1340" t="s">
        <v>504</v>
      </c>
      <c r="B1340" t="s">
        <v>821</v>
      </c>
      <c r="C1340" t="s">
        <v>128</v>
      </c>
      <c r="D1340">
        <v>0.97806251119999998</v>
      </c>
      <c r="E1340">
        <v>7.197229392E-5</v>
      </c>
      <c r="F1340">
        <v>3.7639551920000001E-4</v>
      </c>
      <c r="G1340">
        <v>6.6674883179999997E-7</v>
      </c>
      <c r="H1340">
        <v>4.7110143209999999E-5</v>
      </c>
      <c r="I1340">
        <v>2.2398677459999999E-5</v>
      </c>
    </row>
    <row r="1341" spans="1:9" hidden="1" x14ac:dyDescent="0.2">
      <c r="A1341" t="s">
        <v>504</v>
      </c>
      <c r="B1341" t="s">
        <v>833</v>
      </c>
      <c r="C1341" t="s">
        <v>128</v>
      </c>
      <c r="D1341">
        <v>-0.96837872430000005</v>
      </c>
      <c r="E1341">
        <v>-7.1259696949999994E-5</v>
      </c>
      <c r="F1341">
        <v>-3.726688309E-4</v>
      </c>
      <c r="G1341">
        <v>-6.6014735820000003E-7</v>
      </c>
      <c r="H1341">
        <v>-4.6643706149999999E-5</v>
      </c>
      <c r="I1341">
        <v>-2.217690837E-5</v>
      </c>
    </row>
    <row r="1342" spans="1:9" hidden="1" x14ac:dyDescent="0.2">
      <c r="A1342" t="s">
        <v>505</v>
      </c>
      <c r="B1342" t="s">
        <v>821</v>
      </c>
      <c r="C1342" t="s">
        <v>128</v>
      </c>
      <c r="D1342">
        <v>2.6948565850000002E-6</v>
      </c>
      <c r="E1342">
        <v>1.4358720619999999E-5</v>
      </c>
      <c r="F1342">
        <v>1.1709852229999999E-5</v>
      </c>
      <c r="G1342">
        <v>1.7577637820000001E-7</v>
      </c>
      <c r="H1342">
        <v>3.402533243E-6</v>
      </c>
      <c r="I1342">
        <v>5.0326843450000004E-6</v>
      </c>
    </row>
    <row r="1343" spans="1:9" hidden="1" x14ac:dyDescent="0.2">
      <c r="A1343" t="s">
        <v>505</v>
      </c>
      <c r="B1343" t="s">
        <v>833</v>
      </c>
      <c r="C1343" t="s">
        <v>128</v>
      </c>
      <c r="D1343">
        <v>-8.06636609E-6</v>
      </c>
      <c r="E1343">
        <v>-4.307616191E-5</v>
      </c>
      <c r="F1343">
        <v>-3.5129556710000001E-5</v>
      </c>
      <c r="G1343">
        <v>-5.273291351E-7</v>
      </c>
      <c r="H1343">
        <v>-1.020759974E-5</v>
      </c>
      <c r="I1343">
        <v>-1.5098053049999999E-5</v>
      </c>
    </row>
    <row r="1344" spans="1:9" hidden="1" x14ac:dyDescent="0.2">
      <c r="A1344" t="s">
        <v>505</v>
      </c>
      <c r="B1344" t="s">
        <v>825</v>
      </c>
      <c r="C1344" t="s">
        <v>128</v>
      </c>
      <c r="D1344">
        <v>5.3897131780000004E-6</v>
      </c>
      <c r="E1344">
        <v>2.8717441290000001E-5</v>
      </c>
      <c r="F1344">
        <v>2.3419704490000001E-5</v>
      </c>
      <c r="G1344">
        <v>3.5155275690000002E-7</v>
      </c>
      <c r="H1344">
        <v>6.8050664970000002E-6</v>
      </c>
      <c r="I1344">
        <v>1.0065368700000001E-5</v>
      </c>
    </row>
    <row r="1345" spans="1:9" hidden="1" x14ac:dyDescent="0.2">
      <c r="A1345" t="s">
        <v>506</v>
      </c>
      <c r="B1345" t="s">
        <v>821</v>
      </c>
      <c r="C1345" t="s">
        <v>128</v>
      </c>
      <c r="D1345">
        <v>0</v>
      </c>
      <c r="E1345">
        <v>8.6050778890000001E-5</v>
      </c>
      <c r="F1345">
        <v>4.1428340050000001</v>
      </c>
      <c r="G1345">
        <v>7.9590063410000002E-7</v>
      </c>
      <c r="H1345">
        <v>2.2788401519999999</v>
      </c>
      <c r="I1345">
        <v>7.7615403660000006E-5</v>
      </c>
    </row>
    <row r="1346" spans="1:9" hidden="1" x14ac:dyDescent="0.2">
      <c r="A1346" t="s">
        <v>506</v>
      </c>
      <c r="B1346" t="s">
        <v>832</v>
      </c>
      <c r="C1346" t="s">
        <v>128</v>
      </c>
      <c r="D1346">
        <v>0</v>
      </c>
      <c r="E1346">
        <v>-8.6050778890000001E-5</v>
      </c>
      <c r="F1346">
        <v>-4.1428340050000001</v>
      </c>
      <c r="G1346">
        <v>-7.9590063410000002E-7</v>
      </c>
      <c r="H1346">
        <v>-2.2788401519999999</v>
      </c>
      <c r="I1346">
        <v>-7.7615403660000006E-5</v>
      </c>
    </row>
    <row r="1347" spans="1:9" hidden="1" x14ac:dyDescent="0.2">
      <c r="A1347" t="s">
        <v>507</v>
      </c>
      <c r="B1347" t="s">
        <v>821</v>
      </c>
      <c r="C1347" t="s">
        <v>188</v>
      </c>
      <c r="D1347">
        <v>2.8560563620000002E-7</v>
      </c>
      <c r="E1347">
        <v>0.1315792133</v>
      </c>
      <c r="F1347">
        <v>0.1042102134</v>
      </c>
      <c r="G1347">
        <v>8.2526374489999998E-2</v>
      </c>
      <c r="H1347">
        <v>6.5347420470000001E-2</v>
      </c>
      <c r="I1347">
        <v>5.1739067069999999E-2</v>
      </c>
    </row>
    <row r="1348" spans="1:9" hidden="1" x14ac:dyDescent="0.2">
      <c r="A1348" t="s">
        <v>507</v>
      </c>
      <c r="B1348" t="s">
        <v>830</v>
      </c>
      <c r="C1348" t="s">
        <v>188</v>
      </c>
      <c r="D1348">
        <v>1.0267896350000001E-6</v>
      </c>
      <c r="E1348">
        <v>0.50002289850000003</v>
      </c>
      <c r="F1348">
        <v>0.40105508249999999</v>
      </c>
      <c r="G1348">
        <v>0.32168443949999997</v>
      </c>
      <c r="H1348">
        <v>0.25802126580000001</v>
      </c>
      <c r="I1348">
        <v>0.2069630458</v>
      </c>
    </row>
    <row r="1349" spans="1:9" hidden="1" x14ac:dyDescent="0.2">
      <c r="A1349" t="s">
        <v>507</v>
      </c>
      <c r="B1349" t="s">
        <v>825</v>
      </c>
      <c r="C1349" t="s">
        <v>188</v>
      </c>
      <c r="D1349">
        <v>-9.844981277999999E-7</v>
      </c>
      <c r="E1349">
        <v>-0.47666363899999997</v>
      </c>
      <c r="F1349">
        <v>-0.38132942660000002</v>
      </c>
      <c r="G1349">
        <v>-0.30506476519999998</v>
      </c>
      <c r="H1349">
        <v>-0.2440518327</v>
      </c>
      <c r="I1349">
        <v>-0.19524154420000001</v>
      </c>
    </row>
    <row r="1350" spans="1:9" hidden="1" x14ac:dyDescent="0.2">
      <c r="A1350" t="s">
        <v>508</v>
      </c>
      <c r="B1350" t="s">
        <v>821</v>
      </c>
      <c r="C1350" t="s">
        <v>188</v>
      </c>
      <c r="D1350">
        <v>0</v>
      </c>
      <c r="E1350">
        <v>1.104539257E-6</v>
      </c>
      <c r="F1350">
        <v>1.7907168919999999E-6</v>
      </c>
      <c r="G1350">
        <v>2.3385224649999999E-7</v>
      </c>
      <c r="H1350">
        <v>1.564523822E-6</v>
      </c>
      <c r="I1350">
        <v>1.2483357969999999E-6</v>
      </c>
    </row>
    <row r="1351" spans="1:9" hidden="1" x14ac:dyDescent="0.2">
      <c r="A1351" t="s">
        <v>508</v>
      </c>
      <c r="B1351" t="s">
        <v>825</v>
      </c>
      <c r="C1351" t="s">
        <v>188</v>
      </c>
      <c r="D1351">
        <v>-1.466046924E-6</v>
      </c>
      <c r="E1351">
        <v>-3.546521027E-5</v>
      </c>
      <c r="F1351">
        <v>-7.2875689190000001E-5</v>
      </c>
      <c r="G1351">
        <v>-9.7437290570000003E-6</v>
      </c>
      <c r="H1351">
        <v>-6.5184864679999996E-5</v>
      </c>
      <c r="I1351">
        <v>-4.8812854930000003E-5</v>
      </c>
    </row>
    <row r="1352" spans="1:9" hidden="1" x14ac:dyDescent="0.2">
      <c r="A1352" t="s">
        <v>508</v>
      </c>
      <c r="B1352" t="s">
        <v>829</v>
      </c>
      <c r="C1352" t="s">
        <v>188</v>
      </c>
      <c r="D1352">
        <v>1.466046924E-6</v>
      </c>
      <c r="E1352">
        <v>3.546521027E-5</v>
      </c>
      <c r="F1352">
        <v>7.2875689190000001E-5</v>
      </c>
      <c r="G1352">
        <v>9.7437290570000003E-6</v>
      </c>
      <c r="H1352">
        <v>6.5184864679999996E-5</v>
      </c>
      <c r="I1352">
        <v>4.8812854930000003E-5</v>
      </c>
    </row>
    <row r="1353" spans="1:9" x14ac:dyDescent="0.2">
      <c r="A1353" t="s">
        <v>509</v>
      </c>
      <c r="B1353" t="s">
        <v>821</v>
      </c>
      <c r="C1353" t="s">
        <v>20</v>
      </c>
      <c r="D1353">
        <v>0</v>
      </c>
      <c r="E1353">
        <v>-0.74037551889999997</v>
      </c>
      <c r="F1353">
        <v>-1.7149626440000001</v>
      </c>
      <c r="G1353">
        <v>-2.7191820280000001</v>
      </c>
      <c r="H1353">
        <v>-4.043119237</v>
      </c>
      <c r="I1353">
        <v>-5.4053438549999999</v>
      </c>
    </row>
    <row r="1354" spans="1:9" x14ac:dyDescent="0.2">
      <c r="A1354" t="s">
        <v>509</v>
      </c>
      <c r="B1354" t="s">
        <v>826</v>
      </c>
      <c r="C1354" t="s">
        <v>20</v>
      </c>
      <c r="D1354">
        <v>0</v>
      </c>
      <c r="E1354">
        <v>0.74039395090000004</v>
      </c>
      <c r="F1354">
        <v>1.714965804</v>
      </c>
      <c r="G1354">
        <v>2.7191820280000001</v>
      </c>
      <c r="H1354">
        <v>4.0431192439999997</v>
      </c>
      <c r="I1354">
        <v>5.4053496799999996</v>
      </c>
    </row>
    <row r="1355" spans="1:9" hidden="1" x14ac:dyDescent="0.2">
      <c r="A1355" t="s">
        <v>510</v>
      </c>
      <c r="B1355" t="s">
        <v>821</v>
      </c>
      <c r="C1355" t="s">
        <v>11</v>
      </c>
      <c r="D1355">
        <v>0</v>
      </c>
      <c r="E1355">
        <v>0</v>
      </c>
      <c r="F1355">
        <v>0</v>
      </c>
      <c r="G1355">
        <v>0</v>
      </c>
      <c r="H1355">
        <v>2.8035989309999998E-5</v>
      </c>
      <c r="I1355">
        <v>1.052955266E-4</v>
      </c>
    </row>
    <row r="1356" spans="1:9" hidden="1" x14ac:dyDescent="0.2">
      <c r="A1356" t="s">
        <v>510</v>
      </c>
      <c r="B1356" t="s">
        <v>824</v>
      </c>
      <c r="C1356" t="s">
        <v>11</v>
      </c>
      <c r="D1356">
        <v>0</v>
      </c>
      <c r="E1356">
        <v>0</v>
      </c>
      <c r="F1356">
        <v>0</v>
      </c>
      <c r="G1356">
        <v>0</v>
      </c>
      <c r="H1356">
        <v>-2.4810620269999999E-5</v>
      </c>
      <c r="I1356">
        <v>-9.3190937869999999E-5</v>
      </c>
    </row>
    <row r="1357" spans="1:9" hidden="1" x14ac:dyDescent="0.2">
      <c r="A1357" t="s">
        <v>511</v>
      </c>
      <c r="B1357" t="s">
        <v>821</v>
      </c>
      <c r="C1357" t="s">
        <v>11</v>
      </c>
      <c r="D1357">
        <v>0</v>
      </c>
      <c r="E1357">
        <v>5.8957096379999997E-6</v>
      </c>
      <c r="F1357">
        <v>8.8940796460000002E-6</v>
      </c>
      <c r="G1357">
        <v>2.4643351800000002E-7</v>
      </c>
      <c r="H1357">
        <v>9.3632070799999998E-6</v>
      </c>
      <c r="I1357">
        <v>1.7526965709999999E-5</v>
      </c>
    </row>
    <row r="1358" spans="1:9" hidden="1" x14ac:dyDescent="0.2">
      <c r="A1358" t="s">
        <v>511</v>
      </c>
      <c r="B1358" t="s">
        <v>824</v>
      </c>
      <c r="C1358" t="s">
        <v>11</v>
      </c>
      <c r="D1358">
        <v>0</v>
      </c>
      <c r="E1358">
        <v>-4.017008E-6</v>
      </c>
      <c r="F1358">
        <v>-5.97328113E-6</v>
      </c>
      <c r="G1358">
        <v>-1.6594941690000001E-7</v>
      </c>
      <c r="H1358">
        <v>-6.3372248240000003E-6</v>
      </c>
      <c r="I1358">
        <v>-1.194827378E-5</v>
      </c>
    </row>
    <row r="1359" spans="1:9" hidden="1" x14ac:dyDescent="0.2">
      <c r="A1359" t="s">
        <v>512</v>
      </c>
      <c r="B1359" t="s">
        <v>821</v>
      </c>
      <c r="C1359" t="s">
        <v>11</v>
      </c>
      <c r="D1359">
        <v>0</v>
      </c>
      <c r="E1359">
        <v>1.263002757E-4</v>
      </c>
      <c r="F1359">
        <v>1.141785946E-4</v>
      </c>
      <c r="G1359">
        <v>1.9159754139999999E-6</v>
      </c>
      <c r="H1359">
        <v>41.921586490000003</v>
      </c>
      <c r="I1359">
        <v>56.534489950000001</v>
      </c>
    </row>
    <row r="1360" spans="1:9" hidden="1" x14ac:dyDescent="0.2">
      <c r="A1360" t="s">
        <v>512</v>
      </c>
      <c r="B1360" t="s">
        <v>824</v>
      </c>
      <c r="C1360" t="s">
        <v>11</v>
      </c>
      <c r="D1360">
        <v>0</v>
      </c>
      <c r="E1360">
        <v>-8.4286718710000001E-5</v>
      </c>
      <c r="F1360">
        <v>-7.6515669729999996E-5</v>
      </c>
      <c r="G1360">
        <v>-1.2902200540000001E-6</v>
      </c>
      <c r="H1360">
        <v>-28.373324190000002</v>
      </c>
      <c r="I1360">
        <v>-38.458836730000002</v>
      </c>
    </row>
    <row r="1361" spans="1:9" hidden="1" x14ac:dyDescent="0.2">
      <c r="A1361" t="s">
        <v>513</v>
      </c>
      <c r="B1361" t="s">
        <v>881</v>
      </c>
      <c r="C1361" t="s">
        <v>318</v>
      </c>
      <c r="D1361">
        <v>2.5438160129999998</v>
      </c>
      <c r="E1361">
        <v>4.4076918940000001</v>
      </c>
      <c r="F1361">
        <v>3.7604656670000001</v>
      </c>
      <c r="G1361">
        <v>1.0263637789999999E-3</v>
      </c>
      <c r="H1361">
        <v>1.075113586E-4</v>
      </c>
      <c r="I1361">
        <v>2.3745503270000001E-4</v>
      </c>
    </row>
    <row r="1362" spans="1:9" hidden="1" x14ac:dyDescent="0.2">
      <c r="A1362" t="s">
        <v>513</v>
      </c>
      <c r="B1362" t="s">
        <v>825</v>
      </c>
      <c r="C1362" t="s">
        <v>318</v>
      </c>
      <c r="D1362">
        <v>-2.162243616</v>
      </c>
      <c r="E1362">
        <v>-3.7465381099999999</v>
      </c>
      <c r="F1362">
        <v>-3.196395817</v>
      </c>
      <c r="G1362">
        <v>-8.7240921259999998E-4</v>
      </c>
      <c r="H1362">
        <v>-9.1384654809999996E-5</v>
      </c>
      <c r="I1362">
        <v>-2.018367778E-4</v>
      </c>
    </row>
    <row r="1363" spans="1:9" hidden="1" x14ac:dyDescent="0.2">
      <c r="A1363" t="s">
        <v>514</v>
      </c>
      <c r="B1363" t="s">
        <v>845</v>
      </c>
      <c r="C1363" t="s">
        <v>2</v>
      </c>
      <c r="D1363">
        <v>6.5943555330000001E-7</v>
      </c>
      <c r="E1363">
        <v>9.9747016889999998E-2</v>
      </c>
      <c r="F1363">
        <v>7.9851921919999999E-2</v>
      </c>
      <c r="G1363">
        <v>7.9798117860000004E-2</v>
      </c>
      <c r="H1363">
        <v>8.1080426060000001E-5</v>
      </c>
      <c r="I1363">
        <v>1.066857328E-4</v>
      </c>
    </row>
    <row r="1364" spans="1:9" hidden="1" x14ac:dyDescent="0.2">
      <c r="A1364" t="s">
        <v>514</v>
      </c>
      <c r="B1364" t="s">
        <v>821</v>
      </c>
      <c r="C1364" t="s">
        <v>2</v>
      </c>
      <c r="D1364">
        <v>0</v>
      </c>
      <c r="E1364">
        <v>2.9926623230000001E-3</v>
      </c>
      <c r="F1364">
        <v>2.395599102E-3</v>
      </c>
      <c r="G1364">
        <v>2.393943539E-3</v>
      </c>
      <c r="H1364">
        <v>2.4324993160000001E-6</v>
      </c>
      <c r="I1364">
        <v>3.2769269649999998E-6</v>
      </c>
    </row>
    <row r="1365" spans="1:9" hidden="1" x14ac:dyDescent="0.2">
      <c r="A1365" t="s">
        <v>514</v>
      </c>
      <c r="B1365" t="s">
        <v>833</v>
      </c>
      <c r="C1365" t="s">
        <v>2</v>
      </c>
      <c r="D1365">
        <v>-6.5943555330000001E-7</v>
      </c>
      <c r="E1365">
        <v>-9.9747016889999998E-2</v>
      </c>
      <c r="F1365">
        <v>-7.9851921919999999E-2</v>
      </c>
      <c r="G1365">
        <v>-7.9798117860000004E-2</v>
      </c>
      <c r="H1365">
        <v>-8.1080426060000001E-5</v>
      </c>
      <c r="I1365">
        <v>-1.066857328E-4</v>
      </c>
    </row>
    <row r="1366" spans="1:9" hidden="1" x14ac:dyDescent="0.2">
      <c r="A1366" t="s">
        <v>515</v>
      </c>
      <c r="B1366" t="s">
        <v>821</v>
      </c>
      <c r="C1366" t="s">
        <v>2</v>
      </c>
      <c r="D1366">
        <v>0</v>
      </c>
      <c r="E1366">
        <v>7.0896378130000003E-7</v>
      </c>
      <c r="F1366">
        <v>5.253053726E-7</v>
      </c>
      <c r="G1366">
        <v>0</v>
      </c>
      <c r="H1366">
        <v>3.8163711220000002E-7</v>
      </c>
      <c r="I1366">
        <v>7.7221982630000003E-7</v>
      </c>
    </row>
    <row r="1367" spans="1:9" hidden="1" x14ac:dyDescent="0.2">
      <c r="A1367" t="s">
        <v>515</v>
      </c>
      <c r="B1367" t="s">
        <v>825</v>
      </c>
      <c r="C1367" t="s">
        <v>2</v>
      </c>
      <c r="D1367">
        <v>-6.2601923940000002E-7</v>
      </c>
      <c r="E1367">
        <v>-1.8982898800000002E-5</v>
      </c>
      <c r="F1367">
        <v>-2.015020922E-5</v>
      </c>
      <c r="G1367">
        <v>-9.2598296070000002E-7</v>
      </c>
      <c r="H1367">
        <v>-1.5897918430000001E-5</v>
      </c>
      <c r="I1367">
        <v>-2.897468949E-5</v>
      </c>
    </row>
    <row r="1368" spans="1:9" hidden="1" x14ac:dyDescent="0.2">
      <c r="A1368" t="s">
        <v>515</v>
      </c>
      <c r="B1368" t="s">
        <v>829</v>
      </c>
      <c r="C1368" t="s">
        <v>2</v>
      </c>
      <c r="D1368">
        <v>6.2601923940000002E-7</v>
      </c>
      <c r="E1368">
        <v>1.8982898800000002E-5</v>
      </c>
      <c r="F1368">
        <v>2.015020922E-5</v>
      </c>
      <c r="G1368">
        <v>9.2598296070000002E-7</v>
      </c>
      <c r="H1368">
        <v>1.5897918430000001E-5</v>
      </c>
      <c r="I1368">
        <v>2.897468949E-5</v>
      </c>
    </row>
    <row r="1369" spans="1:9" hidden="1" x14ac:dyDescent="0.2">
      <c r="A1369" t="s">
        <v>516</v>
      </c>
      <c r="B1369" t="s">
        <v>820</v>
      </c>
      <c r="C1369" t="s">
        <v>188</v>
      </c>
      <c r="D1369">
        <v>3.5111113230000002</v>
      </c>
      <c r="E1369">
        <v>12.44444863</v>
      </c>
      <c r="F1369">
        <v>0</v>
      </c>
      <c r="G1369">
        <v>0</v>
      </c>
      <c r="H1369">
        <v>0</v>
      </c>
      <c r="I1369">
        <v>0</v>
      </c>
    </row>
    <row r="1370" spans="1:9" hidden="1" x14ac:dyDescent="0.2">
      <c r="A1370" t="s">
        <v>516</v>
      </c>
      <c r="B1370" t="s">
        <v>825</v>
      </c>
      <c r="C1370" t="s">
        <v>188</v>
      </c>
      <c r="D1370">
        <v>-3.1600001940000002</v>
      </c>
      <c r="E1370">
        <v>-11.20000379</v>
      </c>
      <c r="F1370">
        <v>0</v>
      </c>
      <c r="G1370">
        <v>0</v>
      </c>
      <c r="H1370">
        <v>0</v>
      </c>
      <c r="I1370">
        <v>0</v>
      </c>
    </row>
    <row r="1371" spans="1:9" hidden="1" x14ac:dyDescent="0.2">
      <c r="A1371" t="s">
        <v>517</v>
      </c>
      <c r="B1371" t="s">
        <v>821</v>
      </c>
      <c r="C1371" t="s">
        <v>16</v>
      </c>
      <c r="D1371">
        <v>1.6756009159999999E-5</v>
      </c>
      <c r="E1371">
        <v>7.5857792489999998</v>
      </c>
      <c r="F1371">
        <v>5.8263069979999997</v>
      </c>
      <c r="G1371">
        <v>4.593361281</v>
      </c>
      <c r="H1371">
        <v>3.6206500199999998</v>
      </c>
      <c r="I1371">
        <v>4.7714894929999998E-4</v>
      </c>
    </row>
    <row r="1372" spans="1:9" hidden="1" x14ac:dyDescent="0.2">
      <c r="A1372" t="s">
        <v>517</v>
      </c>
      <c r="B1372" t="s">
        <v>830</v>
      </c>
      <c r="C1372" t="s">
        <v>16</v>
      </c>
      <c r="D1372">
        <v>3.7248830719999998E-5</v>
      </c>
      <c r="E1372">
        <v>17.447306860000001</v>
      </c>
      <c r="F1372">
        <v>13.679157999999999</v>
      </c>
      <c r="G1372">
        <v>11.01055719</v>
      </c>
      <c r="H1372">
        <v>8.8624866200000003</v>
      </c>
      <c r="I1372">
        <v>1.197454797E-3</v>
      </c>
    </row>
    <row r="1373" spans="1:9" hidden="1" x14ac:dyDescent="0.2">
      <c r="A1373" t="s">
        <v>517</v>
      </c>
      <c r="B1373" t="s">
        <v>825</v>
      </c>
      <c r="C1373" t="s">
        <v>16</v>
      </c>
      <c r="D1373">
        <v>-5.3986636210000001E-5</v>
      </c>
      <c r="E1373">
        <v>-25.03307092</v>
      </c>
      <c r="F1373">
        <v>-19.50546245</v>
      </c>
      <c r="G1373">
        <v>-15.60391847</v>
      </c>
      <c r="H1373">
        <v>-12.483136630000001</v>
      </c>
      <c r="I1373">
        <v>-1.6698245309999999E-3</v>
      </c>
    </row>
    <row r="1374" spans="1:9" hidden="1" x14ac:dyDescent="0.2">
      <c r="A1374" t="s">
        <v>518</v>
      </c>
      <c r="B1374" t="s">
        <v>821</v>
      </c>
      <c r="C1374" t="s">
        <v>5</v>
      </c>
      <c r="D1374">
        <v>-8.4790475930000007</v>
      </c>
      <c r="E1374">
        <v>-9.0054607420000004</v>
      </c>
      <c r="F1374">
        <v>-6.9197504309999998</v>
      </c>
      <c r="G1374">
        <v>-14.999999409999999</v>
      </c>
      <c r="H1374">
        <v>-10.014769510000001</v>
      </c>
      <c r="I1374">
        <v>-48.583176280000004</v>
      </c>
    </row>
    <row r="1375" spans="1:9" hidden="1" x14ac:dyDescent="0.2">
      <c r="A1375" t="s">
        <v>518</v>
      </c>
      <c r="B1375" t="s">
        <v>826</v>
      </c>
      <c r="C1375" t="s">
        <v>5</v>
      </c>
      <c r="D1375">
        <v>8.4790475870000002</v>
      </c>
      <c r="E1375">
        <v>9.0054607420000004</v>
      </c>
      <c r="F1375">
        <v>6.9197504309999998</v>
      </c>
      <c r="G1375">
        <v>14.999999409999999</v>
      </c>
      <c r="H1375">
        <v>10.014769510000001</v>
      </c>
      <c r="I1375">
        <v>48.583176280000004</v>
      </c>
    </row>
    <row r="1376" spans="1:9" hidden="1" x14ac:dyDescent="0.2">
      <c r="A1376" t="s">
        <v>519</v>
      </c>
      <c r="B1376" t="s">
        <v>821</v>
      </c>
      <c r="C1376" t="s">
        <v>11</v>
      </c>
      <c r="D1376">
        <v>0</v>
      </c>
      <c r="E1376">
        <v>6.2772433020000004E-6</v>
      </c>
      <c r="F1376">
        <v>9.5306280619999994E-6</v>
      </c>
      <c r="G1376">
        <v>2.5756780720000003E-7</v>
      </c>
      <c r="H1376">
        <v>1.086322732E-5</v>
      </c>
      <c r="I1376">
        <v>3.8208147050000002E-5</v>
      </c>
    </row>
    <row r="1377" spans="1:9" hidden="1" x14ac:dyDescent="0.2">
      <c r="A1377" t="s">
        <v>519</v>
      </c>
      <c r="B1377" t="s">
        <v>824</v>
      </c>
      <c r="C1377" t="s">
        <v>11</v>
      </c>
      <c r="D1377">
        <v>0</v>
      </c>
      <c r="E1377">
        <v>-4.1927018340000002E-6</v>
      </c>
      <c r="F1377">
        <v>-6.3574693919999996E-6</v>
      </c>
      <c r="G1377">
        <v>-1.7462314930000001E-7</v>
      </c>
      <c r="H1377">
        <v>-7.5048478320000004E-6</v>
      </c>
      <c r="I1377">
        <v>-2.693042815E-5</v>
      </c>
    </row>
    <row r="1378" spans="1:9" hidden="1" x14ac:dyDescent="0.2">
      <c r="A1378" t="s">
        <v>520</v>
      </c>
      <c r="B1378" t="s">
        <v>825</v>
      </c>
      <c r="C1378" t="s">
        <v>316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 spans="1:9" hidden="1" x14ac:dyDescent="0.2">
      <c r="A1379" t="s">
        <v>521</v>
      </c>
      <c r="B1379" t="s">
        <v>825</v>
      </c>
      <c r="C1379" t="s">
        <v>3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 hidden="1" x14ac:dyDescent="0.2">
      <c r="A1380" t="s">
        <v>522</v>
      </c>
      <c r="B1380" t="s">
        <v>825</v>
      </c>
      <c r="C1380" t="s">
        <v>2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 hidden="1" x14ac:dyDescent="0.2">
      <c r="A1381" t="s">
        <v>523</v>
      </c>
      <c r="B1381" t="s">
        <v>821</v>
      </c>
      <c r="C1381" t="s">
        <v>2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 spans="1:9" hidden="1" x14ac:dyDescent="0.2">
      <c r="A1382" t="s">
        <v>524</v>
      </c>
      <c r="B1382" t="s">
        <v>895</v>
      </c>
      <c r="C1382" t="s">
        <v>7</v>
      </c>
      <c r="D1382">
        <v>-4.2224414030000004</v>
      </c>
      <c r="E1382">
        <v>-1.840616428E-5</v>
      </c>
      <c r="F1382">
        <v>-6.913132066E-6</v>
      </c>
      <c r="G1382">
        <v>-1.4199960850000001E-7</v>
      </c>
      <c r="H1382">
        <v>-3.0662839590000001E-6</v>
      </c>
      <c r="I1382">
        <v>-2.2367511470000001E-5</v>
      </c>
    </row>
    <row r="1383" spans="1:9" hidden="1" x14ac:dyDescent="0.2">
      <c r="A1383" t="s">
        <v>524</v>
      </c>
      <c r="B1383" t="s">
        <v>820</v>
      </c>
      <c r="C1383" t="s">
        <v>7</v>
      </c>
      <c r="D1383">
        <v>7.5581701920000004</v>
      </c>
      <c r="E1383">
        <v>3.2947034070000003E-5</v>
      </c>
      <c r="F1383">
        <v>1.2374506399999999E-5</v>
      </c>
      <c r="G1383">
        <v>2.5417929909999998E-7</v>
      </c>
      <c r="H1383">
        <v>5.4886482860000003E-6</v>
      </c>
      <c r="I1383">
        <v>4.0037845519999999E-5</v>
      </c>
    </row>
    <row r="1384" spans="1:9" hidden="1" x14ac:dyDescent="0.2">
      <c r="A1384" t="s">
        <v>524</v>
      </c>
      <c r="B1384" t="s">
        <v>821</v>
      </c>
      <c r="C1384" t="s">
        <v>7</v>
      </c>
      <c r="D1384">
        <v>-0.2111220774</v>
      </c>
      <c r="E1384">
        <v>-9.2030821419999998E-7</v>
      </c>
      <c r="F1384">
        <v>-3.4565660330000001E-7</v>
      </c>
      <c r="G1384">
        <v>0</v>
      </c>
      <c r="H1384">
        <v>-1.533141979E-7</v>
      </c>
      <c r="I1384">
        <v>-1.118375573E-6</v>
      </c>
    </row>
    <row r="1385" spans="1:9" hidden="1" x14ac:dyDescent="0.2">
      <c r="A1385" t="s">
        <v>524</v>
      </c>
      <c r="B1385" t="s">
        <v>825</v>
      </c>
      <c r="C1385" t="s">
        <v>7</v>
      </c>
      <c r="D1385">
        <v>-2.2378940699999998</v>
      </c>
      <c r="E1385">
        <v>-9.7552670710000001E-6</v>
      </c>
      <c r="F1385">
        <v>-3.6639599949999998E-6</v>
      </c>
      <c r="G1385">
        <v>0</v>
      </c>
      <c r="H1385">
        <v>-1.625130498E-6</v>
      </c>
      <c r="I1385">
        <v>-1.185478108E-5</v>
      </c>
    </row>
    <row r="1386" spans="1:9" hidden="1" x14ac:dyDescent="0.2">
      <c r="A1386" t="s">
        <v>525</v>
      </c>
      <c r="B1386" t="s">
        <v>821</v>
      </c>
      <c r="C1386" t="s">
        <v>87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 spans="1:9" hidden="1" x14ac:dyDescent="0.2">
      <c r="A1387" t="s">
        <v>526</v>
      </c>
      <c r="B1387" t="s">
        <v>828</v>
      </c>
      <c r="C1387" t="s">
        <v>11</v>
      </c>
      <c r="D1387">
        <v>1.2726531619999999E-4</v>
      </c>
      <c r="E1387">
        <v>1.0727239180000001E-3</v>
      </c>
      <c r="F1387">
        <v>2.86776783E-4</v>
      </c>
      <c r="G1387">
        <v>7.7009569050000003E-6</v>
      </c>
      <c r="H1387">
        <v>4.6658259409999998E-5</v>
      </c>
      <c r="I1387">
        <v>1.7801856160000001E-4</v>
      </c>
    </row>
    <row r="1388" spans="1:9" hidden="1" x14ac:dyDescent="0.2">
      <c r="A1388" t="s">
        <v>526</v>
      </c>
      <c r="B1388" t="s">
        <v>827</v>
      </c>
      <c r="C1388" t="s">
        <v>11</v>
      </c>
      <c r="D1388">
        <v>-3.6245867690000002E-6</v>
      </c>
      <c r="E1388">
        <v>-3.045177113E-5</v>
      </c>
      <c r="F1388">
        <v>-8.1241107460000005E-6</v>
      </c>
      <c r="G1388">
        <v>-2.1740142539999999E-7</v>
      </c>
      <c r="H1388">
        <v>-1.3172311970000001E-6</v>
      </c>
      <c r="I1388">
        <v>-5.0777209429999999E-6</v>
      </c>
    </row>
    <row r="1389" spans="1:9" hidden="1" x14ac:dyDescent="0.2">
      <c r="A1389" t="s">
        <v>526</v>
      </c>
      <c r="B1389" t="s">
        <v>821</v>
      </c>
      <c r="C1389" t="s">
        <v>11</v>
      </c>
      <c r="D1389">
        <v>-3.11916767E-6</v>
      </c>
      <c r="E1389">
        <v>-2.636831483E-5</v>
      </c>
      <c r="F1389">
        <v>-7.0347011649999996E-6</v>
      </c>
      <c r="G1389">
        <v>-1.8824879519999999E-7</v>
      </c>
      <c r="H1389">
        <v>-1.140595953E-6</v>
      </c>
      <c r="I1389">
        <v>-4.3968196090000003E-6</v>
      </c>
    </row>
    <row r="1390" spans="1:9" hidden="1" x14ac:dyDescent="0.2">
      <c r="A1390" t="s">
        <v>526</v>
      </c>
      <c r="B1390" t="s">
        <v>824</v>
      </c>
      <c r="C1390" t="s">
        <v>11</v>
      </c>
      <c r="D1390">
        <v>-8.9650163240000006E-5</v>
      </c>
      <c r="E1390">
        <v>-7.5977932779999996E-4</v>
      </c>
      <c r="F1390">
        <v>-2.026986009E-4</v>
      </c>
      <c r="G1390">
        <v>-5.4242200939999999E-6</v>
      </c>
      <c r="H1390">
        <v>-3.2865248760000003E-5</v>
      </c>
      <c r="I1390">
        <v>-1.2669041119999999E-4</v>
      </c>
    </row>
    <row r="1391" spans="1:9" hidden="1" x14ac:dyDescent="0.2">
      <c r="A1391" t="s">
        <v>527</v>
      </c>
      <c r="B1391" t="s">
        <v>818</v>
      </c>
      <c r="C1391" t="s">
        <v>5</v>
      </c>
      <c r="D1391">
        <v>11.0999991</v>
      </c>
      <c r="E1391">
        <v>4.0150666460000001E-5</v>
      </c>
      <c r="F1391">
        <v>9.1678529150000007E-5</v>
      </c>
      <c r="G1391">
        <v>1.4753481640000001E-6</v>
      </c>
      <c r="H1391">
        <v>5.5455717160000004</v>
      </c>
      <c r="I1391">
        <v>8.0143307089999993</v>
      </c>
    </row>
    <row r="1392" spans="1:9" hidden="1" x14ac:dyDescent="0.2">
      <c r="A1392" t="s">
        <v>527</v>
      </c>
      <c r="B1392" t="s">
        <v>825</v>
      </c>
      <c r="C1392" t="s">
        <v>5</v>
      </c>
      <c r="D1392">
        <v>-9.9999991920000006</v>
      </c>
      <c r="E1392">
        <v>-3.6197498179999998E-5</v>
      </c>
      <c r="F1392">
        <v>-8.2597503590000005E-5</v>
      </c>
      <c r="G1392">
        <v>-1.3291427689999999E-6</v>
      </c>
      <c r="H1392">
        <v>-4.9960105549999998</v>
      </c>
      <c r="I1392">
        <v>-7.2201177630000002</v>
      </c>
    </row>
    <row r="1393" spans="1:9" hidden="1" x14ac:dyDescent="0.2">
      <c r="A1393" t="s">
        <v>528</v>
      </c>
      <c r="B1393" t="s">
        <v>825</v>
      </c>
      <c r="C1393" t="s">
        <v>16</v>
      </c>
      <c r="D1393">
        <v>-1.3738081700000001E-5</v>
      </c>
      <c r="E1393">
        <v>-8.9686702249999993E-3</v>
      </c>
      <c r="F1393">
        <v>-3.058045778E-3</v>
      </c>
      <c r="G1393">
        <v>-3.9820828059999999E-3</v>
      </c>
      <c r="H1393">
        <v>-4.4007310299999996E-3</v>
      </c>
      <c r="I1393">
        <v>-3.3429277850000002E-3</v>
      </c>
    </row>
    <row r="1394" spans="1:9" hidden="1" x14ac:dyDescent="0.2">
      <c r="A1394" t="s">
        <v>528</v>
      </c>
      <c r="B1394" t="s">
        <v>824</v>
      </c>
      <c r="C1394" t="s">
        <v>16</v>
      </c>
      <c r="D1394">
        <v>1.413453931E-5</v>
      </c>
      <c r="E1394">
        <v>9.2460437489999998E-3</v>
      </c>
      <c r="F1394">
        <v>3.1526231919999999E-3</v>
      </c>
      <c r="G1394">
        <v>4.1052400060000004E-3</v>
      </c>
      <c r="H1394">
        <v>4.5368361100000002E-3</v>
      </c>
      <c r="I1394">
        <v>3.4463148699999998E-3</v>
      </c>
    </row>
    <row r="1395" spans="1:9" hidden="1" x14ac:dyDescent="0.2">
      <c r="A1395" t="s">
        <v>529</v>
      </c>
      <c r="B1395" t="s">
        <v>825</v>
      </c>
      <c r="C1395" t="s">
        <v>24</v>
      </c>
      <c r="D1395">
        <v>-1.6320662299999999E-5</v>
      </c>
      <c r="E1395">
        <v>-4.2764578170000002E-4</v>
      </c>
      <c r="F1395">
        <v>-6.9616462090000002E-4</v>
      </c>
      <c r="G1395">
        <v>-6.6237561780000001E-6</v>
      </c>
      <c r="H1395">
        <v>-3.9268985769999999E-4</v>
      </c>
      <c r="I1395">
        <v>-9.8833696309999996E-4</v>
      </c>
    </row>
    <row r="1396" spans="1:9" hidden="1" x14ac:dyDescent="0.2">
      <c r="A1396" t="s">
        <v>529</v>
      </c>
      <c r="B1396" t="s">
        <v>824</v>
      </c>
      <c r="C1396" t="s">
        <v>24</v>
      </c>
      <c r="D1396">
        <v>1.6132126549999999E-5</v>
      </c>
      <c r="E1396">
        <v>4.234142354E-4</v>
      </c>
      <c r="F1396">
        <v>6.89272325E-4</v>
      </c>
      <c r="G1396">
        <v>6.5581744620000001E-6</v>
      </c>
      <c r="H1396">
        <v>3.8880184019999999E-4</v>
      </c>
      <c r="I1396">
        <v>9.7855222809999998E-4</v>
      </c>
    </row>
    <row r="1397" spans="1:9" hidden="1" x14ac:dyDescent="0.2">
      <c r="A1397" t="s">
        <v>530</v>
      </c>
      <c r="B1397" t="s">
        <v>821</v>
      </c>
      <c r="C1397" t="s">
        <v>87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 hidden="1" x14ac:dyDescent="0.2">
      <c r="A1398" t="s">
        <v>531</v>
      </c>
      <c r="B1398" t="s">
        <v>821</v>
      </c>
      <c r="C1398" t="s">
        <v>87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 hidden="1" x14ac:dyDescent="0.2">
      <c r="A1399" t="s">
        <v>532</v>
      </c>
      <c r="B1399" t="s">
        <v>821</v>
      </c>
      <c r="C1399" t="s">
        <v>87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 hidden="1" x14ac:dyDescent="0.2">
      <c r="A1400" t="s">
        <v>533</v>
      </c>
      <c r="B1400" t="s">
        <v>821</v>
      </c>
      <c r="C1400" t="s">
        <v>87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 spans="1:9" hidden="1" x14ac:dyDescent="0.2">
      <c r="A1401" t="s">
        <v>534</v>
      </c>
      <c r="B1401" t="s">
        <v>896</v>
      </c>
      <c r="C1401" t="s">
        <v>11</v>
      </c>
      <c r="D1401">
        <v>1.000002362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 spans="1:9" hidden="1" x14ac:dyDescent="0.2">
      <c r="A1402" t="s">
        <v>534</v>
      </c>
      <c r="B1402" t="s">
        <v>824</v>
      </c>
      <c r="C1402" t="s">
        <v>11</v>
      </c>
      <c r="D1402">
        <v>-1.0000000689999999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 spans="1:9" hidden="1" x14ac:dyDescent="0.2">
      <c r="A1403" t="s">
        <v>535</v>
      </c>
      <c r="B1403" t="s">
        <v>922</v>
      </c>
      <c r="C1403" t="s">
        <v>11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 hidden="1" x14ac:dyDescent="0.2">
      <c r="A1404" t="s">
        <v>535</v>
      </c>
      <c r="B1404" t="s">
        <v>824</v>
      </c>
      <c r="C1404" t="s">
        <v>11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 hidden="1" x14ac:dyDescent="0.2">
      <c r="A1405" t="s">
        <v>536</v>
      </c>
      <c r="B1405" t="s">
        <v>845</v>
      </c>
      <c r="C1405" t="s">
        <v>188</v>
      </c>
      <c r="D1405">
        <v>7.2520738710000002E-6</v>
      </c>
      <c r="E1405">
        <v>0.9999344564</v>
      </c>
      <c r="F1405">
        <v>0.79994751949999998</v>
      </c>
      <c r="G1405">
        <v>0.63995838839999997</v>
      </c>
      <c r="H1405">
        <v>0.51196679450000004</v>
      </c>
      <c r="I1405">
        <v>0.40957413339999998</v>
      </c>
    </row>
    <row r="1406" spans="1:9" hidden="1" x14ac:dyDescent="0.2">
      <c r="A1406" t="s">
        <v>536</v>
      </c>
      <c r="B1406" t="s">
        <v>821</v>
      </c>
      <c r="C1406" t="s">
        <v>188</v>
      </c>
      <c r="D1406">
        <v>5.7526341809999996E-7</v>
      </c>
      <c r="E1406">
        <v>6.2496146910000001E-2</v>
      </c>
      <c r="F1406">
        <v>4.9996760029999997E-2</v>
      </c>
      <c r="G1406">
        <v>3.9997399279999998E-2</v>
      </c>
      <c r="H1406">
        <v>3.1997924740000003E-2</v>
      </c>
      <c r="I1406">
        <v>2.5598457129999998E-2</v>
      </c>
    </row>
    <row r="1407" spans="1:9" hidden="1" x14ac:dyDescent="0.2">
      <c r="A1407" t="s">
        <v>536</v>
      </c>
      <c r="B1407" t="s">
        <v>825</v>
      </c>
      <c r="C1407" t="s">
        <v>188</v>
      </c>
      <c r="D1407">
        <v>-7.5852284319999996E-6</v>
      </c>
      <c r="E1407">
        <v>-1.062430344</v>
      </c>
      <c r="F1407">
        <v>-0.84994423679999997</v>
      </c>
      <c r="G1407">
        <v>-0.67995578759999997</v>
      </c>
      <c r="H1407">
        <v>-0.5439647192</v>
      </c>
      <c r="I1407">
        <v>-0.43517251179999999</v>
      </c>
    </row>
    <row r="1408" spans="1:9" hidden="1" x14ac:dyDescent="0.2">
      <c r="A1408" t="s">
        <v>537</v>
      </c>
      <c r="B1408" t="s">
        <v>845</v>
      </c>
      <c r="C1408" t="s">
        <v>188</v>
      </c>
      <c r="D1408">
        <v>0.31137534779999998</v>
      </c>
      <c r="E1408">
        <v>6.5631801360000001E-5</v>
      </c>
      <c r="F1408">
        <v>2.9242994309999999E-5</v>
      </c>
      <c r="G1408">
        <v>6.651287955E-7</v>
      </c>
      <c r="H1408">
        <v>1.5298902850000001E-5</v>
      </c>
      <c r="I1408">
        <v>3.5620195559999998E-5</v>
      </c>
    </row>
    <row r="1409" spans="1:9" hidden="1" x14ac:dyDescent="0.2">
      <c r="A1409" t="s">
        <v>537</v>
      </c>
      <c r="B1409" t="s">
        <v>821</v>
      </c>
      <c r="C1409" t="s">
        <v>188</v>
      </c>
      <c r="D1409">
        <v>0.1586250971</v>
      </c>
      <c r="E1409">
        <v>3.102299138E-5</v>
      </c>
      <c r="F1409">
        <v>1.2706641519999999E-5</v>
      </c>
      <c r="G1409">
        <v>2.651229621E-7</v>
      </c>
      <c r="H1409">
        <v>5.5870279800000003E-6</v>
      </c>
      <c r="I1409">
        <v>1.192587617E-5</v>
      </c>
    </row>
    <row r="1410" spans="1:9" hidden="1" x14ac:dyDescent="0.2">
      <c r="A1410" t="s">
        <v>537</v>
      </c>
      <c r="B1410" t="s">
        <v>825</v>
      </c>
      <c r="C1410" t="s">
        <v>188</v>
      </c>
      <c r="D1410">
        <v>-0.47000027010000001</v>
      </c>
      <c r="E1410">
        <v>-9.6395188020000002E-5</v>
      </c>
      <c r="F1410">
        <v>-4.1906910060000003E-5</v>
      </c>
      <c r="G1410">
        <v>-9.3024894090000001E-7</v>
      </c>
      <c r="H1410">
        <v>-2.0885841620000001E-5</v>
      </c>
      <c r="I1410">
        <v>-4.7467355259999998E-5</v>
      </c>
    </row>
    <row r="1411" spans="1:9" hidden="1" x14ac:dyDescent="0.2">
      <c r="A1411" t="s">
        <v>538</v>
      </c>
      <c r="B1411" t="s">
        <v>827</v>
      </c>
      <c r="C1411" t="s">
        <v>194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 hidden="1" x14ac:dyDescent="0.2">
      <c r="A1412" t="s">
        <v>538</v>
      </c>
      <c r="B1412" t="s">
        <v>821</v>
      </c>
      <c r="C1412" t="s">
        <v>194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 hidden="1" x14ac:dyDescent="0.2">
      <c r="A1413" t="s">
        <v>538</v>
      </c>
      <c r="B1413" t="s">
        <v>833</v>
      </c>
      <c r="C1413" t="s">
        <v>194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 hidden="1" x14ac:dyDescent="0.2">
      <c r="A1414" t="s">
        <v>538</v>
      </c>
      <c r="B1414" t="s">
        <v>824</v>
      </c>
      <c r="C1414" t="s">
        <v>194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 hidden="1" x14ac:dyDescent="0.2">
      <c r="A1415" t="s">
        <v>923</v>
      </c>
      <c r="B1415" t="s">
        <v>827</v>
      </c>
      <c r="C1415" t="s">
        <v>194</v>
      </c>
      <c r="E1415">
        <v>3.215160345E-7</v>
      </c>
      <c r="F1415">
        <v>1.475830124E-7</v>
      </c>
      <c r="G1415">
        <v>0</v>
      </c>
      <c r="H1415">
        <v>0</v>
      </c>
      <c r="I1415">
        <v>4.3903705870000001E-7</v>
      </c>
    </row>
    <row r="1416" spans="1:9" hidden="1" x14ac:dyDescent="0.2">
      <c r="A1416" t="s">
        <v>923</v>
      </c>
      <c r="B1416" t="s">
        <v>821</v>
      </c>
      <c r="C1416" t="s">
        <v>194</v>
      </c>
      <c r="E1416">
        <v>5.5886679760000003E-6</v>
      </c>
      <c r="F1416">
        <v>8.8696562769999997E-6</v>
      </c>
      <c r="G1416">
        <v>1.494038906E-7</v>
      </c>
      <c r="H1416">
        <v>6.300726401E-6</v>
      </c>
      <c r="I1416">
        <v>3.047405947E-5</v>
      </c>
    </row>
    <row r="1417" spans="1:9" hidden="1" x14ac:dyDescent="0.2">
      <c r="A1417" t="s">
        <v>923</v>
      </c>
      <c r="B1417" t="s">
        <v>833</v>
      </c>
      <c r="C1417" t="s">
        <v>194</v>
      </c>
      <c r="E1417">
        <v>4.4989199639999998E-7</v>
      </c>
      <c r="F1417">
        <v>3.579006715E-7</v>
      </c>
      <c r="G1417">
        <v>0</v>
      </c>
      <c r="H1417">
        <v>2.2504257490000001E-7</v>
      </c>
      <c r="I1417">
        <v>1.1638873199999999E-6</v>
      </c>
    </row>
    <row r="1418" spans="1:9" hidden="1" x14ac:dyDescent="0.2">
      <c r="A1418" t="s">
        <v>539</v>
      </c>
      <c r="B1418" t="s">
        <v>867</v>
      </c>
      <c r="C1418" t="s">
        <v>7</v>
      </c>
      <c r="D1418">
        <v>-1.7043302810000001</v>
      </c>
      <c r="E1418">
        <v>-0.77488482030000005</v>
      </c>
      <c r="F1418">
        <v>-0.6181941634</v>
      </c>
      <c r="G1418">
        <v>-0.49635526140000003</v>
      </c>
      <c r="H1418">
        <v>-0.39271060720000001</v>
      </c>
      <c r="I1418">
        <v>-7.0044021469999996E-7</v>
      </c>
    </row>
    <row r="1419" spans="1:9" hidden="1" x14ac:dyDescent="0.2">
      <c r="A1419" t="s">
        <v>539</v>
      </c>
      <c r="B1419" t="s">
        <v>851</v>
      </c>
      <c r="C1419" t="s">
        <v>7</v>
      </c>
      <c r="D1419">
        <v>-41.763009160000003</v>
      </c>
      <c r="E1419">
        <v>-18.983567950000001</v>
      </c>
      <c r="F1419">
        <v>-15.14656884</v>
      </c>
      <c r="G1419">
        <v>-12.162718679999999</v>
      </c>
      <c r="H1419">
        <v>-9.6240822809999997</v>
      </c>
      <c r="I1419">
        <v>-1.7167475090000001E-5</v>
      </c>
    </row>
    <row r="1420" spans="1:9" hidden="1" x14ac:dyDescent="0.2">
      <c r="A1420" t="s">
        <v>539</v>
      </c>
      <c r="B1420" t="s">
        <v>894</v>
      </c>
      <c r="C1420" t="s">
        <v>7</v>
      </c>
      <c r="D1420">
        <v>44.64999727</v>
      </c>
      <c r="E1420">
        <v>20.30051405</v>
      </c>
      <c r="F1420">
        <v>16.195474780000001</v>
      </c>
      <c r="G1420">
        <v>13.0035016</v>
      </c>
      <c r="H1420">
        <v>10.288195760000001</v>
      </c>
      <c r="I1420">
        <v>1.8350020839999999E-5</v>
      </c>
    </row>
    <row r="1421" spans="1:9" hidden="1" x14ac:dyDescent="0.2">
      <c r="A1421" t="s">
        <v>539</v>
      </c>
      <c r="B1421" t="s">
        <v>837</v>
      </c>
      <c r="C1421" t="s">
        <v>7</v>
      </c>
      <c r="D1421">
        <v>-5.3646494730000001</v>
      </c>
      <c r="E1421">
        <v>-2.4423303789999999</v>
      </c>
      <c r="F1421">
        <v>-1.9471635190000001</v>
      </c>
      <c r="G1421">
        <v>-1.5623568189999999</v>
      </c>
      <c r="H1421">
        <v>-1.235293371</v>
      </c>
      <c r="I1421">
        <v>-2.201801891E-6</v>
      </c>
    </row>
    <row r="1422" spans="1:9" hidden="1" x14ac:dyDescent="0.2">
      <c r="A1422" t="s">
        <v>539</v>
      </c>
      <c r="B1422" t="s">
        <v>821</v>
      </c>
      <c r="C1422" t="s">
        <v>7</v>
      </c>
      <c r="D1422">
        <v>0.37742457149999997</v>
      </c>
      <c r="E1422">
        <v>0.1716292166</v>
      </c>
      <c r="F1422">
        <v>0.1369115669</v>
      </c>
      <c r="G1422">
        <v>0.1099180563</v>
      </c>
      <c r="H1422">
        <v>8.6958133399999998E-2</v>
      </c>
      <c r="I1422">
        <v>1.5508500660000001E-7</v>
      </c>
    </row>
    <row r="1423" spans="1:9" hidden="1" x14ac:dyDescent="0.2">
      <c r="A1423" t="s">
        <v>539</v>
      </c>
      <c r="B1423" t="s">
        <v>833</v>
      </c>
      <c r="C1423" t="s">
        <v>7</v>
      </c>
      <c r="D1423">
        <v>0.99171280120000005</v>
      </c>
      <c r="E1423">
        <v>0.45072097</v>
      </c>
      <c r="F1423">
        <v>0.35964687439999998</v>
      </c>
      <c r="G1423">
        <v>0.28881835039999998</v>
      </c>
      <c r="H1423">
        <v>0.2285522669</v>
      </c>
      <c r="I1423">
        <v>4.0772252639999999E-7</v>
      </c>
    </row>
    <row r="1424" spans="1:9" hidden="1" x14ac:dyDescent="0.2">
      <c r="A1424" t="s">
        <v>539</v>
      </c>
      <c r="B1424" t="s">
        <v>824</v>
      </c>
      <c r="C1424" t="s">
        <v>7</v>
      </c>
      <c r="D1424">
        <v>6.0037711539999998</v>
      </c>
      <c r="E1424">
        <v>2.7296673729999998</v>
      </c>
      <c r="F1424">
        <v>2.177691609</v>
      </c>
      <c r="G1424">
        <v>1.7484894209999999</v>
      </c>
      <c r="H1424">
        <v>1.383381338</v>
      </c>
      <c r="I1424">
        <v>2.4673982660000001E-6</v>
      </c>
    </row>
    <row r="1425" spans="1:9" hidden="1" x14ac:dyDescent="0.2">
      <c r="A1425" t="s">
        <v>540</v>
      </c>
      <c r="B1425" t="s">
        <v>825</v>
      </c>
      <c r="C1425" t="s">
        <v>16</v>
      </c>
      <c r="D1425">
        <v>17.13351561</v>
      </c>
      <c r="E1425">
        <v>30.362183600000002</v>
      </c>
      <c r="F1425">
        <v>38.225740209999998</v>
      </c>
      <c r="G1425">
        <v>47.313355199999997</v>
      </c>
      <c r="H1425">
        <v>47.313292680000004</v>
      </c>
      <c r="I1425">
        <v>11.89030885</v>
      </c>
    </row>
    <row r="1426" spans="1:9" hidden="1" x14ac:dyDescent="0.2">
      <c r="A1426" t="s">
        <v>541</v>
      </c>
      <c r="B1426" t="s">
        <v>825</v>
      </c>
      <c r="C1426" t="s">
        <v>16</v>
      </c>
      <c r="D1426">
        <v>2.0076456880000002</v>
      </c>
      <c r="E1426">
        <v>3.0144704170000001</v>
      </c>
      <c r="F1426">
        <v>4.0046107009999998</v>
      </c>
      <c r="G1426">
        <v>4.5314205650000003</v>
      </c>
      <c r="H1426">
        <v>5.0035241819999996</v>
      </c>
      <c r="I1426">
        <v>5.4756274280000001</v>
      </c>
    </row>
    <row r="1427" spans="1:9" hidden="1" x14ac:dyDescent="0.2">
      <c r="A1427" t="s">
        <v>542</v>
      </c>
      <c r="B1427" t="s">
        <v>825</v>
      </c>
      <c r="C1427" t="s">
        <v>16</v>
      </c>
      <c r="D1427">
        <v>14.280006889999999</v>
      </c>
      <c r="E1427">
        <v>23.776255939999999</v>
      </c>
      <c r="F1427">
        <v>29.379420679999999</v>
      </c>
      <c r="G1427">
        <v>35.854779139999998</v>
      </c>
      <c r="H1427">
        <v>35.854748360000002</v>
      </c>
      <c r="I1427">
        <v>10.61413986</v>
      </c>
    </row>
    <row r="1428" spans="1:9" hidden="1" x14ac:dyDescent="0.2">
      <c r="A1428" t="s">
        <v>543</v>
      </c>
      <c r="B1428" t="s">
        <v>825</v>
      </c>
      <c r="C1428" t="s">
        <v>16</v>
      </c>
      <c r="D1428">
        <v>27.825288789999998</v>
      </c>
      <c r="E1428">
        <v>46.540379639999998</v>
      </c>
      <c r="F1428">
        <v>57.589772029999999</v>
      </c>
      <c r="G1428">
        <v>70.359144200000003</v>
      </c>
      <c r="H1428">
        <v>70.359053750000001</v>
      </c>
      <c r="I1428">
        <v>20.584856760000001</v>
      </c>
    </row>
    <row r="1429" spans="1:9" hidden="1" x14ac:dyDescent="0.2">
      <c r="A1429" t="s">
        <v>544</v>
      </c>
      <c r="B1429" t="s">
        <v>825</v>
      </c>
      <c r="C1429" t="s">
        <v>16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 spans="1:9" hidden="1" x14ac:dyDescent="0.2">
      <c r="A1430" t="s">
        <v>545</v>
      </c>
      <c r="B1430" t="s">
        <v>825</v>
      </c>
      <c r="C1430" t="s">
        <v>16</v>
      </c>
      <c r="D1430">
        <v>36.941167249999999</v>
      </c>
      <c r="E1430">
        <v>22.743244220000001</v>
      </c>
      <c r="F1430">
        <v>13.13852307</v>
      </c>
      <c r="G1430">
        <v>2.0387360839999999</v>
      </c>
      <c r="H1430">
        <v>2.0387360069999998</v>
      </c>
      <c r="I1430">
        <v>45.305249359999998</v>
      </c>
    </row>
    <row r="1431" spans="1:9" hidden="1" x14ac:dyDescent="0.2">
      <c r="A1431" t="s">
        <v>546</v>
      </c>
      <c r="B1431" t="s">
        <v>825</v>
      </c>
      <c r="C1431" t="s">
        <v>16</v>
      </c>
      <c r="D1431">
        <v>7.9226213090000002</v>
      </c>
      <c r="E1431">
        <v>8.1909327580000006</v>
      </c>
      <c r="F1431">
        <v>8.1909303379999994</v>
      </c>
      <c r="G1431">
        <v>8.1909525120000009</v>
      </c>
      <c r="H1431">
        <v>8.1909023889999997</v>
      </c>
      <c r="I1431">
        <v>8.1909335240000001</v>
      </c>
    </row>
    <row r="1432" spans="1:9" hidden="1" x14ac:dyDescent="0.2">
      <c r="A1432" t="s">
        <v>547</v>
      </c>
      <c r="B1432" t="s">
        <v>825</v>
      </c>
      <c r="C1432" t="s">
        <v>16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 hidden="1" x14ac:dyDescent="0.2">
      <c r="A1433" t="s">
        <v>548</v>
      </c>
      <c r="B1433" t="s">
        <v>825</v>
      </c>
      <c r="C1433" t="s">
        <v>16</v>
      </c>
      <c r="D1433">
        <v>27.093964110000002</v>
      </c>
      <c r="E1433">
        <v>16.680702910000001</v>
      </c>
      <c r="F1433">
        <v>9.6362593269999994</v>
      </c>
      <c r="G1433">
        <v>1.495281431</v>
      </c>
      <c r="H1433">
        <v>1.4952813739999999</v>
      </c>
      <c r="I1433">
        <v>33.228478780000003</v>
      </c>
    </row>
    <row r="1434" spans="1:9" hidden="1" x14ac:dyDescent="0.2">
      <c r="A1434" t="s">
        <v>549</v>
      </c>
      <c r="B1434" t="s">
        <v>825</v>
      </c>
      <c r="C1434" t="s">
        <v>16</v>
      </c>
      <c r="D1434">
        <v>4.5582986560000003E-6</v>
      </c>
      <c r="E1434">
        <v>1.9018183160000001E-5</v>
      </c>
      <c r="F1434">
        <v>1.401756712E-5</v>
      </c>
      <c r="G1434">
        <v>1.753892558E-6</v>
      </c>
      <c r="H1434">
        <v>2.8466411270000001E-5</v>
      </c>
      <c r="I1434">
        <v>1.2994839910000001E-5</v>
      </c>
    </row>
    <row r="1435" spans="1:9" hidden="1" x14ac:dyDescent="0.2">
      <c r="A1435" t="s">
        <v>550</v>
      </c>
      <c r="B1435" t="s">
        <v>825</v>
      </c>
      <c r="C1435" t="s">
        <v>16</v>
      </c>
      <c r="D1435">
        <v>9.4859484750000007</v>
      </c>
      <c r="E1435">
        <v>12.028867030000001</v>
      </c>
      <c r="F1435">
        <v>14.37193162</v>
      </c>
      <c r="G1435">
        <v>15.618573749999999</v>
      </c>
      <c r="H1435">
        <v>16.735757549999999</v>
      </c>
      <c r="I1435">
        <v>17.852941510000001</v>
      </c>
    </row>
    <row r="1436" spans="1:9" hidden="1" x14ac:dyDescent="0.2">
      <c r="A1436" t="s">
        <v>551</v>
      </c>
      <c r="B1436" t="s">
        <v>825</v>
      </c>
      <c r="C1436" t="s">
        <v>16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 spans="1:9" hidden="1" x14ac:dyDescent="0.2">
      <c r="A1437" t="s">
        <v>552</v>
      </c>
      <c r="B1437" t="s">
        <v>825</v>
      </c>
      <c r="C1437" t="s">
        <v>16</v>
      </c>
      <c r="D1437">
        <v>49.347774000000001</v>
      </c>
      <c r="E1437">
        <v>30.381512839999999</v>
      </c>
      <c r="F1437">
        <v>17.551066299999999</v>
      </c>
      <c r="G1437">
        <v>2.7234409570000002</v>
      </c>
      <c r="H1437">
        <v>2.723440751</v>
      </c>
      <c r="I1437">
        <v>60.520914449999999</v>
      </c>
    </row>
    <row r="1438" spans="1:9" hidden="1" x14ac:dyDescent="0.2">
      <c r="A1438" t="s">
        <v>553</v>
      </c>
      <c r="B1438" t="s">
        <v>825</v>
      </c>
      <c r="C1438" t="s">
        <v>16</v>
      </c>
      <c r="D1438">
        <v>19.233472760000002</v>
      </c>
      <c r="E1438">
        <v>19.884727980000001</v>
      </c>
      <c r="F1438">
        <v>19.884783580000001</v>
      </c>
      <c r="G1438">
        <v>15.91810761</v>
      </c>
      <c r="H1438">
        <v>19.884763360000001</v>
      </c>
      <c r="I1438">
        <v>19.884791419999999</v>
      </c>
    </row>
    <row r="1439" spans="1:9" hidden="1" x14ac:dyDescent="0.2">
      <c r="A1439" t="s">
        <v>554</v>
      </c>
      <c r="B1439" t="s">
        <v>825</v>
      </c>
      <c r="C1439" t="s">
        <v>16</v>
      </c>
      <c r="D1439">
        <v>5.3332157169999999</v>
      </c>
      <c r="E1439">
        <v>8.0326325329999992</v>
      </c>
      <c r="F1439">
        <v>10.68908682</v>
      </c>
      <c r="G1439">
        <v>12.102468460000001</v>
      </c>
      <c r="H1439">
        <v>13.36907738</v>
      </c>
      <c r="I1439">
        <v>14.635686460000001</v>
      </c>
    </row>
    <row r="1440" spans="1:9" hidden="1" x14ac:dyDescent="0.2">
      <c r="A1440" t="s">
        <v>555</v>
      </c>
      <c r="B1440" t="s">
        <v>825</v>
      </c>
      <c r="C1440" t="s">
        <v>24</v>
      </c>
      <c r="D1440">
        <v>2.0657852729999999</v>
      </c>
      <c r="E1440">
        <v>2.239790035</v>
      </c>
      <c r="F1440">
        <v>3.6496695290000001</v>
      </c>
      <c r="G1440">
        <v>8.7846758240000007</v>
      </c>
      <c r="H1440">
        <v>8.9532465230000007</v>
      </c>
      <c r="I1440">
        <v>9.1204334710000001</v>
      </c>
    </row>
    <row r="1441" spans="1:9" hidden="1" x14ac:dyDescent="0.2">
      <c r="A1441" t="s">
        <v>556</v>
      </c>
      <c r="B1441" t="s">
        <v>825</v>
      </c>
      <c r="C1441" t="s">
        <v>24</v>
      </c>
      <c r="D1441">
        <v>2.486918874E-5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 spans="1:9" hidden="1" x14ac:dyDescent="0.2">
      <c r="A1442" t="s">
        <v>557</v>
      </c>
      <c r="B1442" t="s">
        <v>825</v>
      </c>
      <c r="C1442" t="s">
        <v>24</v>
      </c>
      <c r="D1442">
        <v>7.3051250129999996</v>
      </c>
      <c r="E1442">
        <v>7.9204793860000002</v>
      </c>
      <c r="F1442">
        <v>6.3430722160000004</v>
      </c>
      <c r="G1442">
        <v>0</v>
      </c>
      <c r="H1442">
        <v>0</v>
      </c>
      <c r="I1442">
        <v>0</v>
      </c>
    </row>
    <row r="1443" spans="1:9" hidden="1" x14ac:dyDescent="0.2">
      <c r="A1443" t="s">
        <v>558</v>
      </c>
      <c r="B1443" t="s">
        <v>825</v>
      </c>
      <c r="C1443" t="s">
        <v>24</v>
      </c>
      <c r="D1443">
        <v>1.9208709399999999</v>
      </c>
      <c r="E1443">
        <v>2.082677179</v>
      </c>
      <c r="F1443">
        <v>2.1247124469999998</v>
      </c>
      <c r="G1443">
        <v>2.162215615</v>
      </c>
      <c r="H1443">
        <v>2.2037077489999999</v>
      </c>
      <c r="I1443">
        <v>2.2448613270000002</v>
      </c>
    </row>
    <row r="1444" spans="1:9" hidden="1" x14ac:dyDescent="0.2">
      <c r="A1444" t="s">
        <v>559</v>
      </c>
      <c r="B1444" t="s">
        <v>825</v>
      </c>
      <c r="C1444" t="s">
        <v>24</v>
      </c>
      <c r="D1444">
        <v>5.3767361779999998</v>
      </c>
      <c r="E1444">
        <v>6.0021101420000003</v>
      </c>
      <c r="F1444">
        <v>6.2962924820000001</v>
      </c>
      <c r="G1444">
        <v>6.5861638459999998</v>
      </c>
      <c r="H1444">
        <v>6.8948871880000002</v>
      </c>
      <c r="I1444">
        <v>7.2106794970000001</v>
      </c>
    </row>
    <row r="1445" spans="1:9" hidden="1" x14ac:dyDescent="0.2">
      <c r="A1445" t="s">
        <v>560</v>
      </c>
      <c r="B1445" t="s">
        <v>825</v>
      </c>
      <c r="C1445" t="s">
        <v>24</v>
      </c>
      <c r="D1445">
        <v>1.117690086E-4</v>
      </c>
      <c r="E1445">
        <v>2.6234452830000001E-4</v>
      </c>
      <c r="F1445">
        <v>2.0625609989999999E-4</v>
      </c>
      <c r="G1445">
        <v>4.0816981250000001E-6</v>
      </c>
      <c r="H1445">
        <v>9.2134539119999995E-5</v>
      </c>
      <c r="I1445">
        <v>1.77176813E-4</v>
      </c>
    </row>
    <row r="1446" spans="1:9" hidden="1" x14ac:dyDescent="0.2">
      <c r="A1446" t="s">
        <v>561</v>
      </c>
      <c r="B1446" t="s">
        <v>825</v>
      </c>
      <c r="C1446" t="s">
        <v>24</v>
      </c>
      <c r="D1446">
        <v>3.6558561580000002</v>
      </c>
      <c r="E1446">
        <v>3.56666733</v>
      </c>
      <c r="F1446">
        <v>2.8601788909999999</v>
      </c>
      <c r="G1446">
        <v>1.409171924</v>
      </c>
      <c r="H1446">
        <v>1.3947816829999999</v>
      </c>
      <c r="I1446">
        <v>3.0203771530000001</v>
      </c>
    </row>
    <row r="1447" spans="1:9" hidden="1" x14ac:dyDescent="0.2">
      <c r="A1447" t="s">
        <v>562</v>
      </c>
      <c r="B1447" t="s">
        <v>825</v>
      </c>
      <c r="C1447" t="s">
        <v>24</v>
      </c>
      <c r="D1447">
        <v>0.3468626306</v>
      </c>
      <c r="E1447">
        <v>0.3384077841</v>
      </c>
      <c r="F1447">
        <v>0.9120411061</v>
      </c>
      <c r="G1447">
        <v>1.973735029</v>
      </c>
      <c r="H1447">
        <v>1.8923338080000001</v>
      </c>
      <c r="I1447">
        <v>0.28657329040000001</v>
      </c>
    </row>
    <row r="1448" spans="1:9" hidden="1" x14ac:dyDescent="0.2">
      <c r="A1448" t="s">
        <v>563</v>
      </c>
      <c r="B1448" t="s">
        <v>825</v>
      </c>
      <c r="C1448" t="s">
        <v>24</v>
      </c>
      <c r="D1448">
        <v>0.30893177129999999</v>
      </c>
      <c r="E1448">
        <v>0.30140222779999998</v>
      </c>
      <c r="F1448">
        <v>0.18884375810000001</v>
      </c>
      <c r="G1448">
        <v>0.1562109569</v>
      </c>
      <c r="H1448">
        <v>0.1236352902</v>
      </c>
      <c r="I1448">
        <v>0.25523561360000002</v>
      </c>
    </row>
    <row r="1449" spans="1:9" hidden="1" x14ac:dyDescent="0.2">
      <c r="A1449" t="s">
        <v>564</v>
      </c>
      <c r="B1449" t="s">
        <v>825</v>
      </c>
      <c r="C1449" t="s">
        <v>24</v>
      </c>
      <c r="D1449">
        <v>0.93067620669999995</v>
      </c>
      <c r="E1449">
        <v>0.96178482639999996</v>
      </c>
      <c r="F1449">
        <v>0.97946603919999997</v>
      </c>
      <c r="G1449">
        <v>0.99754010250000003</v>
      </c>
      <c r="H1449">
        <v>1.0157654629999999</v>
      </c>
      <c r="I1449">
        <v>1.033989863</v>
      </c>
    </row>
    <row r="1450" spans="1:9" hidden="1" x14ac:dyDescent="0.2">
      <c r="A1450" t="s">
        <v>565</v>
      </c>
      <c r="B1450" t="s">
        <v>825</v>
      </c>
      <c r="C1450" t="s">
        <v>24</v>
      </c>
      <c r="D1450">
        <v>6.4852353559999998E-5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 spans="1:9" hidden="1" x14ac:dyDescent="0.2">
      <c r="A1451" t="s">
        <v>566</v>
      </c>
      <c r="B1451" t="s">
        <v>825</v>
      </c>
      <c r="C1451" t="s">
        <v>24</v>
      </c>
      <c r="D1451">
        <v>22.273758470000001</v>
      </c>
      <c r="E1451">
        <v>23.523137720000001</v>
      </c>
      <c r="F1451">
        <v>20.636549670000001</v>
      </c>
      <c r="G1451">
        <v>0</v>
      </c>
      <c r="H1451">
        <v>0</v>
      </c>
      <c r="I1451">
        <v>0</v>
      </c>
    </row>
    <row r="1452" spans="1:9" hidden="1" x14ac:dyDescent="0.2">
      <c r="A1452" t="s">
        <v>567</v>
      </c>
      <c r="B1452" t="s">
        <v>825</v>
      </c>
      <c r="C1452" t="s">
        <v>24</v>
      </c>
      <c r="D1452">
        <v>0.76164946460000005</v>
      </c>
      <c r="E1452">
        <v>0.80437056969999998</v>
      </c>
      <c r="F1452">
        <v>3.4818903300000001</v>
      </c>
      <c r="G1452">
        <v>20.157644470000001</v>
      </c>
      <c r="H1452">
        <v>20.467479149999999</v>
      </c>
      <c r="I1452">
        <v>20.565404489999999</v>
      </c>
    </row>
    <row r="1453" spans="1:9" hidden="1" x14ac:dyDescent="0.2">
      <c r="A1453" t="s">
        <v>568</v>
      </c>
      <c r="B1453" t="s">
        <v>825</v>
      </c>
      <c r="C1453" t="s">
        <v>24</v>
      </c>
      <c r="D1453">
        <v>0.14280934570000001</v>
      </c>
      <c r="E1453">
        <v>0.15081969109999999</v>
      </c>
      <c r="F1453">
        <v>7.8111864930000002E-5</v>
      </c>
      <c r="G1453">
        <v>2.5942067880000001E-6</v>
      </c>
      <c r="H1453">
        <v>5.6733562410000001E-5</v>
      </c>
      <c r="I1453">
        <v>0.1590112424</v>
      </c>
    </row>
    <row r="1454" spans="1:9" hidden="1" x14ac:dyDescent="0.2">
      <c r="A1454" t="s">
        <v>569</v>
      </c>
      <c r="B1454" t="s">
        <v>825</v>
      </c>
      <c r="C1454" t="s">
        <v>24</v>
      </c>
      <c r="D1454">
        <v>0.84987864879999997</v>
      </c>
      <c r="E1454">
        <v>1.558676889</v>
      </c>
      <c r="F1454">
        <v>2.2469116200000001</v>
      </c>
      <c r="G1454">
        <v>2.9373615750000002</v>
      </c>
      <c r="H1454">
        <v>3.6285126609999998</v>
      </c>
      <c r="I1454">
        <v>4.3196896369999997</v>
      </c>
    </row>
    <row r="1455" spans="1:9" hidden="1" x14ac:dyDescent="0.2">
      <c r="A1455" t="s">
        <v>570</v>
      </c>
      <c r="B1455" t="s">
        <v>825</v>
      </c>
      <c r="C1455" t="s">
        <v>24</v>
      </c>
      <c r="D1455">
        <v>2.8688168330000001E-5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 spans="1:9" hidden="1" x14ac:dyDescent="0.2">
      <c r="A1456" t="s">
        <v>571</v>
      </c>
      <c r="B1456" t="s">
        <v>825</v>
      </c>
      <c r="C1456" t="s">
        <v>24</v>
      </c>
      <c r="D1456">
        <v>4.9974206670000001</v>
      </c>
      <c r="E1456">
        <v>5.5410236480000004</v>
      </c>
      <c r="F1456">
        <v>4.9181293339999996</v>
      </c>
      <c r="G1456">
        <v>0</v>
      </c>
      <c r="H1456">
        <v>0</v>
      </c>
      <c r="I1456">
        <v>0</v>
      </c>
    </row>
    <row r="1457" spans="1:9" hidden="1" x14ac:dyDescent="0.2">
      <c r="A1457" t="s">
        <v>572</v>
      </c>
      <c r="B1457" t="s">
        <v>825</v>
      </c>
      <c r="C1457" t="s">
        <v>24</v>
      </c>
      <c r="D1457">
        <v>0.31153737059999997</v>
      </c>
      <c r="E1457">
        <v>0.34542078529999998</v>
      </c>
      <c r="F1457">
        <v>1.4918708780000001</v>
      </c>
      <c r="G1457">
        <v>6.3163020870000004</v>
      </c>
      <c r="H1457">
        <v>6.953184373</v>
      </c>
      <c r="I1457">
        <v>7.2663431210000002</v>
      </c>
    </row>
    <row r="1458" spans="1:9" hidden="1" x14ac:dyDescent="0.2">
      <c r="A1458" t="s">
        <v>573</v>
      </c>
      <c r="B1458" t="s">
        <v>825</v>
      </c>
      <c r="C1458" t="s">
        <v>24</v>
      </c>
      <c r="D1458">
        <v>0.4185741811</v>
      </c>
      <c r="E1458">
        <v>0.46410565269999998</v>
      </c>
      <c r="F1458">
        <v>0.39041296149999999</v>
      </c>
      <c r="G1458">
        <v>0.39575068250000001</v>
      </c>
      <c r="H1458">
        <v>0.40443176260000002</v>
      </c>
      <c r="I1458">
        <v>0.66076310869999999</v>
      </c>
    </row>
    <row r="1459" spans="1:9" hidden="1" x14ac:dyDescent="0.2">
      <c r="A1459" t="s">
        <v>574</v>
      </c>
      <c r="B1459" t="s">
        <v>825</v>
      </c>
      <c r="C1459" t="s">
        <v>24</v>
      </c>
      <c r="D1459">
        <v>1.3396660499999999</v>
      </c>
      <c r="E1459">
        <v>1.5451660920000001</v>
      </c>
      <c r="F1459">
        <v>1.7387395990000001</v>
      </c>
      <c r="G1459">
        <v>1.955558731</v>
      </c>
      <c r="H1459">
        <v>2.18242308</v>
      </c>
      <c r="I1459">
        <v>2.4092901420000001</v>
      </c>
    </row>
    <row r="1460" spans="1:9" hidden="1" x14ac:dyDescent="0.2">
      <c r="A1460" t="s">
        <v>575</v>
      </c>
      <c r="B1460" t="s">
        <v>825</v>
      </c>
      <c r="C1460" t="s">
        <v>24</v>
      </c>
      <c r="D1460">
        <v>5.1575055019999997E-5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 hidden="1" x14ac:dyDescent="0.2">
      <c r="A1461" t="s">
        <v>576</v>
      </c>
      <c r="B1461" t="s">
        <v>825</v>
      </c>
      <c r="C1461" t="s">
        <v>24</v>
      </c>
      <c r="D1461">
        <v>14.88885359</v>
      </c>
      <c r="E1461">
        <v>14.6792605</v>
      </c>
      <c r="F1461">
        <v>12.145089370000001</v>
      </c>
      <c r="G1461">
        <v>0</v>
      </c>
      <c r="H1461">
        <v>0</v>
      </c>
      <c r="I1461">
        <v>0</v>
      </c>
    </row>
    <row r="1462" spans="1:9" hidden="1" x14ac:dyDescent="0.2">
      <c r="A1462" t="s">
        <v>577</v>
      </c>
      <c r="B1462" t="s">
        <v>825</v>
      </c>
      <c r="C1462" t="s">
        <v>24</v>
      </c>
      <c r="D1462">
        <v>2.8864286190000001</v>
      </c>
      <c r="E1462">
        <v>2.8462685699999999</v>
      </c>
      <c r="F1462">
        <v>5.4720467739999998</v>
      </c>
      <c r="G1462">
        <v>15.690641769999999</v>
      </c>
      <c r="H1462">
        <v>15.634178840000001</v>
      </c>
      <c r="I1462">
        <v>14.569283069999999</v>
      </c>
    </row>
    <row r="1463" spans="1:9" hidden="1" x14ac:dyDescent="0.2">
      <c r="A1463" t="s">
        <v>578</v>
      </c>
      <c r="B1463" t="s">
        <v>825</v>
      </c>
      <c r="C1463" t="s">
        <v>24</v>
      </c>
      <c r="D1463">
        <v>4.0701416930000001</v>
      </c>
      <c r="E1463">
        <v>4.0135146370000001</v>
      </c>
      <c r="F1463">
        <v>3.5632180920000001</v>
      </c>
      <c r="G1463">
        <v>3.4173313940000001</v>
      </c>
      <c r="H1463">
        <v>3.2571951600000002</v>
      </c>
      <c r="I1463">
        <v>3.8469498930000001</v>
      </c>
    </row>
    <row r="1464" spans="1:9" hidden="1" x14ac:dyDescent="0.2">
      <c r="A1464" t="s">
        <v>579</v>
      </c>
      <c r="B1464" t="s">
        <v>825</v>
      </c>
      <c r="C1464" t="s">
        <v>24</v>
      </c>
      <c r="D1464">
        <v>8.0270473199999994</v>
      </c>
      <c r="E1464">
        <v>8.3809924930000008</v>
      </c>
      <c r="F1464">
        <v>8.7869629059999994</v>
      </c>
      <c r="G1464">
        <v>9.1634549839999995</v>
      </c>
      <c r="H1464">
        <v>9.5133979370000006</v>
      </c>
      <c r="I1464">
        <v>9.8645545420000005</v>
      </c>
    </row>
    <row r="1465" spans="1:9" hidden="1" x14ac:dyDescent="0.2">
      <c r="A1465" t="s">
        <v>580</v>
      </c>
      <c r="B1465" t="s">
        <v>821</v>
      </c>
      <c r="C1465" t="s">
        <v>581</v>
      </c>
      <c r="D1465">
        <v>0</v>
      </c>
    </row>
    <row r="1466" spans="1:9" hidden="1" x14ac:dyDescent="0.2">
      <c r="A1466" t="s">
        <v>582</v>
      </c>
      <c r="B1466" t="s">
        <v>821</v>
      </c>
      <c r="C1466" t="s">
        <v>581</v>
      </c>
      <c r="D1466">
        <v>1.4559379590000001E-6</v>
      </c>
    </row>
    <row r="1467" spans="1:9" hidden="1" x14ac:dyDescent="0.2">
      <c r="A1467" t="s">
        <v>582</v>
      </c>
      <c r="B1467" t="s">
        <v>870</v>
      </c>
      <c r="C1467" t="s">
        <v>581</v>
      </c>
      <c r="D1467">
        <v>-1.4287214280000001E-7</v>
      </c>
    </row>
    <row r="1468" spans="1:9" hidden="1" x14ac:dyDescent="0.2">
      <c r="A1468" t="s">
        <v>583</v>
      </c>
      <c r="B1468" t="s">
        <v>821</v>
      </c>
      <c r="C1468" t="s">
        <v>581</v>
      </c>
      <c r="D1468">
        <v>3.1871638620000002E-6</v>
      </c>
    </row>
    <row r="1469" spans="1:9" hidden="1" x14ac:dyDescent="0.2">
      <c r="A1469" t="s">
        <v>583</v>
      </c>
      <c r="B1469" t="s">
        <v>870</v>
      </c>
      <c r="C1469" t="s">
        <v>581</v>
      </c>
      <c r="D1469">
        <v>-2.7271408550000001E-7</v>
      </c>
    </row>
    <row r="1470" spans="1:9" hidden="1" x14ac:dyDescent="0.2">
      <c r="A1470" t="s">
        <v>584</v>
      </c>
      <c r="B1470" t="s">
        <v>821</v>
      </c>
      <c r="C1470" t="s">
        <v>581</v>
      </c>
      <c r="D1470">
        <v>3.145634854E-6</v>
      </c>
    </row>
    <row r="1471" spans="1:9" hidden="1" x14ac:dyDescent="0.2">
      <c r="A1471" t="s">
        <v>584</v>
      </c>
      <c r="B1471" t="s">
        <v>870</v>
      </c>
      <c r="C1471" t="s">
        <v>581</v>
      </c>
      <c r="D1471">
        <v>-2.6959941000000001E-7</v>
      </c>
    </row>
    <row r="1472" spans="1:9" hidden="1" x14ac:dyDescent="0.2">
      <c r="A1472" t="s">
        <v>585</v>
      </c>
      <c r="B1472" t="s">
        <v>821</v>
      </c>
      <c r="C1472" t="s">
        <v>581</v>
      </c>
      <c r="D1472">
        <v>0</v>
      </c>
    </row>
    <row r="1473" spans="1:9" hidden="1" x14ac:dyDescent="0.2">
      <c r="A1473" t="s">
        <v>585</v>
      </c>
      <c r="B1473" t="s">
        <v>870</v>
      </c>
      <c r="C1473" t="s">
        <v>581</v>
      </c>
      <c r="D1473">
        <v>0</v>
      </c>
    </row>
    <row r="1474" spans="1:9" hidden="1" x14ac:dyDescent="0.2">
      <c r="A1474" t="s">
        <v>586</v>
      </c>
      <c r="B1474" t="s">
        <v>821</v>
      </c>
      <c r="C1474" t="s">
        <v>581</v>
      </c>
      <c r="D1474">
        <v>0</v>
      </c>
    </row>
    <row r="1475" spans="1:9" hidden="1" x14ac:dyDescent="0.2">
      <c r="A1475" t="s">
        <v>586</v>
      </c>
      <c r="B1475" t="s">
        <v>870</v>
      </c>
      <c r="C1475" t="s">
        <v>581</v>
      </c>
      <c r="D1475">
        <v>0</v>
      </c>
    </row>
    <row r="1476" spans="1:9" hidden="1" x14ac:dyDescent="0.2">
      <c r="A1476" t="s">
        <v>587</v>
      </c>
      <c r="B1476" t="s">
        <v>827</v>
      </c>
      <c r="C1476" t="s">
        <v>581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 hidden="1" x14ac:dyDescent="0.2">
      <c r="A1477" t="s">
        <v>587</v>
      </c>
      <c r="B1477" t="s">
        <v>821</v>
      </c>
      <c r="C1477" t="s">
        <v>581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 hidden="1" x14ac:dyDescent="0.2">
      <c r="A1478" t="s">
        <v>587</v>
      </c>
      <c r="B1478" t="s">
        <v>832</v>
      </c>
      <c r="C1478" t="s">
        <v>581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 hidden="1" x14ac:dyDescent="0.2">
      <c r="A1479" t="s">
        <v>588</v>
      </c>
      <c r="B1479" t="s">
        <v>828</v>
      </c>
      <c r="C1479" t="s">
        <v>316</v>
      </c>
      <c r="D1479">
        <v>9.9287481339999997E-3</v>
      </c>
      <c r="E1479">
        <v>0.14461501030000001</v>
      </c>
      <c r="F1479">
        <v>1.8856571700000001E-2</v>
      </c>
      <c r="G1479">
        <v>4.1499796439999997E-4</v>
      </c>
      <c r="H1479">
        <v>1.255586994E-4</v>
      </c>
      <c r="I1479">
        <v>2.589483201E-2</v>
      </c>
    </row>
    <row r="1480" spans="1:9" hidden="1" x14ac:dyDescent="0.2">
      <c r="A1480" t="s">
        <v>588</v>
      </c>
      <c r="B1480" t="s">
        <v>833</v>
      </c>
      <c r="C1480" t="s">
        <v>316</v>
      </c>
      <c r="D1480">
        <v>-8.9358769610000006E-3</v>
      </c>
      <c r="E1480">
        <v>-0.1301535352</v>
      </c>
      <c r="F1480">
        <v>-1.6970918809999999E-2</v>
      </c>
      <c r="G1480">
        <v>-3.7349816830000002E-4</v>
      </c>
      <c r="H1480">
        <v>-1.130028383E-4</v>
      </c>
      <c r="I1480">
        <v>-2.330535668E-2</v>
      </c>
    </row>
    <row r="1481" spans="1:9" hidden="1" x14ac:dyDescent="0.2">
      <c r="A1481" t="s">
        <v>589</v>
      </c>
      <c r="B1481" t="s">
        <v>828</v>
      </c>
      <c r="C1481" t="s">
        <v>316</v>
      </c>
      <c r="D1481">
        <v>46.73839332</v>
      </c>
      <c r="E1481">
        <v>1.560740432</v>
      </c>
      <c r="F1481">
        <v>6.2975763120000003</v>
      </c>
      <c r="G1481">
        <v>4.325098605</v>
      </c>
      <c r="H1481">
        <v>2.399033229</v>
      </c>
      <c r="I1481">
        <v>2.444965646</v>
      </c>
    </row>
    <row r="1482" spans="1:9" hidden="1" x14ac:dyDescent="0.2">
      <c r="A1482" t="s">
        <v>589</v>
      </c>
      <c r="B1482" t="s">
        <v>821</v>
      </c>
      <c r="C1482" t="s">
        <v>316</v>
      </c>
      <c r="D1482">
        <v>-16.693565060000001</v>
      </c>
      <c r="E1482">
        <v>-0.55993748929999998</v>
      </c>
      <c r="F1482">
        <v>-2.2626819669999998</v>
      </c>
      <c r="G1482">
        <v>-1.2380345699999999</v>
      </c>
      <c r="H1482">
        <v>-0.67958162349999995</v>
      </c>
      <c r="I1482">
        <v>-0.68458996029999997</v>
      </c>
    </row>
    <row r="1483" spans="1:9" hidden="1" x14ac:dyDescent="0.2">
      <c r="A1483" t="s">
        <v>589</v>
      </c>
      <c r="B1483" t="s">
        <v>825</v>
      </c>
      <c r="C1483" t="s">
        <v>316</v>
      </c>
      <c r="D1483">
        <v>-20.617492980000002</v>
      </c>
      <c r="E1483">
        <v>-0.68849823050000003</v>
      </c>
      <c r="F1483">
        <v>-2.7779358360000002</v>
      </c>
      <c r="G1483">
        <v>-2.3947436459999998</v>
      </c>
      <c r="H1483">
        <v>-1.392591001</v>
      </c>
      <c r="I1483">
        <v>-1.491429313</v>
      </c>
    </row>
    <row r="1484" spans="1:9" hidden="1" x14ac:dyDescent="0.2">
      <c r="A1484" t="s">
        <v>590</v>
      </c>
      <c r="B1484" t="s">
        <v>848</v>
      </c>
      <c r="C1484" t="s">
        <v>316</v>
      </c>
      <c r="D1484">
        <v>0.1014192411</v>
      </c>
      <c r="E1484">
        <v>5.4756335019999998E-2</v>
      </c>
      <c r="F1484">
        <v>4.9127885089999997E-2</v>
      </c>
      <c r="G1484">
        <v>4.7859990419999998E-2</v>
      </c>
      <c r="H1484">
        <v>4.9149013509999999E-2</v>
      </c>
      <c r="I1484">
        <v>5.0437189850000001E-2</v>
      </c>
    </row>
    <row r="1485" spans="1:9" hidden="1" x14ac:dyDescent="0.2">
      <c r="A1485" t="s">
        <v>590</v>
      </c>
      <c r="B1485" t="s">
        <v>833</v>
      </c>
      <c r="C1485" t="s">
        <v>316</v>
      </c>
      <c r="D1485">
        <v>-1.044572029</v>
      </c>
      <c r="E1485">
        <v>-0.48206037950000002</v>
      </c>
      <c r="F1485">
        <v>-0.41484504929999999</v>
      </c>
      <c r="G1485">
        <v>-0.39879876710000001</v>
      </c>
      <c r="H1485">
        <v>-0.40953969829999998</v>
      </c>
      <c r="I1485">
        <v>-0.42027299779999999</v>
      </c>
    </row>
    <row r="1486" spans="1:9" hidden="1" x14ac:dyDescent="0.2">
      <c r="A1486" t="s">
        <v>590</v>
      </c>
      <c r="B1486" t="s">
        <v>844</v>
      </c>
      <c r="C1486" t="s">
        <v>316</v>
      </c>
      <c r="D1486">
        <v>1.1138815019999999</v>
      </c>
      <c r="E1486">
        <v>0.50609398589999999</v>
      </c>
      <c r="F1486">
        <v>0.43352100300000002</v>
      </c>
      <c r="G1486">
        <v>0.41611991669999998</v>
      </c>
      <c r="H1486">
        <v>0.42732736170000002</v>
      </c>
      <c r="I1486">
        <v>0.4385268403</v>
      </c>
    </row>
    <row r="1487" spans="1:9" hidden="1" x14ac:dyDescent="0.2">
      <c r="A1487" t="s">
        <v>591</v>
      </c>
      <c r="B1487" t="s">
        <v>817</v>
      </c>
      <c r="C1487" t="s">
        <v>316</v>
      </c>
      <c r="D1487">
        <v>-8.7561187079999996E-7</v>
      </c>
      <c r="E1487">
        <v>-6.3101677719999997E-4</v>
      </c>
      <c r="F1487">
        <v>-9.8005360410000002E-5</v>
      </c>
      <c r="G1487">
        <v>-0.137391491</v>
      </c>
      <c r="H1487">
        <v>-3.862899659</v>
      </c>
      <c r="I1487">
        <v>-3.0903160010000001</v>
      </c>
    </row>
    <row r="1488" spans="1:9" hidden="1" x14ac:dyDescent="0.2">
      <c r="A1488" t="s">
        <v>591</v>
      </c>
      <c r="B1488" t="s">
        <v>882</v>
      </c>
      <c r="C1488" t="s">
        <v>316</v>
      </c>
      <c r="D1488">
        <v>8.840886842E-7</v>
      </c>
      <c r="E1488">
        <v>6.3738806180000003E-4</v>
      </c>
      <c r="F1488">
        <v>9.8994881959999994E-5</v>
      </c>
      <c r="G1488">
        <v>0.13877928389999999</v>
      </c>
      <c r="H1488">
        <v>3.9019188470000001</v>
      </c>
      <c r="I1488">
        <v>3.1215313139999998</v>
      </c>
    </row>
    <row r="1489" spans="1:9" hidden="1" x14ac:dyDescent="0.2">
      <c r="A1489" t="s">
        <v>591</v>
      </c>
      <c r="B1489" t="s">
        <v>825</v>
      </c>
      <c r="C1489" t="s">
        <v>316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 spans="1:9" hidden="1" x14ac:dyDescent="0.2">
      <c r="A1490" t="s">
        <v>592</v>
      </c>
      <c r="B1490" t="s">
        <v>828</v>
      </c>
      <c r="C1490" t="s">
        <v>316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 spans="1:9" hidden="1" x14ac:dyDescent="0.2">
      <c r="A1491" t="s">
        <v>592</v>
      </c>
      <c r="B1491" t="s">
        <v>817</v>
      </c>
      <c r="C1491" t="s">
        <v>316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hidden="1" x14ac:dyDescent="0.2">
      <c r="A1492" t="s">
        <v>593</v>
      </c>
      <c r="B1492" t="s">
        <v>845</v>
      </c>
      <c r="C1492" t="s">
        <v>316</v>
      </c>
      <c r="D1492">
        <v>9.4334646630000004E-7</v>
      </c>
      <c r="E1492">
        <v>1.538114026E-4</v>
      </c>
      <c r="F1492">
        <v>4.6618927680000001E-4</v>
      </c>
      <c r="G1492">
        <v>3.784802727E-6</v>
      </c>
      <c r="H1492">
        <v>9.3283631120000005E-5</v>
      </c>
      <c r="I1492">
        <v>2.2987024060000001E-4</v>
      </c>
    </row>
    <row r="1493" spans="1:9" hidden="1" x14ac:dyDescent="0.2">
      <c r="A1493" t="s">
        <v>593</v>
      </c>
      <c r="B1493" t="s">
        <v>821</v>
      </c>
      <c r="C1493" t="s">
        <v>316</v>
      </c>
      <c r="D1493">
        <v>0</v>
      </c>
      <c r="E1493">
        <v>4.8661586599999996E-6</v>
      </c>
      <c r="F1493">
        <v>1.40271223E-5</v>
      </c>
      <c r="G1493">
        <v>1.13546814E-7</v>
      </c>
      <c r="H1493">
        <v>2.7985954679999998E-6</v>
      </c>
      <c r="I1493">
        <v>6.972462198E-6</v>
      </c>
    </row>
    <row r="1494" spans="1:9" hidden="1" x14ac:dyDescent="0.2">
      <c r="A1494" t="s">
        <v>593</v>
      </c>
      <c r="B1494" t="s">
        <v>833</v>
      </c>
      <c r="C1494" t="s">
        <v>316</v>
      </c>
      <c r="D1494">
        <v>-9.4334646630000004E-7</v>
      </c>
      <c r="E1494">
        <v>-1.538114026E-4</v>
      </c>
      <c r="F1494">
        <v>-4.6618927680000001E-4</v>
      </c>
      <c r="G1494">
        <v>-3.784802727E-6</v>
      </c>
      <c r="H1494">
        <v>-9.3283631120000005E-5</v>
      </c>
      <c r="I1494">
        <v>-2.2987024060000001E-4</v>
      </c>
    </row>
    <row r="1495" spans="1:9" hidden="1" x14ac:dyDescent="0.2">
      <c r="A1495" t="s">
        <v>594</v>
      </c>
      <c r="B1495" t="s">
        <v>821</v>
      </c>
      <c r="C1495" t="s">
        <v>316</v>
      </c>
      <c r="D1495">
        <v>24.899999619999999</v>
      </c>
      <c r="E1495">
        <v>39</v>
      </c>
      <c r="F1495">
        <v>37.700000760000002</v>
      </c>
      <c r="G1495">
        <v>38.799999239999998</v>
      </c>
      <c r="H1495">
        <v>38.299999239999998</v>
      </c>
      <c r="I1495">
        <v>38.200000760000002</v>
      </c>
    </row>
    <row r="1496" spans="1:9" hidden="1" x14ac:dyDescent="0.2">
      <c r="A1496" t="s">
        <v>595</v>
      </c>
      <c r="B1496" t="s">
        <v>833</v>
      </c>
      <c r="C1496" t="s">
        <v>316</v>
      </c>
      <c r="D1496">
        <v>16.490000169999998</v>
      </c>
      <c r="E1496">
        <v>13.260000140000001</v>
      </c>
      <c r="F1496">
        <v>12.81800039</v>
      </c>
      <c r="G1496">
        <v>13.191999879999999</v>
      </c>
      <c r="H1496">
        <v>13.021999879999999</v>
      </c>
      <c r="I1496">
        <v>12.988000400000001</v>
      </c>
    </row>
    <row r="1497" spans="1:9" hidden="1" x14ac:dyDescent="0.2">
      <c r="A1497" t="s">
        <v>595</v>
      </c>
      <c r="B1497" t="s">
        <v>832</v>
      </c>
      <c r="C1497" t="s">
        <v>316</v>
      </c>
      <c r="D1497">
        <v>4.3650001730000003</v>
      </c>
      <c r="E1497">
        <v>3.5100001390000002</v>
      </c>
      <c r="F1497">
        <v>3.3930002030000002</v>
      </c>
      <c r="G1497">
        <v>3.49200007</v>
      </c>
      <c r="H1497">
        <v>3.4470000679999999</v>
      </c>
      <c r="I1497">
        <v>3.4380002049999998</v>
      </c>
    </row>
    <row r="1498" spans="1:9" hidden="1" x14ac:dyDescent="0.2">
      <c r="A1498" t="s">
        <v>595</v>
      </c>
      <c r="B1498" t="s">
        <v>825</v>
      </c>
      <c r="C1498" t="s">
        <v>316</v>
      </c>
      <c r="D1498">
        <v>27.160000119999999</v>
      </c>
      <c r="E1498">
        <v>21.84000009</v>
      </c>
      <c r="F1498">
        <v>21.112000519999999</v>
      </c>
      <c r="G1498">
        <v>21.727999669999999</v>
      </c>
      <c r="H1498">
        <v>21.447999660000001</v>
      </c>
      <c r="I1498">
        <v>21.39200052</v>
      </c>
    </row>
    <row r="1499" spans="1:9" hidden="1" x14ac:dyDescent="0.2">
      <c r="A1499" t="s">
        <v>596</v>
      </c>
      <c r="B1499" t="s">
        <v>821</v>
      </c>
      <c r="C1499" t="s">
        <v>316</v>
      </c>
      <c r="D1499">
        <v>4.3613113120000002E-11</v>
      </c>
      <c r="E1499">
        <v>-7.1054273580000001E-14</v>
      </c>
      <c r="F1499">
        <v>1.2789769239999999E-13</v>
      </c>
      <c r="G1499">
        <v>-7.1054273580000001E-14</v>
      </c>
      <c r="H1499">
        <v>0</v>
      </c>
      <c r="I1499">
        <v>0</v>
      </c>
    </row>
    <row r="1500" spans="1:9" hidden="1" x14ac:dyDescent="0.2">
      <c r="A1500" t="s">
        <v>597</v>
      </c>
      <c r="B1500" t="s">
        <v>825</v>
      </c>
      <c r="C1500" t="s">
        <v>316</v>
      </c>
      <c r="D1500">
        <v>1.035797226E-9</v>
      </c>
      <c r="E1500">
        <v>-2.131628207E-14</v>
      </c>
      <c r="F1500">
        <v>3.5527136790000001E-14</v>
      </c>
      <c r="G1500">
        <v>-3.5527136789999999E-15</v>
      </c>
      <c r="H1500">
        <v>0</v>
      </c>
      <c r="I1500">
        <v>0</v>
      </c>
    </row>
    <row r="1501" spans="1:9" hidden="1" x14ac:dyDescent="0.2">
      <c r="A1501" t="s">
        <v>598</v>
      </c>
      <c r="B1501" t="s">
        <v>821</v>
      </c>
      <c r="C1501" t="s">
        <v>316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 hidden="1" x14ac:dyDescent="0.2">
      <c r="A1502" t="s">
        <v>598</v>
      </c>
      <c r="B1502" t="s">
        <v>833</v>
      </c>
      <c r="C1502" t="s">
        <v>316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 spans="1:9" hidden="1" x14ac:dyDescent="0.2">
      <c r="A1503" t="s">
        <v>599</v>
      </c>
      <c r="B1503" t="s">
        <v>821</v>
      </c>
      <c r="C1503" t="s">
        <v>316</v>
      </c>
      <c r="D1503">
        <v>1.0158204609999999</v>
      </c>
      <c r="E1503">
        <v>1.3698045459999999</v>
      </c>
      <c r="F1503">
        <v>0.40228804299999998</v>
      </c>
      <c r="G1503">
        <v>0.7226234547</v>
      </c>
      <c r="H1503">
        <v>1.896379144</v>
      </c>
      <c r="I1503">
        <v>1.652515551</v>
      </c>
    </row>
    <row r="1504" spans="1:9" hidden="1" x14ac:dyDescent="0.2">
      <c r="A1504" t="s">
        <v>599</v>
      </c>
      <c r="B1504" t="s">
        <v>830</v>
      </c>
      <c r="C1504" t="s">
        <v>316</v>
      </c>
      <c r="D1504">
        <v>2.539551141</v>
      </c>
      <c r="E1504">
        <v>3.4245262869999999</v>
      </c>
      <c r="F1504">
        <v>1.005722593</v>
      </c>
      <c r="G1504">
        <v>1.8065586339999999</v>
      </c>
      <c r="H1504">
        <v>4.7409478580000002</v>
      </c>
      <c r="I1504">
        <v>4.1312934549999998</v>
      </c>
    </row>
    <row r="1505" spans="1:9" hidden="1" x14ac:dyDescent="0.2">
      <c r="A1505" t="s">
        <v>599</v>
      </c>
      <c r="B1505" t="s">
        <v>825</v>
      </c>
      <c r="C1505" t="s">
        <v>316</v>
      </c>
      <c r="D1505">
        <v>-3.555371584</v>
      </c>
      <c r="E1505">
        <v>-4.794315256</v>
      </c>
      <c r="F1505">
        <v>-1.4080080420000001</v>
      </c>
      <c r="G1505">
        <v>-2.5291820889999999</v>
      </c>
      <c r="H1505">
        <v>-6.6373269969999997</v>
      </c>
      <c r="I1505">
        <v>-5.7838042270000001</v>
      </c>
    </row>
    <row r="1506" spans="1:9" hidden="1" x14ac:dyDescent="0.2">
      <c r="A1506" t="s">
        <v>600</v>
      </c>
      <c r="B1506" t="s">
        <v>820</v>
      </c>
      <c r="C1506" t="s">
        <v>316</v>
      </c>
      <c r="D1506">
        <v>4.3668752900000003</v>
      </c>
      <c r="E1506">
        <v>3.8081144869999998E-3</v>
      </c>
      <c r="F1506">
        <v>13.23316767</v>
      </c>
      <c r="G1506">
        <v>13.50801319</v>
      </c>
      <c r="H1506">
        <v>13.16630662</v>
      </c>
      <c r="I1506">
        <v>5.4859100699999999E-5</v>
      </c>
    </row>
    <row r="1507" spans="1:9" hidden="1" x14ac:dyDescent="0.2">
      <c r="A1507" t="s">
        <v>600</v>
      </c>
      <c r="B1507" t="s">
        <v>833</v>
      </c>
      <c r="C1507" t="s">
        <v>316</v>
      </c>
      <c r="D1507">
        <v>-3.885120369</v>
      </c>
      <c r="E1507">
        <v>-3.3880308519999998E-3</v>
      </c>
      <c r="F1507">
        <v>-11.773280850000001</v>
      </c>
      <c r="G1507">
        <v>-12.01780533</v>
      </c>
      <c r="H1507">
        <v>-11.71379593</v>
      </c>
      <c r="I1507">
        <v>-4.8815713109999998E-5</v>
      </c>
    </row>
    <row r="1508" spans="1:9" hidden="1" x14ac:dyDescent="0.2">
      <c r="A1508" t="s">
        <v>601</v>
      </c>
      <c r="B1508" t="s">
        <v>828</v>
      </c>
      <c r="C1508" t="s">
        <v>316</v>
      </c>
      <c r="D1508">
        <v>12.83356521</v>
      </c>
      <c r="E1508">
        <v>14.047560089999999</v>
      </c>
      <c r="F1508">
        <v>0.68023560100000002</v>
      </c>
      <c r="G1508">
        <v>0.8610438628</v>
      </c>
      <c r="H1508">
        <v>0.99812374260000003</v>
      </c>
      <c r="I1508">
        <v>13.935304220000001</v>
      </c>
    </row>
    <row r="1509" spans="1:9" hidden="1" x14ac:dyDescent="0.2">
      <c r="A1509" t="s">
        <v>601</v>
      </c>
      <c r="B1509" t="s">
        <v>833</v>
      </c>
      <c r="C1509" t="s">
        <v>316</v>
      </c>
      <c r="D1509">
        <v>-11.551363820000001</v>
      </c>
      <c r="E1509">
        <v>-12.644068519999999</v>
      </c>
      <c r="F1509">
        <v>-0.61227327249999997</v>
      </c>
      <c r="G1509">
        <v>-0.77501697820000004</v>
      </c>
      <c r="H1509">
        <v>-0.89840120850000005</v>
      </c>
      <c r="I1509">
        <v>-12.54302811</v>
      </c>
    </row>
    <row r="1510" spans="1:9" hidden="1" x14ac:dyDescent="0.2">
      <c r="A1510" t="s">
        <v>602</v>
      </c>
      <c r="B1510" t="s">
        <v>833</v>
      </c>
      <c r="C1510" t="s">
        <v>316</v>
      </c>
      <c r="D1510">
        <v>-2.2064763980000001E-6</v>
      </c>
      <c r="E1510">
        <v>-3.3356494400000002E-5</v>
      </c>
      <c r="F1510">
        <v>-1.9109535439999999E-5</v>
      </c>
      <c r="G1510">
        <v>-1.982320188E-7</v>
      </c>
      <c r="H1510">
        <v>-5.5576375460000004E-6</v>
      </c>
      <c r="I1510">
        <v>-3.0563173439999998E-5</v>
      </c>
    </row>
    <row r="1511" spans="1:9" hidden="1" x14ac:dyDescent="0.2">
      <c r="A1511" t="s">
        <v>602</v>
      </c>
      <c r="B1511" t="s">
        <v>824</v>
      </c>
      <c r="C1511" t="s">
        <v>316</v>
      </c>
      <c r="D1511">
        <v>2.4451839940000001E-6</v>
      </c>
      <c r="E1511">
        <v>3.6997152260000003E-5</v>
      </c>
      <c r="F1511">
        <v>2.1206884499999999E-5</v>
      </c>
      <c r="G1511">
        <v>2.2003723099999999E-7</v>
      </c>
      <c r="H1511">
        <v>6.1689678629999997E-6</v>
      </c>
      <c r="I1511">
        <v>3.39164637E-5</v>
      </c>
    </row>
    <row r="1512" spans="1:9" hidden="1" x14ac:dyDescent="0.2">
      <c r="A1512" t="s">
        <v>603</v>
      </c>
      <c r="B1512" t="s">
        <v>882</v>
      </c>
      <c r="C1512" t="s">
        <v>316</v>
      </c>
      <c r="D1512">
        <v>3.1999984370000001</v>
      </c>
      <c r="E1512">
        <v>17.699017749999999</v>
      </c>
      <c r="F1512">
        <v>17.699809080000001</v>
      </c>
      <c r="G1512">
        <v>17.561215520000001</v>
      </c>
      <c r="H1512">
        <v>13.798050290000001</v>
      </c>
      <c r="I1512">
        <v>14.5784004</v>
      </c>
    </row>
    <row r="1513" spans="1:9" hidden="1" x14ac:dyDescent="0.2">
      <c r="A1513" t="s">
        <v>603</v>
      </c>
      <c r="B1513" t="s">
        <v>821</v>
      </c>
      <c r="C1513" t="s">
        <v>316</v>
      </c>
      <c r="D1513">
        <v>6.3935977150000003E-2</v>
      </c>
      <c r="E1513">
        <v>0.35362662890000002</v>
      </c>
      <c r="F1513">
        <v>0.3536422273</v>
      </c>
      <c r="G1513">
        <v>0.35087308610000001</v>
      </c>
      <c r="H1513">
        <v>0.27568504490000001</v>
      </c>
      <c r="I1513">
        <v>0.29127651729999998</v>
      </c>
    </row>
    <row r="1514" spans="1:9" hidden="1" x14ac:dyDescent="0.2">
      <c r="A1514" t="s">
        <v>603</v>
      </c>
      <c r="B1514" t="s">
        <v>825</v>
      </c>
      <c r="C1514" t="s">
        <v>316</v>
      </c>
      <c r="D1514">
        <v>-2.8799985970000002</v>
      </c>
      <c r="E1514">
        <v>-15.929116</v>
      </c>
      <c r="F1514">
        <v>-15.929828179999999</v>
      </c>
      <c r="G1514">
        <v>-15.80509397</v>
      </c>
      <c r="H1514">
        <v>-12.418245260000001</v>
      </c>
      <c r="I1514">
        <v>-13.12056037</v>
      </c>
    </row>
    <row r="1515" spans="1:9" hidden="1" x14ac:dyDescent="0.2">
      <c r="A1515" t="s">
        <v>604</v>
      </c>
      <c r="B1515" t="s">
        <v>821</v>
      </c>
      <c r="C1515" t="s">
        <v>3</v>
      </c>
      <c r="D1515">
        <v>2.0543256030000001</v>
      </c>
      <c r="E1515">
        <v>1.9233779740000001</v>
      </c>
      <c r="F1515">
        <v>1.844814451</v>
      </c>
      <c r="G1515">
        <v>1.773513787</v>
      </c>
      <c r="H1515">
        <v>1.6848822450000001</v>
      </c>
      <c r="I1515">
        <v>1.5765345239999999</v>
      </c>
    </row>
    <row r="1516" spans="1:9" hidden="1" x14ac:dyDescent="0.2">
      <c r="A1516" t="s">
        <v>604</v>
      </c>
      <c r="B1516" t="s">
        <v>833</v>
      </c>
      <c r="C1516" t="s">
        <v>3</v>
      </c>
      <c r="D1516">
        <v>12.6420037</v>
      </c>
      <c r="E1516">
        <v>11.83617081</v>
      </c>
      <c r="F1516">
        <v>11.35270409</v>
      </c>
      <c r="G1516">
        <v>10.913930990000001</v>
      </c>
      <c r="H1516">
        <v>10.368506119999999</v>
      </c>
      <c r="I1516">
        <v>9.7017505120000003</v>
      </c>
    </row>
    <row r="1517" spans="1:9" hidden="1" x14ac:dyDescent="0.2">
      <c r="A1517" t="s">
        <v>605</v>
      </c>
      <c r="B1517" t="s">
        <v>821</v>
      </c>
      <c r="C1517" t="s">
        <v>3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 spans="1:9" hidden="1" x14ac:dyDescent="0.2">
      <c r="A1518" t="s">
        <v>605</v>
      </c>
      <c r="B1518" t="s">
        <v>833</v>
      </c>
      <c r="C1518" t="s">
        <v>3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 spans="1:9" hidden="1" x14ac:dyDescent="0.2">
      <c r="A1519" t="s">
        <v>606</v>
      </c>
      <c r="B1519" t="s">
        <v>828</v>
      </c>
      <c r="C1519" t="s">
        <v>3</v>
      </c>
      <c r="D1519">
        <v>14.04525269</v>
      </c>
      <c r="E1519">
        <v>13.14980194</v>
      </c>
      <c r="F1519">
        <v>7.6929466939999998</v>
      </c>
      <c r="G1519">
        <v>12.12537551</v>
      </c>
      <c r="H1519">
        <v>4.4821456169999996</v>
      </c>
      <c r="I1519">
        <v>4.409180707</v>
      </c>
    </row>
    <row r="1520" spans="1:9" hidden="1" x14ac:dyDescent="0.2">
      <c r="A1520" t="s">
        <v>606</v>
      </c>
      <c r="B1520" t="s">
        <v>833</v>
      </c>
      <c r="C1520" t="s">
        <v>3</v>
      </c>
      <c r="D1520">
        <v>-12.64199163</v>
      </c>
      <c r="E1520">
        <v>-11.836005370000001</v>
      </c>
      <c r="F1520">
        <v>-6.9243444639999998</v>
      </c>
      <c r="G1520">
        <v>-10.91392935</v>
      </c>
      <c r="H1520">
        <v>-4.0343344889999999</v>
      </c>
      <c r="I1520">
        <v>-3.9686595100000002</v>
      </c>
    </row>
    <row r="1521" spans="1:9" hidden="1" x14ac:dyDescent="0.2">
      <c r="A1521" t="s">
        <v>607</v>
      </c>
      <c r="B1521" t="s">
        <v>833</v>
      </c>
      <c r="C1521" t="s">
        <v>3</v>
      </c>
      <c r="D1521">
        <v>-1.210337811E-5</v>
      </c>
      <c r="E1521">
        <v>-1.0768248939999999E-4</v>
      </c>
      <c r="F1521">
        <v>-7.7332314829999999E-5</v>
      </c>
      <c r="G1521">
        <v>-8.6579401630000005E-7</v>
      </c>
      <c r="H1521">
        <v>-2.566615354E-5</v>
      </c>
      <c r="I1521">
        <v>-8.5987883969999997E-5</v>
      </c>
    </row>
    <row r="1522" spans="1:9" hidden="1" x14ac:dyDescent="0.2">
      <c r="A1522" t="s">
        <v>607</v>
      </c>
      <c r="B1522" t="s">
        <v>824</v>
      </c>
      <c r="C1522" t="s">
        <v>3</v>
      </c>
      <c r="D1522">
        <v>1.343229913E-5</v>
      </c>
      <c r="E1522">
        <v>1.194990067E-4</v>
      </c>
      <c r="F1522">
        <v>8.5834169630000007E-5</v>
      </c>
      <c r="G1522">
        <v>9.6103104829999997E-7</v>
      </c>
      <c r="H1522">
        <v>2.8489420619999999E-5</v>
      </c>
      <c r="I1522">
        <v>9.5437892399999994E-5</v>
      </c>
    </row>
    <row r="1523" spans="1:9" hidden="1" x14ac:dyDescent="0.2">
      <c r="A1523" t="s">
        <v>608</v>
      </c>
      <c r="B1523" t="s">
        <v>821</v>
      </c>
      <c r="C1523" t="s">
        <v>3</v>
      </c>
      <c r="D1523">
        <v>0</v>
      </c>
      <c r="E1523">
        <v>5.8852343880000001E-5</v>
      </c>
      <c r="F1523">
        <v>4.4725652020000002</v>
      </c>
      <c r="G1523">
        <v>7.8628270130000004E-7</v>
      </c>
      <c r="H1523">
        <v>6.39748743</v>
      </c>
      <c r="I1523">
        <v>5.7903352220000004</v>
      </c>
    </row>
    <row r="1524" spans="1:9" hidden="1" x14ac:dyDescent="0.2">
      <c r="A1524" t="s">
        <v>608</v>
      </c>
      <c r="B1524" t="s">
        <v>833</v>
      </c>
      <c r="C1524" t="s">
        <v>3</v>
      </c>
      <c r="D1524">
        <v>0</v>
      </c>
      <c r="E1524">
        <v>-5.8272217749999998E-5</v>
      </c>
      <c r="F1524">
        <v>-4.4282823789999997</v>
      </c>
      <c r="G1524">
        <v>-7.7849775200000004E-7</v>
      </c>
      <c r="H1524">
        <v>-6.3341459699999998</v>
      </c>
      <c r="I1524">
        <v>-5.7330051710000003</v>
      </c>
    </row>
    <row r="1525" spans="1:9" hidden="1" x14ac:dyDescent="0.2">
      <c r="A1525" t="s">
        <v>609</v>
      </c>
      <c r="B1525" t="s">
        <v>833</v>
      </c>
      <c r="C1525" t="s">
        <v>3</v>
      </c>
      <c r="D1525">
        <v>1.426567309E-9</v>
      </c>
      <c r="E1525">
        <v>0</v>
      </c>
      <c r="F1525">
        <v>3.5527136789999999E-15</v>
      </c>
      <c r="G1525">
        <v>0</v>
      </c>
      <c r="H1525">
        <v>1.776356839E-15</v>
      </c>
      <c r="I1525">
        <v>0</v>
      </c>
    </row>
    <row r="1526" spans="1:9" hidden="1" x14ac:dyDescent="0.2">
      <c r="A1526" t="s">
        <v>610</v>
      </c>
      <c r="B1526" t="s">
        <v>821</v>
      </c>
      <c r="C1526" t="s">
        <v>3</v>
      </c>
      <c r="D1526">
        <v>9.0564630780000002</v>
      </c>
      <c r="E1526">
        <v>8.4791778729999994</v>
      </c>
      <c r="F1526">
        <v>8.1328369110000001</v>
      </c>
      <c r="G1526">
        <v>7.8185082570000004</v>
      </c>
      <c r="H1526">
        <v>7.4277749909999997</v>
      </c>
      <c r="I1526">
        <v>6.9501317120000001</v>
      </c>
    </row>
    <row r="1527" spans="1:9" hidden="1" x14ac:dyDescent="0.2">
      <c r="A1527" t="s">
        <v>610</v>
      </c>
      <c r="B1527" t="s">
        <v>833</v>
      </c>
      <c r="C1527" t="s">
        <v>3</v>
      </c>
      <c r="D1527">
        <v>2.0797953150000001</v>
      </c>
      <c r="E1527">
        <v>1.9472233080000001</v>
      </c>
      <c r="F1527">
        <v>1.86768676</v>
      </c>
      <c r="G1527">
        <v>1.7955018970000001</v>
      </c>
      <c r="H1527">
        <v>1.7057709270000001</v>
      </c>
      <c r="I1527">
        <v>1.5960813410000001</v>
      </c>
    </row>
    <row r="1528" spans="1:9" hidden="1" x14ac:dyDescent="0.2">
      <c r="A1528" t="s">
        <v>610</v>
      </c>
      <c r="B1528" t="s">
        <v>824</v>
      </c>
      <c r="C1528" t="s">
        <v>3</v>
      </c>
      <c r="D1528">
        <v>-4.1595905770000003</v>
      </c>
      <c r="E1528">
        <v>-3.8944463570000001</v>
      </c>
      <c r="F1528">
        <v>-3.7353734759999999</v>
      </c>
      <c r="G1528">
        <v>-3.591003792</v>
      </c>
      <c r="H1528">
        <v>-3.4115418540000002</v>
      </c>
      <c r="I1528">
        <v>-3.192162604</v>
      </c>
    </row>
    <row r="1529" spans="1:9" hidden="1" x14ac:dyDescent="0.2">
      <c r="A1529" t="s">
        <v>611</v>
      </c>
      <c r="B1529" t="s">
        <v>821</v>
      </c>
      <c r="C1529" t="s">
        <v>3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 spans="1:9" hidden="1" x14ac:dyDescent="0.2">
      <c r="A1530" t="s">
        <v>611</v>
      </c>
      <c r="B1530" t="s">
        <v>833</v>
      </c>
      <c r="C1530" t="s">
        <v>3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 hidden="1" x14ac:dyDescent="0.2">
      <c r="A1531" t="s">
        <v>611</v>
      </c>
      <c r="B1531" t="s">
        <v>824</v>
      </c>
      <c r="C1531" t="s">
        <v>3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 spans="1:9" hidden="1" x14ac:dyDescent="0.2">
      <c r="A1532" t="s">
        <v>612</v>
      </c>
      <c r="B1532" t="s">
        <v>828</v>
      </c>
      <c r="C1532" t="s">
        <v>3</v>
      </c>
      <c r="D1532">
        <v>1.5951323640000001E-6</v>
      </c>
      <c r="E1532">
        <v>0.42650764600000002</v>
      </c>
      <c r="F1532">
        <v>0.74178126879999995</v>
      </c>
      <c r="G1532">
        <v>6.1741169440000004E-6</v>
      </c>
      <c r="H1532">
        <v>0.47358860149999998</v>
      </c>
      <c r="I1532">
        <v>1.6455659609999999E-2</v>
      </c>
    </row>
    <row r="1533" spans="1:9" hidden="1" x14ac:dyDescent="0.2">
      <c r="A1533" t="s">
        <v>612</v>
      </c>
      <c r="B1533" t="s">
        <v>833</v>
      </c>
      <c r="C1533" t="s">
        <v>3</v>
      </c>
      <c r="D1533">
        <v>-1.439400161E-6</v>
      </c>
      <c r="E1533">
        <v>-0.38389529680000001</v>
      </c>
      <c r="F1533">
        <v>-0.66766991320000002</v>
      </c>
      <c r="G1533">
        <v>-5.5572612569999997E-6</v>
      </c>
      <c r="H1533">
        <v>-0.42627236860000001</v>
      </c>
      <c r="I1533">
        <v>-1.481158267E-2</v>
      </c>
    </row>
    <row r="1534" spans="1:9" hidden="1" x14ac:dyDescent="0.2">
      <c r="A1534" t="s">
        <v>613</v>
      </c>
      <c r="B1534" t="s">
        <v>821</v>
      </c>
      <c r="C1534" t="s">
        <v>3</v>
      </c>
      <c r="D1534">
        <v>0</v>
      </c>
      <c r="E1534">
        <v>1.5587630269999999</v>
      </c>
      <c r="F1534">
        <v>0.50000988710000005</v>
      </c>
      <c r="G1534">
        <v>2.2794841109999998E-2</v>
      </c>
      <c r="H1534">
        <v>0.83160634899999997</v>
      </c>
      <c r="I1534">
        <v>1.596478563</v>
      </c>
    </row>
    <row r="1535" spans="1:9" hidden="1" x14ac:dyDescent="0.2">
      <c r="A1535" t="s">
        <v>613</v>
      </c>
      <c r="B1535" t="s">
        <v>833</v>
      </c>
      <c r="C1535" t="s">
        <v>3</v>
      </c>
      <c r="D1535">
        <v>0</v>
      </c>
      <c r="E1535">
        <v>-1.5433297319999999</v>
      </c>
      <c r="F1535">
        <v>-0.49505929450000002</v>
      </c>
      <c r="G1535">
        <v>-2.2569149609999999E-2</v>
      </c>
      <c r="H1535">
        <v>-0.8233726227</v>
      </c>
      <c r="I1535">
        <v>-1.5806718449999999</v>
      </c>
    </row>
    <row r="1536" spans="1:9" hidden="1" x14ac:dyDescent="0.2">
      <c r="A1536" t="s">
        <v>614</v>
      </c>
      <c r="B1536" t="s">
        <v>820</v>
      </c>
      <c r="C1536" t="s">
        <v>3</v>
      </c>
      <c r="D1536">
        <v>2.3376880760000001</v>
      </c>
      <c r="E1536">
        <v>2.2233609509999998E-2</v>
      </c>
      <c r="F1536">
        <v>0.7919638725</v>
      </c>
      <c r="G1536">
        <v>1.9927663980000001</v>
      </c>
      <c r="H1536">
        <v>0.51259678399999997</v>
      </c>
      <c r="I1536">
        <v>5.8856431640000003E-4</v>
      </c>
    </row>
    <row r="1537" spans="1:9" hidden="1" x14ac:dyDescent="0.2">
      <c r="A1537" t="s">
        <v>614</v>
      </c>
      <c r="B1537" t="s">
        <v>833</v>
      </c>
      <c r="C1537" t="s">
        <v>3</v>
      </c>
      <c r="D1537">
        <v>-2.079793666</v>
      </c>
      <c r="E1537">
        <v>-1.9780820019999999E-2</v>
      </c>
      <c r="F1537">
        <v>-0.70459419729999995</v>
      </c>
      <c r="G1537">
        <v>-1.772923842</v>
      </c>
      <c r="H1537">
        <v>-0.45604696090000002</v>
      </c>
      <c r="I1537">
        <v>-5.2364241740000003E-4</v>
      </c>
    </row>
    <row r="1538" spans="1:9" hidden="1" x14ac:dyDescent="0.2">
      <c r="A1538" t="s">
        <v>615</v>
      </c>
      <c r="B1538" t="s">
        <v>845</v>
      </c>
      <c r="C1538" t="s">
        <v>3</v>
      </c>
      <c r="D1538">
        <v>2.8261282399999999E-7</v>
      </c>
      <c r="E1538">
        <v>2.182376411E-4</v>
      </c>
      <c r="F1538">
        <v>3.6348303419999999E-4</v>
      </c>
      <c r="G1538">
        <v>3.348167453E-6</v>
      </c>
      <c r="H1538">
        <v>7.8975293949999997E-5</v>
      </c>
      <c r="I1538">
        <v>7.4507139159999994E-5</v>
      </c>
    </row>
    <row r="1539" spans="1:9" hidden="1" x14ac:dyDescent="0.2">
      <c r="A1539" t="s">
        <v>615</v>
      </c>
      <c r="B1539" t="s">
        <v>821</v>
      </c>
      <c r="C1539" t="s">
        <v>3</v>
      </c>
      <c r="D1539">
        <v>0</v>
      </c>
      <c r="E1539">
        <v>6.7989458159999996E-6</v>
      </c>
      <c r="F1539">
        <v>1.094593502E-5</v>
      </c>
      <c r="G1539">
        <v>1.004477558E-7</v>
      </c>
      <c r="H1539">
        <v>2.369345353E-6</v>
      </c>
      <c r="I1539">
        <v>2.3115691550000001E-6</v>
      </c>
    </row>
    <row r="1540" spans="1:9" hidden="1" x14ac:dyDescent="0.2">
      <c r="A1540" t="s">
        <v>615</v>
      </c>
      <c r="B1540" t="s">
        <v>833</v>
      </c>
      <c r="C1540" t="s">
        <v>3</v>
      </c>
      <c r="D1540">
        <v>-2.8261282399999999E-7</v>
      </c>
      <c r="E1540">
        <v>-2.182376411E-4</v>
      </c>
      <c r="F1540">
        <v>-3.6348303419999999E-4</v>
      </c>
      <c r="G1540">
        <v>-3.348167453E-6</v>
      </c>
      <c r="H1540">
        <v>-7.8975293949999997E-5</v>
      </c>
      <c r="I1540">
        <v>-7.4507139159999994E-5</v>
      </c>
    </row>
    <row r="1541" spans="1:9" hidden="1" x14ac:dyDescent="0.2">
      <c r="A1541" t="s">
        <v>616</v>
      </c>
      <c r="B1541" t="s">
        <v>846</v>
      </c>
      <c r="C1541" t="s">
        <v>199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 hidden="1" x14ac:dyDescent="0.2">
      <c r="A1542" t="s">
        <v>617</v>
      </c>
      <c r="B1542" t="s">
        <v>833</v>
      </c>
      <c r="C1542" t="s">
        <v>199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 hidden="1" x14ac:dyDescent="0.2">
      <c r="A1543" t="s">
        <v>618</v>
      </c>
      <c r="B1543" t="s">
        <v>832</v>
      </c>
      <c r="C1543" t="s">
        <v>199</v>
      </c>
      <c r="D1543">
        <v>4.6651571489999999E-13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 spans="1:9" hidden="1" x14ac:dyDescent="0.2">
      <c r="A1544" t="s">
        <v>619</v>
      </c>
      <c r="B1544" t="s">
        <v>834</v>
      </c>
      <c r="C1544" t="s">
        <v>199</v>
      </c>
      <c r="D1544">
        <v>1.9074875010000001E-10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 hidden="1" x14ac:dyDescent="0.2">
      <c r="A1545" t="s">
        <v>620</v>
      </c>
      <c r="B1545" t="s">
        <v>846</v>
      </c>
      <c r="C1545" t="s">
        <v>3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 spans="1:9" hidden="1" x14ac:dyDescent="0.2">
      <c r="A1546" t="s">
        <v>621</v>
      </c>
      <c r="B1546" t="s">
        <v>833</v>
      </c>
      <c r="C1546" t="s">
        <v>3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</row>
    <row r="1547" spans="1:9" hidden="1" x14ac:dyDescent="0.2">
      <c r="A1547" t="s">
        <v>622</v>
      </c>
      <c r="B1547" t="s">
        <v>832</v>
      </c>
      <c r="C1547" t="s">
        <v>3</v>
      </c>
      <c r="D1547">
        <v>4.6919090830000005E-10</v>
      </c>
      <c r="E1547">
        <v>0</v>
      </c>
      <c r="F1547">
        <v>0</v>
      </c>
      <c r="G1547">
        <v>0</v>
      </c>
      <c r="H1547">
        <v>0</v>
      </c>
      <c r="I1547">
        <v>-4.4408920989999998E-16</v>
      </c>
    </row>
    <row r="1548" spans="1:9" hidden="1" x14ac:dyDescent="0.2">
      <c r="A1548" t="s">
        <v>623</v>
      </c>
      <c r="B1548" t="s">
        <v>834</v>
      </c>
      <c r="C1548" t="s">
        <v>3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</row>
    <row r="1549" spans="1:9" hidden="1" x14ac:dyDescent="0.2">
      <c r="A1549" t="s">
        <v>624</v>
      </c>
      <c r="B1549" t="s">
        <v>833</v>
      </c>
      <c r="C1549" t="s">
        <v>3</v>
      </c>
      <c r="D1549">
        <v>-1.5653256469999999E-11</v>
      </c>
      <c r="E1549">
        <v>1.4077627950000001E-13</v>
      </c>
      <c r="F1549">
        <v>-4.4408920989999998E-16</v>
      </c>
      <c r="G1549">
        <v>0</v>
      </c>
      <c r="H1549">
        <v>0</v>
      </c>
      <c r="I1549">
        <v>2.220446049E-15</v>
      </c>
    </row>
    <row r="1550" spans="1:9" hidden="1" x14ac:dyDescent="0.2">
      <c r="A1550" t="s">
        <v>625</v>
      </c>
      <c r="B1550" t="s">
        <v>846</v>
      </c>
      <c r="C1550" t="s">
        <v>2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 spans="1:9" hidden="1" x14ac:dyDescent="0.2">
      <c r="A1551" t="s">
        <v>626</v>
      </c>
      <c r="B1551" t="s">
        <v>833</v>
      </c>
      <c r="C1551" t="s">
        <v>2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 spans="1:9" hidden="1" x14ac:dyDescent="0.2">
      <c r="A1552" t="s">
        <v>627</v>
      </c>
      <c r="B1552" t="s">
        <v>832</v>
      </c>
      <c r="C1552" t="s">
        <v>2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 spans="1:9" hidden="1" x14ac:dyDescent="0.2">
      <c r="A1553" t="s">
        <v>628</v>
      </c>
      <c r="B1553" t="s">
        <v>834</v>
      </c>
      <c r="C1553" t="s">
        <v>2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 spans="1:9" hidden="1" x14ac:dyDescent="0.2">
      <c r="A1554" t="s">
        <v>629</v>
      </c>
      <c r="B1554" t="s">
        <v>833</v>
      </c>
      <c r="C1554" t="s">
        <v>318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 spans="1:9" hidden="1" x14ac:dyDescent="0.2">
      <c r="A1555" t="s">
        <v>630</v>
      </c>
      <c r="B1555" t="s">
        <v>833</v>
      </c>
      <c r="C1555" t="s">
        <v>316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 spans="1:9" hidden="1" x14ac:dyDescent="0.2">
      <c r="A1556" t="s">
        <v>631</v>
      </c>
      <c r="B1556" t="s">
        <v>832</v>
      </c>
      <c r="C1556" t="s">
        <v>316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 spans="1:9" hidden="1" x14ac:dyDescent="0.2">
      <c r="A1557" t="s">
        <v>632</v>
      </c>
      <c r="B1557" t="s">
        <v>846</v>
      </c>
      <c r="C1557" t="s">
        <v>128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 spans="1:9" hidden="1" x14ac:dyDescent="0.2">
      <c r="A1558" t="s">
        <v>633</v>
      </c>
      <c r="B1558" t="s">
        <v>833</v>
      </c>
      <c r="C1558" t="s">
        <v>128</v>
      </c>
      <c r="D1558">
        <v>-5.6335158760000001E-11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 spans="1:9" hidden="1" x14ac:dyDescent="0.2">
      <c r="A1559" t="s">
        <v>634</v>
      </c>
      <c r="B1559" t="s">
        <v>832</v>
      </c>
      <c r="C1559" t="s">
        <v>128</v>
      </c>
      <c r="D1559">
        <v>-1.951181474E-7</v>
      </c>
      <c r="E1559">
        <v>2.7035698049999999E-6</v>
      </c>
      <c r="F1559">
        <v>4.4855120509999998E-7</v>
      </c>
      <c r="G1559">
        <v>3.1300828599999999E-10</v>
      </c>
      <c r="H1559">
        <v>1.317687293E-9</v>
      </c>
      <c r="I1559">
        <v>8.3515932660000004E-7</v>
      </c>
    </row>
    <row r="1560" spans="1:9" hidden="1" x14ac:dyDescent="0.2">
      <c r="A1560" t="s">
        <v>635</v>
      </c>
      <c r="B1560" t="s">
        <v>834</v>
      </c>
      <c r="C1560" t="s">
        <v>128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 spans="1:9" hidden="1" x14ac:dyDescent="0.2">
      <c r="A1561" t="s">
        <v>636</v>
      </c>
      <c r="B1561" t="s">
        <v>846</v>
      </c>
      <c r="C1561" t="s">
        <v>194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 hidden="1" x14ac:dyDescent="0.2">
      <c r="A1562" t="s">
        <v>637</v>
      </c>
      <c r="B1562" t="s">
        <v>833</v>
      </c>
      <c r="C1562" t="s">
        <v>194</v>
      </c>
      <c r="D1562">
        <v>3.7167957600000002E-10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 spans="1:9" hidden="1" x14ac:dyDescent="0.2">
      <c r="A1563" t="s">
        <v>638</v>
      </c>
      <c r="B1563" t="s">
        <v>832</v>
      </c>
      <c r="C1563" t="s">
        <v>194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 spans="1:9" hidden="1" x14ac:dyDescent="0.2">
      <c r="A1564" t="s">
        <v>639</v>
      </c>
      <c r="B1564" t="s">
        <v>821</v>
      </c>
      <c r="C1564" t="s">
        <v>316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 spans="1:9" hidden="1" x14ac:dyDescent="0.2">
      <c r="A1565" t="s">
        <v>639</v>
      </c>
      <c r="B1565" t="s">
        <v>832</v>
      </c>
      <c r="C1565" t="s">
        <v>316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 hidden="1" x14ac:dyDescent="0.2">
      <c r="A1566" t="s">
        <v>640</v>
      </c>
      <c r="B1566" t="s">
        <v>820</v>
      </c>
      <c r="C1566" t="s">
        <v>316</v>
      </c>
      <c r="D1566">
        <v>1.942435382</v>
      </c>
      <c r="E1566">
        <v>3.7306032690000001E-3</v>
      </c>
      <c r="F1566">
        <v>3.6360413239999998</v>
      </c>
      <c r="G1566">
        <v>3.7057995859999999</v>
      </c>
      <c r="H1566">
        <v>3.61803104</v>
      </c>
      <c r="I1566">
        <v>5.4675367249999997E-5</v>
      </c>
    </row>
    <row r="1567" spans="1:9" hidden="1" x14ac:dyDescent="0.2">
      <c r="A1567" t="s">
        <v>640</v>
      </c>
      <c r="B1567" t="s">
        <v>832</v>
      </c>
      <c r="C1567" t="s">
        <v>316</v>
      </c>
      <c r="D1567">
        <v>-1.7281453609999999</v>
      </c>
      <c r="E1567">
        <v>-3.3190706940000002E-3</v>
      </c>
      <c r="F1567">
        <v>-3.234912214</v>
      </c>
      <c r="G1567">
        <v>-3.2969747200000001</v>
      </c>
      <c r="H1567">
        <v>-3.2188888260000001</v>
      </c>
      <c r="I1567">
        <v>-4.8652249199999999E-5</v>
      </c>
    </row>
    <row r="1568" spans="1:9" hidden="1" x14ac:dyDescent="0.2">
      <c r="A1568" t="s">
        <v>641</v>
      </c>
      <c r="B1568" t="s">
        <v>828</v>
      </c>
      <c r="C1568" t="s">
        <v>316</v>
      </c>
      <c r="D1568">
        <v>2.9295435759999999</v>
      </c>
      <c r="E1568">
        <v>3.8958892020000002</v>
      </c>
      <c r="F1568">
        <v>0.17561518440000001</v>
      </c>
      <c r="G1568">
        <v>0.21667295119999999</v>
      </c>
      <c r="H1568">
        <v>0.25342552229999998</v>
      </c>
      <c r="I1568">
        <v>3.81953312</v>
      </c>
    </row>
    <row r="1569" spans="1:9" hidden="1" x14ac:dyDescent="0.2">
      <c r="A1569" t="s">
        <v>641</v>
      </c>
      <c r="B1569" t="s">
        <v>832</v>
      </c>
      <c r="C1569" t="s">
        <v>316</v>
      </c>
      <c r="D1569">
        <v>-2.6368529070000002</v>
      </c>
      <c r="E1569">
        <v>-3.5066509730000002</v>
      </c>
      <c r="F1569">
        <v>-0.1580694772</v>
      </c>
      <c r="G1569">
        <v>-0.1950251586</v>
      </c>
      <c r="H1569">
        <v>-0.2281057806</v>
      </c>
      <c r="I1569">
        <v>-3.4379236080000002</v>
      </c>
    </row>
    <row r="1570" spans="1:9" hidden="1" x14ac:dyDescent="0.2">
      <c r="A1570" t="s">
        <v>642</v>
      </c>
      <c r="B1570" t="s">
        <v>832</v>
      </c>
      <c r="C1570" t="s">
        <v>316</v>
      </c>
      <c r="D1570">
        <v>-2.0139304240000001E-6</v>
      </c>
      <c r="E1570">
        <v>-3.0874514150000003E-5</v>
      </c>
      <c r="F1570">
        <v>-1.8640204490000001E-5</v>
      </c>
      <c r="G1570">
        <v>-1.910205722E-7</v>
      </c>
      <c r="H1570">
        <v>-5.4624027789999996E-6</v>
      </c>
      <c r="I1570">
        <v>-2.8181052480000001E-5</v>
      </c>
    </row>
    <row r="1571" spans="1:9" hidden="1" x14ac:dyDescent="0.2">
      <c r="A1571" t="s">
        <v>642</v>
      </c>
      <c r="B1571" t="s">
        <v>824</v>
      </c>
      <c r="C1571" t="s">
        <v>316</v>
      </c>
      <c r="D1571">
        <v>2.2314579619999999E-6</v>
      </c>
      <c r="E1571">
        <v>3.424215418E-5</v>
      </c>
      <c r="F1571">
        <v>2.0685927149999999E-5</v>
      </c>
      <c r="G1571">
        <v>2.1203252530000001E-7</v>
      </c>
      <c r="H1571">
        <v>6.063257272E-6</v>
      </c>
      <c r="I1571">
        <v>3.1272309439999999E-5</v>
      </c>
    </row>
    <row r="1572" spans="1:9" hidden="1" x14ac:dyDescent="0.2">
      <c r="A1572" t="s">
        <v>643</v>
      </c>
      <c r="B1572" t="s">
        <v>821</v>
      </c>
      <c r="C1572" t="s">
        <v>2</v>
      </c>
      <c r="D1572">
        <v>2.8164440099999999E-5</v>
      </c>
      <c r="E1572">
        <v>1.8527216610000001E-5</v>
      </c>
      <c r="F1572">
        <v>1.923642769E-5</v>
      </c>
      <c r="G1572">
        <v>2.456525369E-7</v>
      </c>
      <c r="H1572">
        <v>7.3184067799999997E-6</v>
      </c>
      <c r="I1572">
        <v>1.837256433E-5</v>
      </c>
    </row>
    <row r="1573" spans="1:9" hidden="1" x14ac:dyDescent="0.2">
      <c r="A1573" t="s">
        <v>643</v>
      </c>
      <c r="B1573" t="s">
        <v>833</v>
      </c>
      <c r="C1573" t="s">
        <v>2</v>
      </c>
      <c r="D1573">
        <v>-8.4475116710000002E-5</v>
      </c>
      <c r="E1573">
        <v>-5.5062440439999998E-5</v>
      </c>
      <c r="F1573">
        <v>-5.7623831600000003E-5</v>
      </c>
      <c r="G1573">
        <v>-7.3695197810000004E-7</v>
      </c>
      <c r="H1573">
        <v>-2.1955041940000002E-5</v>
      </c>
      <c r="I1573">
        <v>-5.4960260079999999E-5</v>
      </c>
    </row>
    <row r="1574" spans="1:9" hidden="1" x14ac:dyDescent="0.2">
      <c r="A1574" t="s">
        <v>643</v>
      </c>
      <c r="B1574" t="s">
        <v>825</v>
      </c>
      <c r="C1574" t="s">
        <v>2</v>
      </c>
      <c r="D1574">
        <v>5.6328880289999999E-5</v>
      </c>
      <c r="E1574">
        <v>3.6794828549999999E-5</v>
      </c>
      <c r="F1574">
        <v>3.8430129670000001E-5</v>
      </c>
      <c r="G1574">
        <v>4.9130225790000003E-7</v>
      </c>
      <c r="H1574">
        <v>1.4636724369999999E-5</v>
      </c>
      <c r="I1574">
        <v>3.6666412229999997E-5</v>
      </c>
    </row>
    <row r="1575" spans="1:9" hidden="1" x14ac:dyDescent="0.2">
      <c r="A1575" t="s">
        <v>644</v>
      </c>
      <c r="B1575" t="s">
        <v>821</v>
      </c>
      <c r="C1575" t="s">
        <v>3</v>
      </c>
      <c r="D1575">
        <v>4.8102771049999999E-5</v>
      </c>
      <c r="E1575">
        <v>2.8709054479999998E-5</v>
      </c>
      <c r="F1575">
        <v>2.8217904370000001E-5</v>
      </c>
      <c r="G1575">
        <v>5.2542189379999995E-7</v>
      </c>
      <c r="H1575">
        <v>9.5550649029999996E-6</v>
      </c>
      <c r="I1575">
        <v>1.609562235E-5</v>
      </c>
    </row>
    <row r="1576" spans="1:9" hidden="1" x14ac:dyDescent="0.2">
      <c r="A1576" t="s">
        <v>644</v>
      </c>
      <c r="B1576" t="s">
        <v>833</v>
      </c>
      <c r="C1576" t="s">
        <v>3</v>
      </c>
      <c r="D1576">
        <v>-1.4429010959999999E-4</v>
      </c>
      <c r="E1576">
        <v>-8.5607954070000001E-5</v>
      </c>
      <c r="F1576">
        <v>-8.4568261660000003E-5</v>
      </c>
      <c r="G1576">
        <v>-1.57626005E-6</v>
      </c>
      <c r="H1576">
        <v>-2.8665016319999999E-5</v>
      </c>
      <c r="I1576">
        <v>-4.8129434150000001E-5</v>
      </c>
    </row>
    <row r="1577" spans="1:9" hidden="1" x14ac:dyDescent="0.2">
      <c r="A1577" t="s">
        <v>644</v>
      </c>
      <c r="B1577" t="s">
        <v>825</v>
      </c>
      <c r="C1577" t="s">
        <v>3</v>
      </c>
      <c r="D1577">
        <v>9.6205542250000006E-5</v>
      </c>
      <c r="E1577">
        <v>5.7158504310000001E-5</v>
      </c>
      <c r="F1577">
        <v>5.639308306E-5</v>
      </c>
      <c r="G1577">
        <v>1.0508409719999999E-6</v>
      </c>
      <c r="H1577">
        <v>1.911004062E-5</v>
      </c>
      <c r="I1577">
        <v>3.211252828E-5</v>
      </c>
    </row>
    <row r="1578" spans="1:9" hidden="1" x14ac:dyDescent="0.2">
      <c r="A1578" t="s">
        <v>645</v>
      </c>
      <c r="B1578" t="s">
        <v>821</v>
      </c>
      <c r="C1578" t="s">
        <v>194</v>
      </c>
      <c r="D1578">
        <v>2.8105596689999999</v>
      </c>
      <c r="E1578">
        <v>4.4500060089999998E-6</v>
      </c>
      <c r="F1578">
        <v>6.4562107070000001E-6</v>
      </c>
      <c r="G1578">
        <v>1.3309392440000001E-7</v>
      </c>
      <c r="H1578">
        <v>4.8809189180000004E-6</v>
      </c>
      <c r="I1578">
        <v>1.3894747030000001E-5</v>
      </c>
    </row>
    <row r="1579" spans="1:9" hidden="1" x14ac:dyDescent="0.2">
      <c r="A1579" t="s">
        <v>645</v>
      </c>
      <c r="B1579" t="s">
        <v>833</v>
      </c>
      <c r="C1579" t="s">
        <v>194</v>
      </c>
      <c r="D1579">
        <v>-8.4316789990000007</v>
      </c>
      <c r="E1579">
        <v>-1.2830808589999999E-5</v>
      </c>
      <c r="F1579">
        <v>-1.92831806E-5</v>
      </c>
      <c r="G1579">
        <v>-3.9927614019999998E-7</v>
      </c>
      <c r="H1579">
        <v>-1.464257835E-5</v>
      </c>
      <c r="I1579">
        <v>-4.1526808180000002E-5</v>
      </c>
    </row>
    <row r="1580" spans="1:9" hidden="1" x14ac:dyDescent="0.2">
      <c r="A1580" t="s">
        <v>645</v>
      </c>
      <c r="B1580" t="s">
        <v>825</v>
      </c>
      <c r="C1580" t="s">
        <v>194</v>
      </c>
      <c r="D1580">
        <v>5.6211193469999996</v>
      </c>
      <c r="E1580">
        <v>8.6404073060000003E-6</v>
      </c>
      <c r="F1580">
        <v>1.286969566E-5</v>
      </c>
      <c r="G1580">
        <v>2.6618503250000001E-7</v>
      </c>
      <c r="H1580">
        <v>9.761748639E-6</v>
      </c>
      <c r="I1580">
        <v>2.7710777619999999E-5</v>
      </c>
    </row>
    <row r="1581" spans="1:9" hidden="1" x14ac:dyDescent="0.2">
      <c r="A1581" t="s">
        <v>646</v>
      </c>
      <c r="B1581" t="s">
        <v>821</v>
      </c>
      <c r="C1581" t="s">
        <v>316</v>
      </c>
      <c r="D1581">
        <v>1.733033711E-6</v>
      </c>
      <c r="E1581">
        <v>4.8281394500000003E-5</v>
      </c>
      <c r="F1581">
        <v>4.8463367690000002E-5</v>
      </c>
      <c r="G1581">
        <v>4.417839389E-7</v>
      </c>
      <c r="H1581">
        <v>1.7067334889999999E-5</v>
      </c>
      <c r="I1581">
        <v>3.617966687E-4</v>
      </c>
    </row>
    <row r="1582" spans="1:9" hidden="1" x14ac:dyDescent="0.2">
      <c r="A1582" t="s">
        <v>646</v>
      </c>
      <c r="B1582" t="s">
        <v>833</v>
      </c>
      <c r="C1582" t="s">
        <v>316</v>
      </c>
      <c r="D1582">
        <v>-5.1808974650000003E-6</v>
      </c>
      <c r="E1582">
        <v>-1.4380576469999999E-4</v>
      </c>
      <c r="F1582">
        <v>-1.451764744E-4</v>
      </c>
      <c r="G1582">
        <v>-1.3253321E-6</v>
      </c>
      <c r="H1582">
        <v>-5.1201380249999998E-5</v>
      </c>
      <c r="I1582">
        <v>-1.084838992E-3</v>
      </c>
    </row>
    <row r="1583" spans="1:9" hidden="1" x14ac:dyDescent="0.2">
      <c r="A1583" t="s">
        <v>646</v>
      </c>
      <c r="B1583" t="s">
        <v>825</v>
      </c>
      <c r="C1583" t="s">
        <v>316</v>
      </c>
      <c r="D1583">
        <v>3.4660674269999998E-6</v>
      </c>
      <c r="E1583">
        <v>9.6303184419999999E-5</v>
      </c>
      <c r="F1583">
        <v>9.6884009759999994E-5</v>
      </c>
      <c r="G1583">
        <v>8.8356506239999998E-7</v>
      </c>
      <c r="H1583">
        <v>3.4134580619999998E-5</v>
      </c>
      <c r="I1583">
        <v>7.2351462199999998E-4</v>
      </c>
    </row>
    <row r="1584" spans="1:9" hidden="1" x14ac:dyDescent="0.2">
      <c r="A1584" t="s">
        <v>647</v>
      </c>
      <c r="B1584" t="s">
        <v>821</v>
      </c>
      <c r="C1584" t="s">
        <v>2</v>
      </c>
      <c r="D1584">
        <v>0</v>
      </c>
      <c r="E1584">
        <v>6.9032055919999994E-5</v>
      </c>
      <c r="F1584">
        <v>4.0892411449999999E-4</v>
      </c>
      <c r="G1584">
        <v>5.6775762909999999E-7</v>
      </c>
      <c r="H1584">
        <v>7.1839756970000002</v>
      </c>
      <c r="I1584">
        <v>4.8997619730000004</v>
      </c>
    </row>
    <row r="1585" spans="1:9" hidden="1" x14ac:dyDescent="0.2">
      <c r="A1585" t="s">
        <v>647</v>
      </c>
      <c r="B1585" t="s">
        <v>825</v>
      </c>
      <c r="C1585" t="s">
        <v>2</v>
      </c>
      <c r="D1585">
        <v>0</v>
      </c>
      <c r="E1585">
        <v>-6.8351140559999997E-5</v>
      </c>
      <c r="F1585">
        <v>-4.0487578399999997E-4</v>
      </c>
      <c r="G1585">
        <v>-5.6213629430000004E-7</v>
      </c>
      <c r="H1585">
        <v>-7.1128472250000003</v>
      </c>
      <c r="I1585">
        <v>-4.8512494789999998</v>
      </c>
    </row>
    <row r="1586" spans="1:9" hidden="1" x14ac:dyDescent="0.2">
      <c r="A1586" t="s">
        <v>648</v>
      </c>
      <c r="B1586" t="s">
        <v>821</v>
      </c>
      <c r="C1586" t="s">
        <v>316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 spans="1:9" hidden="1" x14ac:dyDescent="0.2">
      <c r="A1587" t="s">
        <v>648</v>
      </c>
      <c r="B1587" t="s">
        <v>825</v>
      </c>
      <c r="C1587" t="s">
        <v>316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 spans="1:9" hidden="1" x14ac:dyDescent="0.2">
      <c r="A1588" t="s">
        <v>649</v>
      </c>
      <c r="B1588" t="s">
        <v>828</v>
      </c>
      <c r="C1588" t="s">
        <v>2</v>
      </c>
      <c r="D1588">
        <v>6.5271890099999998</v>
      </c>
      <c r="E1588">
        <v>17.458990719999999</v>
      </c>
      <c r="F1588">
        <v>12.45322384</v>
      </c>
      <c r="G1588">
        <v>12.803032549999999</v>
      </c>
      <c r="H1588">
        <v>7.4618772890000002</v>
      </c>
      <c r="I1588">
        <v>5.4408132699999996</v>
      </c>
    </row>
    <row r="1589" spans="1:9" hidden="1" x14ac:dyDescent="0.2">
      <c r="A1589" t="s">
        <v>649</v>
      </c>
      <c r="B1589" t="s">
        <v>825</v>
      </c>
      <c r="C1589" t="s">
        <v>2</v>
      </c>
      <c r="D1589">
        <v>-6.134576139</v>
      </c>
      <c r="E1589">
        <v>-16.408825870000001</v>
      </c>
      <c r="F1589">
        <v>-11.70415775</v>
      </c>
      <c r="G1589">
        <v>-12.032925329999999</v>
      </c>
      <c r="H1589">
        <v>-7.0130425650000001</v>
      </c>
      <c r="I1589">
        <v>-5.1135463110000003</v>
      </c>
    </row>
    <row r="1590" spans="1:9" hidden="1" x14ac:dyDescent="0.2">
      <c r="A1590" t="s">
        <v>650</v>
      </c>
      <c r="B1590" t="s">
        <v>820</v>
      </c>
      <c r="C1590" t="s">
        <v>2</v>
      </c>
      <c r="D1590">
        <v>0.1873308031</v>
      </c>
      <c r="E1590">
        <v>1.108693386E-3</v>
      </c>
      <c r="F1590">
        <v>1.124350789E-3</v>
      </c>
      <c r="G1590">
        <v>1.111516495</v>
      </c>
      <c r="H1590">
        <v>4.4601316299999999E-4</v>
      </c>
      <c r="I1590">
        <v>3.0332397860000001E-5</v>
      </c>
    </row>
    <row r="1591" spans="1:9" hidden="1" x14ac:dyDescent="0.2">
      <c r="A1591" t="s">
        <v>650</v>
      </c>
      <c r="B1591" t="s">
        <v>825</v>
      </c>
      <c r="C1591" t="s">
        <v>2</v>
      </c>
      <c r="D1591">
        <v>-0.1686145879</v>
      </c>
      <c r="E1591">
        <v>-9.979497772999999E-4</v>
      </c>
      <c r="F1591">
        <v>-1.01202118E-3</v>
      </c>
      <c r="G1591">
        <v>-1.0004648920000001</v>
      </c>
      <c r="H1591">
        <v>-4.0145200079999999E-4</v>
      </c>
      <c r="I1591">
        <v>-2.7309752829999998E-5</v>
      </c>
    </row>
    <row r="1592" spans="1:9" hidden="1" x14ac:dyDescent="0.2">
      <c r="A1592" t="s">
        <v>651</v>
      </c>
      <c r="B1592" t="s">
        <v>825</v>
      </c>
      <c r="C1592" t="s">
        <v>2</v>
      </c>
      <c r="D1592">
        <v>-1.898422069E-6</v>
      </c>
      <c r="E1592">
        <v>-7.1000627599999996E-5</v>
      </c>
      <c r="F1592">
        <v>-4.3494980789999998E-5</v>
      </c>
      <c r="G1592">
        <v>-4.2117001770000001E-7</v>
      </c>
      <c r="H1592">
        <v>-1.7443593800000001E-5</v>
      </c>
      <c r="I1592">
        <v>-6.9714297450000005E-5</v>
      </c>
    </row>
    <row r="1593" spans="1:9" hidden="1" x14ac:dyDescent="0.2">
      <c r="A1593" t="s">
        <v>651</v>
      </c>
      <c r="B1593" t="s">
        <v>824</v>
      </c>
      <c r="C1593" t="s">
        <v>2</v>
      </c>
      <c r="D1593">
        <v>1.87998628E-6</v>
      </c>
      <c r="E1593">
        <v>7.0300221440000005E-5</v>
      </c>
      <c r="F1593">
        <v>4.3064760439999998E-5</v>
      </c>
      <c r="G1593">
        <v>4.1700004549999999E-7</v>
      </c>
      <c r="H1593">
        <v>1.7270885829999999E-5</v>
      </c>
      <c r="I1593">
        <v>6.9024836260000004E-5</v>
      </c>
    </row>
    <row r="1594" spans="1:9" hidden="1" x14ac:dyDescent="0.2">
      <c r="A1594" t="s">
        <v>652</v>
      </c>
      <c r="B1594" t="s">
        <v>867</v>
      </c>
      <c r="C1594" t="s">
        <v>3</v>
      </c>
      <c r="D1594">
        <v>1.738061181E-5</v>
      </c>
      <c r="E1594">
        <v>3.8193833199999999E-4</v>
      </c>
      <c r="F1594">
        <v>3.2485031320000001E-4</v>
      </c>
      <c r="G1594">
        <v>6.1482576570000001E-6</v>
      </c>
      <c r="H1594">
        <v>3.8799802920000001E-2</v>
      </c>
      <c r="I1594">
        <v>0.81668239249999997</v>
      </c>
    </row>
    <row r="1595" spans="1:9" hidden="1" x14ac:dyDescent="0.2">
      <c r="A1595" t="s">
        <v>652</v>
      </c>
      <c r="B1595" t="s">
        <v>858</v>
      </c>
      <c r="C1595" t="s">
        <v>3</v>
      </c>
      <c r="D1595">
        <v>3.2793641929999997E-5</v>
      </c>
      <c r="E1595">
        <v>7.2557539389999997E-4</v>
      </c>
      <c r="F1595">
        <v>8.0139765919999995E-4</v>
      </c>
      <c r="G1595">
        <v>8.6895641050000003E-6</v>
      </c>
      <c r="H1595">
        <v>0.85046552350000004</v>
      </c>
      <c r="I1595">
        <v>50.309495009999999</v>
      </c>
    </row>
    <row r="1596" spans="1:9" hidden="1" x14ac:dyDescent="0.2">
      <c r="A1596" t="s">
        <v>652</v>
      </c>
      <c r="B1596" t="s">
        <v>868</v>
      </c>
      <c r="C1596" t="s">
        <v>3</v>
      </c>
      <c r="D1596">
        <v>0</v>
      </c>
      <c r="E1596">
        <v>2.4424816700000001E-6</v>
      </c>
      <c r="F1596">
        <v>1.464355931E-6</v>
      </c>
      <c r="G1596">
        <v>0</v>
      </c>
      <c r="H1596">
        <v>1.056422229E-5</v>
      </c>
      <c r="I1596">
        <v>1.868187286E-2</v>
      </c>
    </row>
    <row r="1597" spans="1:9" hidden="1" x14ac:dyDescent="0.2">
      <c r="A1597" t="s">
        <v>652</v>
      </c>
      <c r="B1597" t="s">
        <v>825</v>
      </c>
      <c r="C1597" t="s">
        <v>3</v>
      </c>
      <c r="D1597">
        <v>-4.262263054E-5</v>
      </c>
      <c r="E1597">
        <v>-9.4306038930000002E-4</v>
      </c>
      <c r="F1597">
        <v>-9.5848925429999998E-4</v>
      </c>
      <c r="G1597">
        <v>-1.268238692E-5</v>
      </c>
      <c r="H1597">
        <v>-0.75588450699999998</v>
      </c>
      <c r="I1597">
        <v>-43.473130269999999</v>
      </c>
    </row>
    <row r="1598" spans="1:9" hidden="1" x14ac:dyDescent="0.2">
      <c r="A1598" t="s">
        <v>653</v>
      </c>
      <c r="B1598" t="s">
        <v>821</v>
      </c>
      <c r="C1598" t="s">
        <v>318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 spans="1:9" hidden="1" x14ac:dyDescent="0.2">
      <c r="A1599" t="s">
        <v>653</v>
      </c>
      <c r="B1599" t="s">
        <v>833</v>
      </c>
      <c r="C1599" t="s">
        <v>318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 spans="1:9" hidden="1" x14ac:dyDescent="0.2">
      <c r="A1600" t="s">
        <v>654</v>
      </c>
      <c r="B1600" t="s">
        <v>828</v>
      </c>
      <c r="C1600" t="s">
        <v>318</v>
      </c>
      <c r="D1600">
        <v>6.6881234129999996</v>
      </c>
      <c r="E1600">
        <v>7.1061897460000001</v>
      </c>
      <c r="F1600">
        <v>3.6721374289999998E-3</v>
      </c>
      <c r="G1600">
        <v>7.8775218090000002E-6</v>
      </c>
      <c r="H1600">
        <v>3.2434525730000002E-5</v>
      </c>
      <c r="I1600">
        <v>4.266159998</v>
      </c>
    </row>
    <row r="1601" spans="1:9" hidden="1" x14ac:dyDescent="0.2">
      <c r="A1601" t="s">
        <v>654</v>
      </c>
      <c r="B1601" t="s">
        <v>833</v>
      </c>
      <c r="C1601" t="s">
        <v>318</v>
      </c>
      <c r="D1601">
        <v>-6.0199130670000001</v>
      </c>
      <c r="E1601">
        <v>-6.3962104179999999</v>
      </c>
      <c r="F1601">
        <v>-3.30525848E-3</v>
      </c>
      <c r="G1601">
        <v>-7.0904789580000002E-6</v>
      </c>
      <c r="H1601">
        <v>-2.919400147E-5</v>
      </c>
      <c r="I1601">
        <v>-3.8399279989999999</v>
      </c>
    </row>
    <row r="1602" spans="1:9" hidden="1" x14ac:dyDescent="0.2">
      <c r="A1602" t="s">
        <v>655</v>
      </c>
      <c r="B1602" t="s">
        <v>820</v>
      </c>
      <c r="C1602" t="s">
        <v>318</v>
      </c>
      <c r="D1602">
        <v>9.0016256779999998E-2</v>
      </c>
      <c r="E1602">
        <v>4.2267555240000001E-3</v>
      </c>
      <c r="F1602">
        <v>6.4873637390000001</v>
      </c>
      <c r="G1602">
        <v>5.8166914900000002</v>
      </c>
      <c r="H1602">
        <v>5.1492857570000004</v>
      </c>
      <c r="I1602">
        <v>5.1318954650000001E-5</v>
      </c>
    </row>
    <row r="1603" spans="1:9" hidden="1" x14ac:dyDescent="0.2">
      <c r="A1603" t="s">
        <v>655</v>
      </c>
      <c r="B1603" t="s">
        <v>833</v>
      </c>
      <c r="C1603" t="s">
        <v>318</v>
      </c>
      <c r="D1603">
        <v>-8.0085641720000003E-2</v>
      </c>
      <c r="E1603">
        <v>-3.760487291E-3</v>
      </c>
      <c r="F1603">
        <v>-5.7716759289999997</v>
      </c>
      <c r="G1603">
        <v>-5.1749924289999996</v>
      </c>
      <c r="H1603">
        <v>-4.5812150870000004</v>
      </c>
      <c r="I1603">
        <v>-4.566611698E-5</v>
      </c>
    </row>
    <row r="1604" spans="1:9" hidden="1" x14ac:dyDescent="0.2">
      <c r="A1604" t="s">
        <v>656</v>
      </c>
      <c r="B1604" t="s">
        <v>833</v>
      </c>
      <c r="C1604" t="s">
        <v>318</v>
      </c>
      <c r="D1604">
        <v>-1.305433475E-6</v>
      </c>
      <c r="E1604">
        <v>-2.9968406379999999E-5</v>
      </c>
      <c r="F1604">
        <v>-1.9036154039999999E-5</v>
      </c>
      <c r="G1604">
        <v>-1.9420677339999999E-7</v>
      </c>
      <c r="H1604">
        <v>-5.4334213619999997E-6</v>
      </c>
      <c r="I1604">
        <v>-2.6485253340000001E-5</v>
      </c>
    </row>
    <row r="1605" spans="1:9" hidden="1" x14ac:dyDescent="0.2">
      <c r="A1605" t="s">
        <v>656</v>
      </c>
      <c r="B1605" t="s">
        <v>824</v>
      </c>
      <c r="C1605" t="s">
        <v>318</v>
      </c>
      <c r="D1605">
        <v>1.4450263489999999E-6</v>
      </c>
      <c r="E1605">
        <v>3.3236374559999998E-5</v>
      </c>
      <c r="F1605">
        <v>2.1125431150000002E-5</v>
      </c>
      <c r="G1605">
        <v>2.1556920869999999E-7</v>
      </c>
      <c r="H1605">
        <v>6.0310878979999997E-6</v>
      </c>
      <c r="I1605">
        <v>2.9389972390000002E-5</v>
      </c>
    </row>
    <row r="1606" spans="1:9" hidden="1" x14ac:dyDescent="0.2">
      <c r="A1606" t="s">
        <v>657</v>
      </c>
      <c r="B1606" t="s">
        <v>833</v>
      </c>
      <c r="C1606" t="s">
        <v>581</v>
      </c>
      <c r="D1606">
        <v>0.23713459040000001</v>
      </c>
      <c r="E1606">
        <v>0.2056952182</v>
      </c>
      <c r="F1606">
        <v>0.19779872000000001</v>
      </c>
      <c r="G1606">
        <v>0.20470833660000001</v>
      </c>
      <c r="H1606">
        <v>0.2027345566</v>
      </c>
      <c r="I1606">
        <v>0.2027345566</v>
      </c>
    </row>
    <row r="1607" spans="1:9" hidden="1" x14ac:dyDescent="0.2">
      <c r="A1607" t="s">
        <v>657</v>
      </c>
      <c r="B1607" t="s">
        <v>832</v>
      </c>
      <c r="C1607" t="s">
        <v>581</v>
      </c>
      <c r="D1607">
        <v>0.12312240689999999</v>
      </c>
      <c r="E1607">
        <v>0.1067988027</v>
      </c>
      <c r="F1607">
        <v>0.10269887</v>
      </c>
      <c r="G1607">
        <v>0.106286405</v>
      </c>
      <c r="H1607">
        <v>0.1052616007</v>
      </c>
      <c r="I1607">
        <v>0.1052616007</v>
      </c>
    </row>
    <row r="1608" spans="1:9" hidden="1" x14ac:dyDescent="0.2">
      <c r="A1608" t="s">
        <v>657</v>
      </c>
      <c r="B1608" t="s">
        <v>846</v>
      </c>
      <c r="C1608" t="s">
        <v>581</v>
      </c>
      <c r="D1608">
        <v>0.12312240689999999</v>
      </c>
      <c r="E1608">
        <v>0.1067988027</v>
      </c>
      <c r="F1608">
        <v>0.10269887</v>
      </c>
      <c r="G1608">
        <v>0.106286405</v>
      </c>
      <c r="H1608">
        <v>0.1052616007</v>
      </c>
      <c r="I1608">
        <v>0.1052616007</v>
      </c>
    </row>
    <row r="1609" spans="1:9" hidden="1" x14ac:dyDescent="0.2">
      <c r="A1609" t="s">
        <v>657</v>
      </c>
      <c r="B1609" t="s">
        <v>834</v>
      </c>
      <c r="C1609" t="s">
        <v>581</v>
      </c>
      <c r="D1609">
        <v>0.55409738689999999</v>
      </c>
      <c r="E1609">
        <v>0.48063499589999997</v>
      </c>
      <c r="F1609">
        <v>0.46218374839999998</v>
      </c>
      <c r="G1609">
        <v>0.47832901210000001</v>
      </c>
      <c r="H1609">
        <v>0.47371700529999999</v>
      </c>
      <c r="I1609">
        <v>0.47371700529999999</v>
      </c>
    </row>
    <row r="1610" spans="1:9" hidden="1" x14ac:dyDescent="0.2">
      <c r="A1610" t="s">
        <v>657</v>
      </c>
      <c r="B1610" t="s">
        <v>825</v>
      </c>
      <c r="C1610" t="s">
        <v>581</v>
      </c>
      <c r="D1610">
        <v>0.64462079800000005</v>
      </c>
      <c r="E1610">
        <v>0.55915678700000004</v>
      </c>
      <c r="F1610">
        <v>0.5376911419</v>
      </c>
      <c r="G1610">
        <v>0.55647407250000003</v>
      </c>
      <c r="H1610">
        <v>0.55110859779999999</v>
      </c>
      <c r="I1610">
        <v>0.55110859779999999</v>
      </c>
    </row>
    <row r="1611" spans="1:9" hidden="1" x14ac:dyDescent="0.2">
      <c r="A1611" t="s">
        <v>658</v>
      </c>
      <c r="B1611" t="s">
        <v>834</v>
      </c>
      <c r="C1611" t="s">
        <v>581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 hidden="1" x14ac:dyDescent="0.2">
      <c r="A1612" t="s">
        <v>659</v>
      </c>
      <c r="B1612" t="s">
        <v>828</v>
      </c>
      <c r="C1612" t="s">
        <v>581</v>
      </c>
      <c r="D1612">
        <v>0.56292101791399995</v>
      </c>
      <c r="E1612">
        <v>0.4805708601</v>
      </c>
      <c r="F1612">
        <v>0.4621202445</v>
      </c>
      <c r="G1612">
        <v>0.4783282492</v>
      </c>
      <c r="H1612">
        <v>0.2245863179</v>
      </c>
      <c r="I1612">
        <v>0.23928428060000001</v>
      </c>
    </row>
    <row r="1613" spans="1:9" hidden="1" x14ac:dyDescent="0.2">
      <c r="A1613" t="s">
        <v>659</v>
      </c>
      <c r="B1613" t="s">
        <v>834</v>
      </c>
      <c r="C1613" t="s">
        <v>581</v>
      </c>
      <c r="D1613">
        <v>-0.56292101791399995</v>
      </c>
      <c r="E1613">
        <v>-0.4805708601</v>
      </c>
      <c r="F1613">
        <v>-0.4621202445</v>
      </c>
      <c r="G1613">
        <v>-0.4783282492</v>
      </c>
      <c r="H1613">
        <v>-0.2245863179</v>
      </c>
      <c r="I1613">
        <v>-0.23928428060000001</v>
      </c>
    </row>
    <row r="1614" spans="1:9" hidden="1" x14ac:dyDescent="0.2">
      <c r="A1614" t="s">
        <v>660</v>
      </c>
      <c r="B1614" t="s">
        <v>821</v>
      </c>
      <c r="C1614" t="s">
        <v>581</v>
      </c>
      <c r="D1614">
        <v>0.51031807350000002</v>
      </c>
      <c r="E1614">
        <v>2.549183485E-5</v>
      </c>
      <c r="F1614">
        <v>3.8899019720000001E-5</v>
      </c>
      <c r="G1614">
        <v>4.8044580700000003E-7</v>
      </c>
      <c r="H1614">
        <v>0.2491196702</v>
      </c>
      <c r="I1614">
        <v>0.234399103</v>
      </c>
    </row>
    <row r="1615" spans="1:9" hidden="1" x14ac:dyDescent="0.2">
      <c r="A1615" t="s">
        <v>660</v>
      </c>
      <c r="B1615" t="s">
        <v>834</v>
      </c>
      <c r="C1615" t="s">
        <v>581</v>
      </c>
      <c r="D1615">
        <v>-0.51031807350000002</v>
      </c>
      <c r="E1615">
        <v>-2.549183485E-5</v>
      </c>
      <c r="F1615">
        <v>-3.8899019720000001E-5</v>
      </c>
      <c r="G1615">
        <v>-4.8044580700000003E-7</v>
      </c>
      <c r="H1615">
        <v>-0.2491196702</v>
      </c>
      <c r="I1615">
        <v>-0.234399103</v>
      </c>
    </row>
    <row r="1616" spans="1:9" hidden="1" x14ac:dyDescent="0.2">
      <c r="A1616" t="s">
        <v>661</v>
      </c>
      <c r="B1616" t="s">
        <v>834</v>
      </c>
      <c r="C1616" t="s">
        <v>581</v>
      </c>
      <c r="D1616">
        <v>-3.4956088485193999E-2</v>
      </c>
      <c r="E1616">
        <v>-3.9422750530000002E-5</v>
      </c>
      <c r="F1616">
        <v>-2.4733104649999998E-5</v>
      </c>
      <c r="G1616">
        <v>-2.8242599290000002E-7</v>
      </c>
      <c r="H1616">
        <v>-1.101740242E-5</v>
      </c>
      <c r="I1616">
        <v>-3.3857901060000002E-5</v>
      </c>
    </row>
    <row r="1617" spans="1:9" hidden="1" x14ac:dyDescent="0.2">
      <c r="A1617" t="s">
        <v>661</v>
      </c>
      <c r="B1617" t="s">
        <v>824</v>
      </c>
      <c r="C1617" t="s">
        <v>581</v>
      </c>
      <c r="D1617">
        <v>3.4956088485193999E-2</v>
      </c>
      <c r="E1617">
        <v>3.9422750530000002E-5</v>
      </c>
      <c r="F1617">
        <v>2.4733104649999998E-5</v>
      </c>
      <c r="G1617">
        <v>2.8242599290000002E-7</v>
      </c>
      <c r="H1617">
        <v>1.101740242E-5</v>
      </c>
      <c r="I1617">
        <v>3.3857901060000002E-5</v>
      </c>
    </row>
    <row r="1618" spans="1:9" hidden="1" x14ac:dyDescent="0.2">
      <c r="A1618" t="s">
        <v>662</v>
      </c>
      <c r="B1618" t="s">
        <v>820</v>
      </c>
      <c r="C1618" t="s">
        <v>24</v>
      </c>
      <c r="D1618">
        <v>1.499927820833</v>
      </c>
      <c r="E1618">
        <v>8.5337363959999996E-4</v>
      </c>
      <c r="F1618">
        <v>6.1159599299999998E-4</v>
      </c>
      <c r="G1618">
        <v>8.7992012529999997E-6</v>
      </c>
      <c r="H1618">
        <v>1.9165881399999999E-4</v>
      </c>
      <c r="I1618">
        <v>2.6779967570000001E-4</v>
      </c>
    </row>
    <row r="1619" spans="1:9" hidden="1" x14ac:dyDescent="0.2">
      <c r="A1619" t="s">
        <v>662</v>
      </c>
      <c r="B1619" t="s">
        <v>825</v>
      </c>
      <c r="C1619" t="s">
        <v>24</v>
      </c>
      <c r="D1619">
        <v>-1.3500700602647999</v>
      </c>
      <c r="E1619">
        <v>-7.6813902410000003E-4</v>
      </c>
      <c r="F1619">
        <v>-5.5049571159999997E-4</v>
      </c>
      <c r="G1619">
        <v>-7.9200734170000002E-6</v>
      </c>
      <c r="H1619">
        <v>-1.725101925E-4</v>
      </c>
      <c r="I1619">
        <v>-2.410516771E-4</v>
      </c>
    </row>
    <row r="1620" spans="1:9" hidden="1" x14ac:dyDescent="0.2">
      <c r="A1620" t="s">
        <v>663</v>
      </c>
      <c r="B1620" t="s">
        <v>825</v>
      </c>
      <c r="C1620" t="s">
        <v>188</v>
      </c>
      <c r="D1620">
        <v>-0.95330783414168208</v>
      </c>
      <c r="E1620">
        <v>-5.8587479169999997E-5</v>
      </c>
      <c r="F1620">
        <v>-4.0829439770000003E-5</v>
      </c>
      <c r="G1620">
        <v>-4.2275514420000001E-7</v>
      </c>
      <c r="H1620">
        <v>-1.576924121E-5</v>
      </c>
      <c r="I1620">
        <v>-8.7365434130000003E-5</v>
      </c>
    </row>
    <row r="1621" spans="1:9" hidden="1" x14ac:dyDescent="0.2">
      <c r="A1621" t="s">
        <v>663</v>
      </c>
      <c r="B1621" t="s">
        <v>824</v>
      </c>
      <c r="C1621" t="s">
        <v>188</v>
      </c>
      <c r="D1621">
        <v>0.94386914424728297</v>
      </c>
      <c r="E1621">
        <v>5.8009975459999999E-5</v>
      </c>
      <c r="F1621">
        <v>4.0425610919999999E-5</v>
      </c>
      <c r="G1621">
        <v>4.185694776E-7</v>
      </c>
      <c r="H1621">
        <v>1.5613110990000002E-5</v>
      </c>
      <c r="I1621">
        <v>8.6501209209999995E-5</v>
      </c>
    </row>
    <row r="1622" spans="1:9" hidden="1" x14ac:dyDescent="0.2">
      <c r="A1622" t="s">
        <v>664</v>
      </c>
      <c r="B1622" t="s">
        <v>828</v>
      </c>
      <c r="C1622" t="s">
        <v>188</v>
      </c>
      <c r="D1622">
        <v>0.103374245728</v>
      </c>
      <c r="E1622">
        <v>6.4570503419999996</v>
      </c>
      <c r="F1622">
        <v>19.258758539999999</v>
      </c>
      <c r="G1622">
        <v>26.751313870000001</v>
      </c>
      <c r="H1622">
        <v>23.089780860000001</v>
      </c>
      <c r="I1622">
        <v>21.490393999999998</v>
      </c>
    </row>
    <row r="1623" spans="1:9" hidden="1" x14ac:dyDescent="0.2">
      <c r="A1623" t="s">
        <v>664</v>
      </c>
      <c r="B1623" t="s">
        <v>825</v>
      </c>
      <c r="C1623" t="s">
        <v>188</v>
      </c>
      <c r="D1623">
        <v>-9.7156254858000002E-2</v>
      </c>
      <c r="E1623">
        <v>-6.0686563539999998</v>
      </c>
      <c r="F1623">
        <v>-18.100336980000002</v>
      </c>
      <c r="G1623">
        <v>-25.142212279999999</v>
      </c>
      <c r="H1623">
        <v>-21.700921860000001</v>
      </c>
      <c r="I1623">
        <v>-20.197738730000001</v>
      </c>
    </row>
    <row r="1624" spans="1:9" hidden="1" x14ac:dyDescent="0.2">
      <c r="A1624" t="s">
        <v>665</v>
      </c>
      <c r="B1624" t="s">
        <v>821</v>
      </c>
      <c r="C1624" t="s">
        <v>188</v>
      </c>
      <c r="D1624">
        <v>1.020101406</v>
      </c>
      <c r="E1624">
        <v>1.0867612579999999</v>
      </c>
      <c r="F1624">
        <v>1.4392726010000001</v>
      </c>
      <c r="G1624">
        <v>2.6924763670000001E-2</v>
      </c>
      <c r="H1624">
        <v>31.318211519999998</v>
      </c>
      <c r="I1624">
        <v>10.01661408</v>
      </c>
    </row>
    <row r="1625" spans="1:9" hidden="1" x14ac:dyDescent="0.2">
      <c r="A1625" t="s">
        <v>665</v>
      </c>
      <c r="B1625" t="s">
        <v>825</v>
      </c>
      <c r="C1625" t="s">
        <v>188</v>
      </c>
      <c r="D1625">
        <v>-1.010001393</v>
      </c>
      <c r="E1625">
        <v>-1.0760012480000001</v>
      </c>
      <c r="F1625">
        <v>-1.425022378</v>
      </c>
      <c r="G1625">
        <v>-2.665818185E-2</v>
      </c>
      <c r="H1625">
        <v>-31.008130220000002</v>
      </c>
      <c r="I1625">
        <v>-9.9174396809999994</v>
      </c>
    </row>
    <row r="1626" spans="1:9" hidden="1" x14ac:dyDescent="0.2">
      <c r="A1626" t="s">
        <v>666</v>
      </c>
      <c r="B1626" t="s">
        <v>828</v>
      </c>
      <c r="C1626" t="s">
        <v>188</v>
      </c>
      <c r="D1626">
        <v>0.20544724074387899</v>
      </c>
      <c r="E1626">
        <v>1.099241447E-2</v>
      </c>
      <c r="F1626">
        <v>5.3994884149999997E-3</v>
      </c>
      <c r="G1626">
        <v>3.1494830769999999E-3</v>
      </c>
      <c r="H1626">
        <v>6.4935243139999996E-5</v>
      </c>
      <c r="I1626">
        <v>1.4733988450000001E-4</v>
      </c>
    </row>
    <row r="1627" spans="1:9" hidden="1" x14ac:dyDescent="0.2">
      <c r="A1627" t="s">
        <v>666</v>
      </c>
      <c r="B1627" t="s">
        <v>821</v>
      </c>
      <c r="C1627" t="s">
        <v>188</v>
      </c>
      <c r="D1627">
        <v>-0.10272367587193899</v>
      </c>
      <c r="E1627">
        <v>-5.4963370389999999E-3</v>
      </c>
      <c r="F1627">
        <v>-2.6997655700000001E-3</v>
      </c>
      <c r="G1627">
        <v>-1.57474154E-3</v>
      </c>
      <c r="H1627">
        <v>-3.2467666179999998E-5</v>
      </c>
      <c r="I1627">
        <v>-7.3709300460000001E-5</v>
      </c>
    </row>
    <row r="1628" spans="1:9" hidden="1" x14ac:dyDescent="0.2">
      <c r="A1628" t="s">
        <v>666</v>
      </c>
      <c r="B1628" t="s">
        <v>825</v>
      </c>
      <c r="C1628" t="s">
        <v>188</v>
      </c>
      <c r="D1628">
        <v>-8.2180295571959994E-2</v>
      </c>
      <c r="E1628">
        <v>-4.4012233070000002E-3</v>
      </c>
      <c r="F1628">
        <v>-2.1605046139999999E-3</v>
      </c>
      <c r="G1628">
        <v>-1.2597932779999999E-3</v>
      </c>
      <c r="H1628">
        <v>-2.597557816E-5</v>
      </c>
      <c r="I1628">
        <v>-6.0242647249999999E-5</v>
      </c>
    </row>
    <row r="1629" spans="1:9" hidden="1" x14ac:dyDescent="0.2">
      <c r="A1629" t="s">
        <v>667</v>
      </c>
      <c r="B1629" t="s">
        <v>821</v>
      </c>
      <c r="C1629" t="s">
        <v>16</v>
      </c>
      <c r="D1629">
        <v>7.6705591120000003</v>
      </c>
      <c r="E1629">
        <v>1.3000003529999999</v>
      </c>
      <c r="F1629">
        <v>7.0080274979999997</v>
      </c>
      <c r="G1629">
        <v>10.94797614</v>
      </c>
      <c r="H1629">
        <v>12.40472542</v>
      </c>
      <c r="I1629">
        <v>22.79444668</v>
      </c>
    </row>
    <row r="1630" spans="1:9" hidden="1" x14ac:dyDescent="0.2">
      <c r="A1630" t="s">
        <v>667</v>
      </c>
      <c r="B1630" t="s">
        <v>830</v>
      </c>
      <c r="C1630" t="s">
        <v>16</v>
      </c>
      <c r="D1630">
        <v>21.274949265</v>
      </c>
      <c r="E1630">
        <v>3.7000164029999998</v>
      </c>
      <c r="F1630">
        <v>20.207615830000002</v>
      </c>
      <c r="G1630">
        <v>31.985263629999999</v>
      </c>
      <c r="H1630">
        <v>36.722900009999996</v>
      </c>
      <c r="I1630">
        <v>68.383344809999997</v>
      </c>
    </row>
    <row r="1631" spans="1:9" hidden="1" x14ac:dyDescent="0.2">
      <c r="A1631" t="s">
        <v>667</v>
      </c>
      <c r="B1631" t="s">
        <v>825</v>
      </c>
      <c r="C1631" t="s">
        <v>16</v>
      </c>
      <c r="D1631">
        <v>-28.945505747999999</v>
      </c>
      <c r="E1631">
        <v>-5.0000006199999998</v>
      </c>
      <c r="F1631">
        <v>-27.215640650000001</v>
      </c>
      <c r="G1631">
        <v>-42.93323977</v>
      </c>
      <c r="H1631">
        <v>-49.127625420000001</v>
      </c>
      <c r="I1631">
        <v>-91.177786459999993</v>
      </c>
    </row>
    <row r="1632" spans="1:9" hidden="1" x14ac:dyDescent="0.2">
      <c r="A1632" t="s">
        <v>668</v>
      </c>
      <c r="B1632" t="s">
        <v>828</v>
      </c>
      <c r="C1632" t="s">
        <v>16</v>
      </c>
      <c r="D1632">
        <v>0.10645050222574</v>
      </c>
      <c r="E1632">
        <v>1.1243471190000001E-3</v>
      </c>
      <c r="F1632">
        <v>8.3596334870000006E-5</v>
      </c>
      <c r="G1632">
        <v>2.2077283130000002E-6</v>
      </c>
      <c r="H1632">
        <v>6.1354304140000005E-5</v>
      </c>
      <c r="I1632">
        <v>4.0722871149999999E-3</v>
      </c>
    </row>
    <row r="1633" spans="1:9" hidden="1" x14ac:dyDescent="0.2">
      <c r="A1633" t="s">
        <v>668</v>
      </c>
      <c r="B1633" t="s">
        <v>825</v>
      </c>
      <c r="C1633" t="s">
        <v>16</v>
      </c>
      <c r="D1633">
        <v>-7.6583136497850007E-2</v>
      </c>
      <c r="E1633">
        <v>-8.0895565799999996E-4</v>
      </c>
      <c r="F1633">
        <v>-6.0153235919999998E-5</v>
      </c>
      <c r="G1633">
        <v>-1.5882945410000001E-6</v>
      </c>
      <c r="H1633">
        <v>-4.4139812179999997E-5</v>
      </c>
      <c r="I1633">
        <v>-2.929725046E-3</v>
      </c>
    </row>
    <row r="1634" spans="1:9" hidden="1" x14ac:dyDescent="0.2">
      <c r="A1634" t="s">
        <v>669</v>
      </c>
      <c r="B1634" t="s">
        <v>821</v>
      </c>
      <c r="C1634" t="s">
        <v>16</v>
      </c>
      <c r="D1634">
        <v>1.0797127526124679</v>
      </c>
      <c r="E1634">
        <v>4.0808304189999998E-5</v>
      </c>
      <c r="F1634">
        <v>5.9798847690000002E-6</v>
      </c>
      <c r="G1634">
        <v>1.172758279E-7</v>
      </c>
      <c r="H1634">
        <v>3.465927446E-6</v>
      </c>
      <c r="I1634">
        <v>1.0856909390000001E-2</v>
      </c>
    </row>
    <row r="1635" spans="1:9" hidden="1" x14ac:dyDescent="0.2">
      <c r="A1635" t="s">
        <v>669</v>
      </c>
      <c r="B1635" t="s">
        <v>830</v>
      </c>
      <c r="C1635" t="s">
        <v>16</v>
      </c>
      <c r="D1635">
        <v>2.95071997964904</v>
      </c>
      <c r="E1635">
        <v>1.3800119600000001E-4</v>
      </c>
      <c r="F1635">
        <v>2.1316739270000001E-5</v>
      </c>
      <c r="G1635">
        <v>3.8235216730000002E-7</v>
      </c>
      <c r="H1635">
        <v>1.1789606610000001E-5</v>
      </c>
      <c r="I1635">
        <v>3.8546538069999997E-2</v>
      </c>
    </row>
    <row r="1636" spans="1:9" hidden="1" x14ac:dyDescent="0.2">
      <c r="A1636" t="s">
        <v>669</v>
      </c>
      <c r="B1636" t="s">
        <v>825</v>
      </c>
      <c r="C1636" t="s">
        <v>16</v>
      </c>
      <c r="D1636">
        <v>-4.0310347668796052</v>
      </c>
      <c r="E1636">
        <v>-1.624544026E-4</v>
      </c>
      <c r="F1636">
        <v>-2.4470452570000001E-5</v>
      </c>
      <c r="G1636">
        <v>-4.967118859E-7</v>
      </c>
      <c r="H1636">
        <v>-1.5124846950000001E-5</v>
      </c>
      <c r="I1636">
        <v>-4.8860702819999997E-2</v>
      </c>
    </row>
    <row r="1637" spans="1:9" hidden="1" x14ac:dyDescent="0.2">
      <c r="A1637" t="s">
        <v>670</v>
      </c>
      <c r="B1637" t="s">
        <v>828</v>
      </c>
      <c r="C1637" t="s">
        <v>194</v>
      </c>
      <c r="D1637">
        <v>4.7277645239999986</v>
      </c>
      <c r="E1637">
        <v>1.440351613</v>
      </c>
      <c r="F1637">
        <v>1.260200827</v>
      </c>
      <c r="G1637">
        <v>1.19133943</v>
      </c>
      <c r="H1637">
        <v>1.014000282</v>
      </c>
      <c r="I1637">
        <v>0.82872550950000001</v>
      </c>
    </row>
    <row r="1638" spans="1:9" hidden="1" x14ac:dyDescent="0.2">
      <c r="A1638" t="s">
        <v>670</v>
      </c>
      <c r="B1638" t="s">
        <v>846</v>
      </c>
      <c r="C1638" t="s">
        <v>194</v>
      </c>
      <c r="D1638">
        <v>-4.2549880709999996</v>
      </c>
      <c r="E1638">
        <v>-1.296316451</v>
      </c>
      <c r="F1638">
        <v>-1.134180744</v>
      </c>
      <c r="G1638">
        <v>-1.072205487</v>
      </c>
      <c r="H1638">
        <v>-0.91260025330000005</v>
      </c>
      <c r="I1638">
        <v>-0.74585295839999999</v>
      </c>
    </row>
    <row r="1639" spans="1:9" hidden="1" x14ac:dyDescent="0.2">
      <c r="A1639" t="s">
        <v>671</v>
      </c>
      <c r="B1639" t="s">
        <v>828</v>
      </c>
      <c r="C1639" t="s">
        <v>3</v>
      </c>
      <c r="D1639">
        <v>4.5288578094999998</v>
      </c>
      <c r="E1639">
        <v>1.125298905</v>
      </c>
      <c r="F1639">
        <v>1.026256261E-2</v>
      </c>
      <c r="G1639">
        <v>6.5175093799999996E-6</v>
      </c>
      <c r="H1639">
        <v>1.013115761E-3</v>
      </c>
      <c r="I1639">
        <v>3.936461225E-3</v>
      </c>
    </row>
    <row r="1640" spans="1:9" hidden="1" x14ac:dyDescent="0.2">
      <c r="A1640" t="s">
        <v>671</v>
      </c>
      <c r="B1640" t="s">
        <v>846</v>
      </c>
      <c r="C1640" t="s">
        <v>3</v>
      </c>
      <c r="D1640">
        <v>-4.5288578094999998</v>
      </c>
      <c r="E1640">
        <v>-1.125298905</v>
      </c>
      <c r="F1640">
        <v>-1.026256261E-2</v>
      </c>
      <c r="G1640">
        <v>-6.5175093799999996E-6</v>
      </c>
      <c r="H1640">
        <v>-1.013115761E-3</v>
      </c>
      <c r="I1640">
        <v>-3.936461225E-3</v>
      </c>
    </row>
    <row r="1641" spans="1:9" hidden="1" x14ac:dyDescent="0.2">
      <c r="A1641" t="s">
        <v>672</v>
      </c>
      <c r="B1641" t="s">
        <v>821</v>
      </c>
      <c r="C1641" t="s">
        <v>3</v>
      </c>
      <c r="D1641">
        <v>5.3976706769999998</v>
      </c>
      <c r="E1641">
        <v>3.0974374610000001E-5</v>
      </c>
      <c r="F1641">
        <v>3.8161714529999997E-5</v>
      </c>
      <c r="G1641">
        <v>4.6945475460000002E-7</v>
      </c>
      <c r="H1641">
        <v>1.4123982399999999E-5</v>
      </c>
      <c r="I1641">
        <v>2.4367435840000001E-5</v>
      </c>
    </row>
    <row r="1642" spans="1:9" hidden="1" x14ac:dyDescent="0.2">
      <c r="A1642" t="s">
        <v>672</v>
      </c>
      <c r="B1642" t="s">
        <v>846</v>
      </c>
      <c r="C1642" t="s">
        <v>3</v>
      </c>
      <c r="D1642">
        <v>-5.3976706769999998</v>
      </c>
      <c r="E1642">
        <v>-3.0974374610000001E-5</v>
      </c>
      <c r="F1642">
        <v>-3.8161714529999997E-5</v>
      </c>
      <c r="G1642">
        <v>-4.6945475460000002E-7</v>
      </c>
      <c r="H1642">
        <v>-1.4123982399999999E-5</v>
      </c>
      <c r="I1642">
        <v>-2.4367435840000001E-5</v>
      </c>
    </row>
    <row r="1643" spans="1:9" hidden="1" x14ac:dyDescent="0.2">
      <c r="A1643" t="s">
        <v>673</v>
      </c>
      <c r="B1643" t="s">
        <v>828</v>
      </c>
      <c r="C1643" t="s">
        <v>199</v>
      </c>
      <c r="D1643">
        <v>2.8940266771999999E-5</v>
      </c>
      <c r="E1643">
        <v>2.0151641229999999E-4</v>
      </c>
      <c r="F1643">
        <v>1.0584509729999999E-4</v>
      </c>
      <c r="G1643">
        <v>1.2638818440000001E-6</v>
      </c>
      <c r="H1643">
        <v>1.3795194920000001E-5</v>
      </c>
      <c r="I1643">
        <v>0.14074106489999999</v>
      </c>
    </row>
    <row r="1644" spans="1:9" hidden="1" x14ac:dyDescent="0.2">
      <c r="A1644" t="s">
        <v>673</v>
      </c>
      <c r="B1644" t="s">
        <v>846</v>
      </c>
      <c r="C1644" t="s">
        <v>199</v>
      </c>
      <c r="D1644">
        <v>-2.8940266751999999E-5</v>
      </c>
      <c r="E1644">
        <v>-2.0151641229999999E-4</v>
      </c>
      <c r="F1644">
        <v>-1.0584509729999999E-4</v>
      </c>
      <c r="G1644">
        <v>-1.2638818440000001E-6</v>
      </c>
      <c r="H1644">
        <v>-1.3795194920000001E-5</v>
      </c>
      <c r="I1644">
        <v>-0.14074106489999999</v>
      </c>
    </row>
    <row r="1645" spans="1:9" hidden="1" x14ac:dyDescent="0.2">
      <c r="A1645" t="s">
        <v>674</v>
      </c>
      <c r="B1645" t="s">
        <v>821</v>
      </c>
      <c r="C1645" t="s">
        <v>199</v>
      </c>
      <c r="D1645">
        <v>0.36521436183577699</v>
      </c>
      <c r="E1645">
        <v>2.82224602E-5</v>
      </c>
      <c r="F1645">
        <v>2.0285151819999999E-5</v>
      </c>
      <c r="G1645">
        <v>2.759023491E-7</v>
      </c>
      <c r="H1645">
        <v>1.505692298E-5</v>
      </c>
      <c r="I1645">
        <v>0.13921542579999999</v>
      </c>
    </row>
    <row r="1646" spans="1:9" hidden="1" x14ac:dyDescent="0.2">
      <c r="A1646" t="s">
        <v>674</v>
      </c>
      <c r="B1646" t="s">
        <v>846</v>
      </c>
      <c r="C1646" t="s">
        <v>199</v>
      </c>
      <c r="D1646">
        <v>-0.36521436183577699</v>
      </c>
      <c r="E1646">
        <v>-2.82224602E-5</v>
      </c>
      <c r="F1646">
        <v>-2.0285151819999999E-5</v>
      </c>
      <c r="G1646">
        <v>-2.759023491E-7</v>
      </c>
      <c r="H1646">
        <v>-1.505692298E-5</v>
      </c>
      <c r="I1646">
        <v>-0.13921542579999999</v>
      </c>
    </row>
    <row r="1647" spans="1:9" hidden="1" x14ac:dyDescent="0.2">
      <c r="A1647" t="s">
        <v>675</v>
      </c>
      <c r="B1647" t="s">
        <v>825</v>
      </c>
      <c r="C1647" t="s">
        <v>581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 spans="1:9" hidden="1" x14ac:dyDescent="0.2">
      <c r="A1648" t="s">
        <v>676</v>
      </c>
      <c r="B1648" t="s">
        <v>833</v>
      </c>
      <c r="C1648" t="s">
        <v>581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 spans="1:9" hidden="1" x14ac:dyDescent="0.2">
      <c r="A1649" t="s">
        <v>677</v>
      </c>
      <c r="B1649" t="s">
        <v>832</v>
      </c>
      <c r="C1649" t="s">
        <v>581</v>
      </c>
      <c r="D1649">
        <v>2.949029909E-17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 spans="1:9" hidden="1" x14ac:dyDescent="0.2">
      <c r="A1650" t="s">
        <v>678</v>
      </c>
      <c r="B1650" t="s">
        <v>846</v>
      </c>
      <c r="C1650" t="s">
        <v>581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 spans="1:9" hidden="1" x14ac:dyDescent="0.2">
      <c r="A1651" t="s">
        <v>679</v>
      </c>
      <c r="B1651" t="s">
        <v>828</v>
      </c>
      <c r="C1651" t="s">
        <v>581</v>
      </c>
      <c r="D1651">
        <v>5.7307755619999999E-3</v>
      </c>
      <c r="E1651">
        <v>0.10676476</v>
      </c>
      <c r="F1651">
        <v>0.10266588760000001</v>
      </c>
      <c r="G1651">
        <v>0.1062859604</v>
      </c>
      <c r="H1651">
        <v>4.9947767650000002E-2</v>
      </c>
      <c r="I1651">
        <v>5.2544346120000002E-2</v>
      </c>
    </row>
    <row r="1652" spans="1:9" hidden="1" x14ac:dyDescent="0.2">
      <c r="A1652" t="s">
        <v>679</v>
      </c>
      <c r="B1652" t="s">
        <v>846</v>
      </c>
      <c r="C1652" t="s">
        <v>581</v>
      </c>
      <c r="D1652">
        <v>-5.7307755619999999E-3</v>
      </c>
      <c r="E1652">
        <v>-0.10676476</v>
      </c>
      <c r="F1652">
        <v>-0.10266588760000001</v>
      </c>
      <c r="G1652">
        <v>-0.1062859604</v>
      </c>
      <c r="H1652">
        <v>-4.9947767650000002E-2</v>
      </c>
      <c r="I1652">
        <v>-5.2544346120000002E-2</v>
      </c>
    </row>
    <row r="1653" spans="1:9" hidden="1" x14ac:dyDescent="0.2">
      <c r="A1653" t="s">
        <v>680</v>
      </c>
      <c r="B1653" t="s">
        <v>821</v>
      </c>
      <c r="C1653" t="s">
        <v>581</v>
      </c>
      <c r="D1653">
        <v>0.24051433320000001</v>
      </c>
      <c r="E1653">
        <v>3.4561947320000002E-5</v>
      </c>
      <c r="F1653">
        <v>3.3067938320000001E-5</v>
      </c>
      <c r="G1653">
        <v>4.445694056E-7</v>
      </c>
      <c r="H1653">
        <v>5.5313833200000002E-2</v>
      </c>
      <c r="I1653">
        <v>5.2717411979999997E-2</v>
      </c>
    </row>
    <row r="1654" spans="1:9" hidden="1" x14ac:dyDescent="0.2">
      <c r="A1654" t="s">
        <v>680</v>
      </c>
      <c r="B1654" t="s">
        <v>846</v>
      </c>
      <c r="C1654" t="s">
        <v>581</v>
      </c>
      <c r="D1654">
        <v>-0.24051433320000001</v>
      </c>
      <c r="E1654">
        <v>-3.4561947320000002E-5</v>
      </c>
      <c r="F1654">
        <v>-3.3067938320000001E-5</v>
      </c>
      <c r="G1654">
        <v>-4.445694056E-7</v>
      </c>
      <c r="H1654">
        <v>-5.5313833200000002E-2</v>
      </c>
      <c r="I1654">
        <v>-5.2717411979999997E-2</v>
      </c>
    </row>
    <row r="1655" spans="1:9" hidden="1" x14ac:dyDescent="0.2">
      <c r="A1655" t="s">
        <v>681</v>
      </c>
      <c r="B1655" t="s">
        <v>828</v>
      </c>
      <c r="C1655" t="s">
        <v>581</v>
      </c>
      <c r="D1655">
        <v>3.4153983014999999E-3</v>
      </c>
      <c r="E1655">
        <v>0.1185762269</v>
      </c>
      <c r="F1655">
        <v>6.5085823299999998E-2</v>
      </c>
      <c r="G1655">
        <v>0.1180832585</v>
      </c>
      <c r="H1655">
        <v>4.1287748729999997E-2</v>
      </c>
      <c r="I1655">
        <v>4.5565058140000003E-2</v>
      </c>
    </row>
    <row r="1656" spans="1:9" hidden="1" x14ac:dyDescent="0.2">
      <c r="A1656" t="s">
        <v>681</v>
      </c>
      <c r="B1656" t="s">
        <v>832</v>
      </c>
      <c r="C1656" t="s">
        <v>581</v>
      </c>
      <c r="D1656">
        <v>-3.0741806234000002E-3</v>
      </c>
      <c r="E1656">
        <v>-0.10672930310000001</v>
      </c>
      <c r="F1656">
        <v>-5.8583103540000001E-2</v>
      </c>
      <c r="G1656">
        <v>-0.1062855612</v>
      </c>
      <c r="H1656">
        <v>-3.7162690140000003E-2</v>
      </c>
      <c r="I1656">
        <v>-4.1012661450000001E-2</v>
      </c>
    </row>
    <row r="1657" spans="1:9" hidden="1" x14ac:dyDescent="0.2">
      <c r="A1657" t="s">
        <v>682</v>
      </c>
      <c r="B1657" t="s">
        <v>821</v>
      </c>
      <c r="C1657" t="s">
        <v>581</v>
      </c>
      <c r="D1657">
        <v>0.24156992020000001</v>
      </c>
      <c r="E1657">
        <v>4.6723680369999997E-5</v>
      </c>
      <c r="F1657">
        <v>4.410153226E-2</v>
      </c>
      <c r="G1657">
        <v>6.6538584249999996E-7</v>
      </c>
      <c r="H1657">
        <v>6.8093411359999995E-2</v>
      </c>
      <c r="I1657">
        <v>6.4232331810000001E-2</v>
      </c>
    </row>
    <row r="1658" spans="1:9" hidden="1" x14ac:dyDescent="0.2">
      <c r="A1658" t="s">
        <v>682</v>
      </c>
      <c r="B1658" t="s">
        <v>832</v>
      </c>
      <c r="C1658" t="s">
        <v>581</v>
      </c>
      <c r="D1658">
        <v>-0.24156992020000001</v>
      </c>
      <c r="E1658">
        <v>-4.6723680369999997E-5</v>
      </c>
      <c r="F1658">
        <v>-4.410153226E-2</v>
      </c>
      <c r="G1658">
        <v>-6.6538584249999996E-7</v>
      </c>
      <c r="H1658">
        <v>-6.8093411359999995E-2</v>
      </c>
      <c r="I1658">
        <v>-6.4232331810000001E-2</v>
      </c>
    </row>
    <row r="1659" spans="1:9" hidden="1" x14ac:dyDescent="0.2">
      <c r="A1659" t="s">
        <v>683</v>
      </c>
      <c r="B1659" t="s">
        <v>832</v>
      </c>
      <c r="C1659" t="s">
        <v>581</v>
      </c>
      <c r="D1659">
        <v>-7.1486218192399998E-4</v>
      </c>
      <c r="E1659">
        <v>-2.355476952E-5</v>
      </c>
      <c r="F1659">
        <v>-1.436240944E-5</v>
      </c>
      <c r="G1659">
        <v>-1.7835604019999999E-7</v>
      </c>
      <c r="H1659">
        <v>-5.4994396560000001E-6</v>
      </c>
      <c r="I1659">
        <v>-1.6843562199999998E-5</v>
      </c>
    </row>
    <row r="1660" spans="1:9" hidden="1" x14ac:dyDescent="0.2">
      <c r="A1660" t="s">
        <v>683</v>
      </c>
      <c r="B1660" t="s">
        <v>824</v>
      </c>
      <c r="C1660" t="s">
        <v>581</v>
      </c>
      <c r="D1660">
        <v>7.93480798054E-4</v>
      </c>
      <c r="E1660">
        <v>2.6117237650000001E-5</v>
      </c>
      <c r="F1660">
        <v>1.5937574649999999E-5</v>
      </c>
      <c r="G1660">
        <v>1.979748947E-7</v>
      </c>
      <c r="H1660">
        <v>6.1043682050000001E-6</v>
      </c>
      <c r="I1660">
        <v>1.868769523E-5</v>
      </c>
    </row>
    <row r="1661" spans="1:9" hidden="1" x14ac:dyDescent="0.2">
      <c r="A1661" t="s">
        <v>684</v>
      </c>
      <c r="B1661" t="s">
        <v>821</v>
      </c>
      <c r="C1661" t="s">
        <v>581</v>
      </c>
      <c r="D1661">
        <v>0.3873060143</v>
      </c>
      <c r="E1661">
        <v>0.20775217039999999</v>
      </c>
      <c r="F1661">
        <v>0.19977670719999999</v>
      </c>
      <c r="G1661">
        <v>0.20675542</v>
      </c>
      <c r="H1661">
        <v>0.2047619021</v>
      </c>
      <c r="I1661">
        <v>0.2047619021</v>
      </c>
    </row>
    <row r="1662" spans="1:9" hidden="1" x14ac:dyDescent="0.2">
      <c r="A1662" t="s">
        <v>684</v>
      </c>
      <c r="B1662" t="s">
        <v>833</v>
      </c>
      <c r="C1662" t="s">
        <v>581</v>
      </c>
      <c r="D1662">
        <v>-0.38347130219999997</v>
      </c>
      <c r="E1662">
        <v>-0.2056952182</v>
      </c>
      <c r="F1662">
        <v>-0.19779872000000001</v>
      </c>
      <c r="G1662">
        <v>-0.20470833660000001</v>
      </c>
      <c r="H1662">
        <v>-0.2027345566</v>
      </c>
      <c r="I1662">
        <v>-0.2027345566</v>
      </c>
    </row>
    <row r="1663" spans="1:9" hidden="1" x14ac:dyDescent="0.2">
      <c r="A1663" t="s">
        <v>685</v>
      </c>
      <c r="B1663" t="s">
        <v>821</v>
      </c>
      <c r="C1663" t="s">
        <v>581</v>
      </c>
      <c r="D1663">
        <v>0.36835474200000001</v>
      </c>
      <c r="E1663">
        <v>0.15975908220000001</v>
      </c>
      <c r="F1663">
        <v>0.15362604069999999</v>
      </c>
      <c r="G1663">
        <v>0.15899259230000001</v>
      </c>
      <c r="H1663">
        <v>0.15745959949999999</v>
      </c>
      <c r="I1663">
        <v>0.15745959949999999</v>
      </c>
    </row>
    <row r="1664" spans="1:9" hidden="1" x14ac:dyDescent="0.2">
      <c r="A1664" t="s">
        <v>685</v>
      </c>
      <c r="B1664" t="s">
        <v>830</v>
      </c>
      <c r="C1664" t="s">
        <v>581</v>
      </c>
      <c r="D1664">
        <v>0.92088685380000002</v>
      </c>
      <c r="E1664">
        <v>0.39939770489999998</v>
      </c>
      <c r="F1664">
        <v>0.38406510119999998</v>
      </c>
      <c r="G1664">
        <v>0.39748148020000001</v>
      </c>
      <c r="H1664">
        <v>0.3936489983</v>
      </c>
      <c r="I1664">
        <v>0.3936489983</v>
      </c>
    </row>
    <row r="1665" spans="1:9" hidden="1" x14ac:dyDescent="0.2">
      <c r="A1665" t="s">
        <v>685</v>
      </c>
      <c r="B1665" t="s">
        <v>825</v>
      </c>
      <c r="C1665" t="s">
        <v>581</v>
      </c>
      <c r="D1665">
        <v>-1.2892415960000001</v>
      </c>
      <c r="E1665">
        <v>-0.55915678700000004</v>
      </c>
      <c r="F1665">
        <v>-0.5376911419</v>
      </c>
      <c r="G1665">
        <v>-0.55647407250000003</v>
      </c>
      <c r="H1665">
        <v>-0.55110859779999999</v>
      </c>
      <c r="I1665">
        <v>-0.55110859779999999</v>
      </c>
    </row>
    <row r="1666" spans="1:9" hidden="1" x14ac:dyDescent="0.2">
      <c r="A1666" t="s">
        <v>686</v>
      </c>
      <c r="B1666" t="s">
        <v>827</v>
      </c>
      <c r="C1666" t="s">
        <v>194</v>
      </c>
      <c r="D1666">
        <v>-1.9944041126E-6</v>
      </c>
      <c r="E1666">
        <v>-4.475699158E-7</v>
      </c>
      <c r="F1666">
        <v>-6.1055262790000002E-2</v>
      </c>
      <c r="G1666">
        <v>-5.7378331339999998E-2</v>
      </c>
      <c r="H1666">
        <v>-4.9094950409999998E-2</v>
      </c>
      <c r="I1666">
        <v>-3.1541660639999997E-2</v>
      </c>
    </row>
    <row r="1667" spans="1:9" hidden="1" x14ac:dyDescent="0.2">
      <c r="A1667" t="s">
        <v>686</v>
      </c>
      <c r="B1667" t="s">
        <v>821</v>
      </c>
      <c r="C1667" t="s">
        <v>194</v>
      </c>
      <c r="D1667">
        <v>1.6187836508E-6</v>
      </c>
      <c r="E1667">
        <v>4.7200539080000002E-7</v>
      </c>
      <c r="F1667">
        <v>7.4029497050000004E-2</v>
      </c>
      <c r="G1667">
        <v>7.4304939079999993E-2</v>
      </c>
      <c r="H1667">
        <v>6.7628294150000004E-2</v>
      </c>
      <c r="I1667">
        <v>4.6050788330000002E-2</v>
      </c>
    </row>
    <row r="1668" spans="1:9" hidden="1" x14ac:dyDescent="0.2">
      <c r="A1668" t="s">
        <v>686</v>
      </c>
      <c r="B1668" t="s">
        <v>833</v>
      </c>
      <c r="C1668" t="s">
        <v>194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 spans="1:9" hidden="1" x14ac:dyDescent="0.2">
      <c r="A1669" t="s">
        <v>687</v>
      </c>
      <c r="B1669" t="s">
        <v>828</v>
      </c>
      <c r="C1669" t="s">
        <v>2</v>
      </c>
      <c r="D1669">
        <v>1.7584534119999999</v>
      </c>
      <c r="E1669">
        <v>2.867714323</v>
      </c>
      <c r="F1669">
        <v>3.0026473579999999</v>
      </c>
      <c r="G1669">
        <v>3.1687938490000001</v>
      </c>
      <c r="H1669">
        <v>1.5091423070000001</v>
      </c>
      <c r="I1669">
        <v>1.16340595E-2</v>
      </c>
    </row>
    <row r="1670" spans="1:9" hidden="1" x14ac:dyDescent="0.2">
      <c r="A1670" t="s">
        <v>687</v>
      </c>
      <c r="B1670" t="s">
        <v>846</v>
      </c>
      <c r="C1670" t="s">
        <v>2</v>
      </c>
      <c r="D1670">
        <v>-1.7584534119999999</v>
      </c>
      <c r="E1670">
        <v>-2.867714323</v>
      </c>
      <c r="F1670">
        <v>-3.0026473579999999</v>
      </c>
      <c r="G1670">
        <v>-3.1687938490000001</v>
      </c>
      <c r="H1670">
        <v>-1.5091423070000001</v>
      </c>
      <c r="I1670">
        <v>-1.16340595E-2</v>
      </c>
    </row>
    <row r="1671" spans="1:9" hidden="1" x14ac:dyDescent="0.2">
      <c r="A1671" t="s">
        <v>688</v>
      </c>
      <c r="B1671" t="s">
        <v>821</v>
      </c>
      <c r="C1671" t="s">
        <v>2</v>
      </c>
      <c r="D1671">
        <v>0</v>
      </c>
      <c r="E1671">
        <v>3.1771706970000002E-5</v>
      </c>
      <c r="F1671">
        <v>5.0089573159999999E-5</v>
      </c>
      <c r="G1671">
        <v>4.9971069690000004E-7</v>
      </c>
      <c r="H1671">
        <v>1.5479612309999999</v>
      </c>
      <c r="I1671">
        <v>1.4723866480000001</v>
      </c>
    </row>
    <row r="1672" spans="1:9" hidden="1" x14ac:dyDescent="0.2">
      <c r="A1672" t="s">
        <v>688</v>
      </c>
      <c r="B1672" t="s">
        <v>846</v>
      </c>
      <c r="C1672" t="s">
        <v>2</v>
      </c>
      <c r="D1672">
        <v>0</v>
      </c>
      <c r="E1672">
        <v>-3.1771706970000002E-5</v>
      </c>
      <c r="F1672">
        <v>-5.0089573159999999E-5</v>
      </c>
      <c r="G1672">
        <v>-4.9971069690000004E-7</v>
      </c>
      <c r="H1672">
        <v>-1.5479612309999999</v>
      </c>
      <c r="I1672">
        <v>-1.4723866480000001</v>
      </c>
    </row>
    <row r="1673" spans="1:9" hidden="1" x14ac:dyDescent="0.2">
      <c r="A1673" t="s">
        <v>689</v>
      </c>
      <c r="B1673" t="s">
        <v>828</v>
      </c>
      <c r="C1673" t="s">
        <v>128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 spans="1:9" hidden="1" x14ac:dyDescent="0.2">
      <c r="A1674" t="s">
        <v>689</v>
      </c>
      <c r="B1674" t="s">
        <v>846</v>
      </c>
      <c r="C1674" t="s">
        <v>128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 spans="1:9" hidden="1" x14ac:dyDescent="0.2">
      <c r="A1675" t="s">
        <v>690</v>
      </c>
      <c r="B1675" t="s">
        <v>821</v>
      </c>
      <c r="C1675" t="s">
        <v>128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</row>
    <row r="1676" spans="1:9" hidden="1" x14ac:dyDescent="0.2">
      <c r="A1676" t="s">
        <v>690</v>
      </c>
      <c r="B1676" t="s">
        <v>846</v>
      </c>
      <c r="C1676" t="s">
        <v>128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 spans="1:9" hidden="1" x14ac:dyDescent="0.2">
      <c r="A1677" t="s">
        <v>691</v>
      </c>
      <c r="B1677" t="s">
        <v>867</v>
      </c>
      <c r="C1677" t="s">
        <v>3</v>
      </c>
      <c r="D1677">
        <v>1.2456932583</v>
      </c>
      <c r="E1677">
        <v>0.24806216349999999</v>
      </c>
      <c r="F1677">
        <v>0.18428928480000001</v>
      </c>
      <c r="G1677">
        <v>0.1485757858</v>
      </c>
      <c r="H1677">
        <v>0.1095032308</v>
      </c>
      <c r="I1677">
        <v>0.83839523240000002</v>
      </c>
    </row>
    <row r="1678" spans="1:9" hidden="1" x14ac:dyDescent="0.2">
      <c r="A1678" t="s">
        <v>691</v>
      </c>
      <c r="B1678" t="s">
        <v>846</v>
      </c>
      <c r="C1678" t="s">
        <v>3</v>
      </c>
      <c r="D1678">
        <v>-23.25957176</v>
      </c>
      <c r="E1678">
        <v>-13.87101831</v>
      </c>
      <c r="F1678">
        <v>-12.208551870000001</v>
      </c>
      <c r="G1678">
        <v>-10.039569630000001</v>
      </c>
      <c r="H1678">
        <v>-8.2145003429999992</v>
      </c>
      <c r="I1678">
        <v>-7.0075567369999998</v>
      </c>
    </row>
    <row r="1679" spans="1:9" hidden="1" x14ac:dyDescent="0.2">
      <c r="A1679" t="s">
        <v>691</v>
      </c>
      <c r="B1679" t="s">
        <v>858</v>
      </c>
      <c r="C1679" t="s">
        <v>3</v>
      </c>
      <c r="D1679">
        <v>22.010055600000001</v>
      </c>
      <c r="E1679">
        <v>13.62295241</v>
      </c>
      <c r="F1679">
        <v>12.02426095</v>
      </c>
      <c r="G1679">
        <v>9.8909937620000008</v>
      </c>
      <c r="H1679">
        <v>8.1049860460000005</v>
      </c>
      <c r="I1679">
        <v>6.1510694929999996</v>
      </c>
    </row>
    <row r="1680" spans="1:9" hidden="1" x14ac:dyDescent="0.2">
      <c r="A1680" t="s">
        <v>691</v>
      </c>
      <c r="B1680" t="s">
        <v>868</v>
      </c>
      <c r="C1680" t="s">
        <v>3</v>
      </c>
      <c r="D1680">
        <v>3.8230716910000002E-3</v>
      </c>
      <c r="E1680">
        <v>4.2546428589999996E-6</v>
      </c>
      <c r="F1680">
        <v>1.7188711130000001E-6</v>
      </c>
      <c r="G1680">
        <v>0</v>
      </c>
      <c r="H1680">
        <v>1.10664613E-5</v>
      </c>
      <c r="I1680">
        <v>1.809216843E-2</v>
      </c>
    </row>
    <row r="1681" spans="1:9" hidden="1" x14ac:dyDescent="0.2">
      <c r="A1681" t="s">
        <v>692</v>
      </c>
      <c r="B1681" t="s">
        <v>867</v>
      </c>
      <c r="C1681" t="s">
        <v>3</v>
      </c>
      <c r="D1681">
        <v>1.455077183E-6</v>
      </c>
      <c r="E1681">
        <v>8.7734214630000003E-4</v>
      </c>
      <c r="F1681">
        <v>0</v>
      </c>
      <c r="G1681">
        <v>0</v>
      </c>
      <c r="H1681">
        <v>0</v>
      </c>
      <c r="I1681">
        <v>0</v>
      </c>
    </row>
    <row r="1682" spans="1:9" hidden="1" x14ac:dyDescent="0.2">
      <c r="A1682" t="s">
        <v>692</v>
      </c>
      <c r="B1682" t="s">
        <v>834</v>
      </c>
      <c r="C1682" t="s">
        <v>3</v>
      </c>
      <c r="D1682">
        <v>-3.1063420279999998E-6</v>
      </c>
      <c r="E1682">
        <v>-1.6442081590000001E-3</v>
      </c>
      <c r="F1682">
        <v>0</v>
      </c>
      <c r="G1682">
        <v>0</v>
      </c>
      <c r="H1682">
        <v>0</v>
      </c>
      <c r="I1682">
        <v>0</v>
      </c>
    </row>
    <row r="1683" spans="1:9" hidden="1" x14ac:dyDescent="0.2">
      <c r="A1683" t="s">
        <v>692</v>
      </c>
      <c r="B1683" t="s">
        <v>858</v>
      </c>
      <c r="C1683" t="s">
        <v>3</v>
      </c>
      <c r="D1683">
        <v>1.6876721920000001E-6</v>
      </c>
      <c r="E1683">
        <v>7.6437658569999999E-4</v>
      </c>
      <c r="F1683">
        <v>0</v>
      </c>
      <c r="G1683">
        <v>0</v>
      </c>
      <c r="H1683">
        <v>0</v>
      </c>
      <c r="I1683">
        <v>0</v>
      </c>
    </row>
    <row r="1684" spans="1:9" hidden="1" x14ac:dyDescent="0.2">
      <c r="A1684" t="s">
        <v>692</v>
      </c>
      <c r="B1684" t="s">
        <v>868</v>
      </c>
      <c r="C1684" t="s">
        <v>3</v>
      </c>
      <c r="D1684">
        <v>0</v>
      </c>
      <c r="E1684">
        <v>3.0086368219999998E-6</v>
      </c>
      <c r="F1684">
        <v>0</v>
      </c>
      <c r="G1684">
        <v>0</v>
      </c>
      <c r="H1684">
        <v>0</v>
      </c>
      <c r="I1684">
        <v>0</v>
      </c>
    </row>
    <row r="1685" spans="1:9" hidden="1" x14ac:dyDescent="0.2">
      <c r="A1685" t="s">
        <v>693</v>
      </c>
      <c r="B1685" t="s">
        <v>850</v>
      </c>
      <c r="C1685" t="s">
        <v>3</v>
      </c>
      <c r="D1685">
        <v>2.9209900539999998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 hidden="1" x14ac:dyDescent="0.2">
      <c r="A1686" t="s">
        <v>693</v>
      </c>
      <c r="B1686" t="s">
        <v>838</v>
      </c>
      <c r="C1686" t="s">
        <v>3</v>
      </c>
      <c r="D1686">
        <v>-11.919587460000001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 hidden="1" x14ac:dyDescent="0.2">
      <c r="A1687" t="s">
        <v>693</v>
      </c>
      <c r="B1687" t="s">
        <v>849</v>
      </c>
      <c r="C1687" t="s">
        <v>3</v>
      </c>
      <c r="D1687">
        <v>2.9209900539999998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 spans="1:9" hidden="1" x14ac:dyDescent="0.2">
      <c r="A1688" t="s">
        <v>693</v>
      </c>
      <c r="B1688" t="s">
        <v>841</v>
      </c>
      <c r="C1688" t="s">
        <v>3</v>
      </c>
      <c r="D1688">
        <v>6.0776075760000001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 spans="1:9" hidden="1" x14ac:dyDescent="0.2">
      <c r="A1689" t="s">
        <v>694</v>
      </c>
      <c r="B1689" t="s">
        <v>828</v>
      </c>
      <c r="C1689" t="s">
        <v>3</v>
      </c>
      <c r="D1689">
        <v>3.1648499518000001E-5</v>
      </c>
      <c r="E1689">
        <v>13.424631809999999</v>
      </c>
      <c r="F1689">
        <v>12.74946342</v>
      </c>
      <c r="G1689">
        <v>0</v>
      </c>
      <c r="H1689">
        <v>0</v>
      </c>
      <c r="I1689">
        <v>0</v>
      </c>
    </row>
    <row r="1690" spans="1:9" hidden="1" x14ac:dyDescent="0.2">
      <c r="A1690" t="s">
        <v>694</v>
      </c>
      <c r="B1690" t="s">
        <v>827</v>
      </c>
      <c r="C1690" t="s">
        <v>3</v>
      </c>
      <c r="D1690">
        <v>1.1165938840000001E-7</v>
      </c>
      <c r="E1690">
        <v>0.1342465336</v>
      </c>
      <c r="F1690">
        <v>0.12749467</v>
      </c>
      <c r="G1690">
        <v>0</v>
      </c>
      <c r="H1690">
        <v>0</v>
      </c>
      <c r="I1690">
        <v>0</v>
      </c>
    </row>
    <row r="1691" spans="1:9" hidden="1" x14ac:dyDescent="0.2">
      <c r="A1691" t="s">
        <v>694</v>
      </c>
      <c r="B1691" t="s">
        <v>897</v>
      </c>
      <c r="C1691" t="s">
        <v>3</v>
      </c>
      <c r="D1691">
        <v>-2.0211827387000001E-5</v>
      </c>
      <c r="E1691">
        <v>-8.9497546289999992</v>
      </c>
      <c r="F1691">
        <v>-8.4996422920000008</v>
      </c>
      <c r="G1691">
        <v>0</v>
      </c>
      <c r="H1691">
        <v>0</v>
      </c>
      <c r="I1691">
        <v>0</v>
      </c>
    </row>
    <row r="1692" spans="1:9" hidden="1" x14ac:dyDescent="0.2">
      <c r="A1692" t="s">
        <v>694</v>
      </c>
      <c r="B1692" t="s">
        <v>825</v>
      </c>
      <c r="C1692" t="s">
        <v>3</v>
      </c>
      <c r="D1692">
        <v>-2.2641324967000001E-6</v>
      </c>
      <c r="E1692">
        <v>-0.89497569649999997</v>
      </c>
      <c r="F1692">
        <v>-0.84996426759999999</v>
      </c>
      <c r="G1692">
        <v>0</v>
      </c>
      <c r="H1692">
        <v>0</v>
      </c>
      <c r="I1692">
        <v>0</v>
      </c>
    </row>
    <row r="1693" spans="1:9" hidden="1" x14ac:dyDescent="0.2">
      <c r="A1693" t="s">
        <v>695</v>
      </c>
      <c r="B1693" t="s">
        <v>899</v>
      </c>
      <c r="C1693" t="s">
        <v>7</v>
      </c>
      <c r="D1693">
        <v>0</v>
      </c>
      <c r="E1693">
        <v>-9.3335947080000006E-6</v>
      </c>
      <c r="F1693">
        <v>-5.9827966389999999E-6</v>
      </c>
      <c r="G1693">
        <v>-1.3940147580000001E-7</v>
      </c>
      <c r="H1693">
        <v>-3.722920838E-6</v>
      </c>
      <c r="I1693">
        <v>-8.2647874320000002E-6</v>
      </c>
    </row>
    <row r="1694" spans="1:9" hidden="1" x14ac:dyDescent="0.2">
      <c r="A1694" t="s">
        <v>695</v>
      </c>
      <c r="B1694" t="s">
        <v>820</v>
      </c>
      <c r="C1694" t="s">
        <v>7</v>
      </c>
      <c r="D1694">
        <v>1.227345282575619</v>
      </c>
      <c r="E1694">
        <v>5.0168001300000002E-5</v>
      </c>
      <c r="F1694">
        <v>3.8751240390000002E-5</v>
      </c>
      <c r="G1694">
        <v>2.8289580980000002E-6</v>
      </c>
      <c r="H1694">
        <v>4.4727730089999999E-5</v>
      </c>
      <c r="I1694">
        <v>4.0923214770000003E-5</v>
      </c>
    </row>
    <row r="1695" spans="1:9" hidden="1" x14ac:dyDescent="0.2">
      <c r="A1695" t="s">
        <v>695</v>
      </c>
      <c r="B1695" t="s">
        <v>898</v>
      </c>
      <c r="C1695" t="s">
        <v>7</v>
      </c>
      <c r="D1695">
        <v>-0.68240404828039603</v>
      </c>
      <c r="E1695">
        <v>-1.893468323E-5</v>
      </c>
      <c r="F1695">
        <v>-1.5624589029999999E-5</v>
      </c>
      <c r="G1695">
        <v>-1.433503294E-6</v>
      </c>
      <c r="H1695">
        <v>-2.1145825909999999E-5</v>
      </c>
      <c r="I1695">
        <v>-1.4602186570000001E-5</v>
      </c>
    </row>
    <row r="1696" spans="1:9" hidden="1" x14ac:dyDescent="0.2">
      <c r="A1696" t="s">
        <v>695</v>
      </c>
      <c r="B1696" t="s">
        <v>821</v>
      </c>
      <c r="C1696" t="s">
        <v>7</v>
      </c>
      <c r="D1696">
        <v>-8.1888061220000002E-2</v>
      </c>
      <c r="E1696">
        <v>-3.589492943E-6</v>
      </c>
      <c r="F1696">
        <v>-2.6253578649999998E-6</v>
      </c>
      <c r="G1696">
        <v>-1.8875071310000001E-7</v>
      </c>
      <c r="H1696">
        <v>-2.9843174099999998E-6</v>
      </c>
      <c r="I1696">
        <v>-2.803861401E-6</v>
      </c>
    </row>
    <row r="1697" spans="1:9" hidden="1" x14ac:dyDescent="0.2">
      <c r="A1697" t="s">
        <v>696</v>
      </c>
      <c r="B1697" t="s">
        <v>898</v>
      </c>
      <c r="C1697" t="s">
        <v>3</v>
      </c>
      <c r="D1697">
        <v>0.78239191766999994</v>
      </c>
      <c r="E1697">
        <v>0.10017747320000001</v>
      </c>
      <c r="F1697">
        <v>0.1002881917</v>
      </c>
      <c r="G1697">
        <v>8.0961716999999993</v>
      </c>
      <c r="H1697">
        <v>6.4971232670000001</v>
      </c>
      <c r="I1697">
        <v>2.4135086779999999</v>
      </c>
    </row>
    <row r="1698" spans="1:9" hidden="1" x14ac:dyDescent="0.2">
      <c r="A1698" t="s">
        <v>696</v>
      </c>
      <c r="B1698" t="s">
        <v>897</v>
      </c>
      <c r="C1698" t="s">
        <v>3</v>
      </c>
      <c r="D1698">
        <v>9.1885945853399988</v>
      </c>
      <c r="E1698">
        <v>9.0496057140000001</v>
      </c>
      <c r="F1698">
        <v>8.5995653799999996</v>
      </c>
      <c r="G1698">
        <v>9.9999410780000006E-2</v>
      </c>
      <c r="H1698">
        <v>9.9986551140000005E-2</v>
      </c>
      <c r="I1698">
        <v>9.9939588460000006E-2</v>
      </c>
    </row>
    <row r="1699" spans="1:9" hidden="1" x14ac:dyDescent="0.2">
      <c r="A1699" t="s">
        <v>696</v>
      </c>
      <c r="B1699" t="s">
        <v>900</v>
      </c>
      <c r="C1699" t="s">
        <v>3</v>
      </c>
      <c r="D1699">
        <v>9.811494420299999</v>
      </c>
      <c r="E1699">
        <v>0.100274212</v>
      </c>
      <c r="F1699">
        <v>0.1000984338</v>
      </c>
      <c r="G1699">
        <v>0.10002117889999999</v>
      </c>
      <c r="H1699">
        <v>1.1399873570000001</v>
      </c>
      <c r="I1699">
        <v>4.6044760379999996</v>
      </c>
    </row>
    <row r="1700" spans="1:9" hidden="1" x14ac:dyDescent="0.2">
      <c r="A1700" t="s">
        <v>697</v>
      </c>
      <c r="B1700" t="s">
        <v>865</v>
      </c>
      <c r="C1700" t="s">
        <v>3</v>
      </c>
      <c r="D1700">
        <v>-1.634712074E-6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 hidden="1" x14ac:dyDescent="0.2">
      <c r="A1701" t="s">
        <v>697</v>
      </c>
      <c r="B1701" t="s">
        <v>898</v>
      </c>
      <c r="C1701" t="s">
        <v>3</v>
      </c>
      <c r="D1701">
        <v>1.9682197600000001E-5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 spans="1:9" hidden="1" x14ac:dyDescent="0.2">
      <c r="A1702" t="s">
        <v>697</v>
      </c>
      <c r="B1702" t="s">
        <v>821</v>
      </c>
      <c r="C1702" t="s">
        <v>3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1:9" hidden="1" x14ac:dyDescent="0.2">
      <c r="A1703" t="s">
        <v>697</v>
      </c>
      <c r="B1703" t="s">
        <v>833</v>
      </c>
      <c r="C1703" t="s">
        <v>3</v>
      </c>
      <c r="D1703">
        <v>1.6378986389999998E-5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 spans="1:9" hidden="1" x14ac:dyDescent="0.2">
      <c r="A1704" t="s">
        <v>697</v>
      </c>
      <c r="B1704" t="s">
        <v>850</v>
      </c>
      <c r="C1704" t="s">
        <v>3</v>
      </c>
      <c r="D1704">
        <v>-1.887103368E-6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1:9" hidden="1" x14ac:dyDescent="0.2">
      <c r="A1705" t="s">
        <v>697</v>
      </c>
      <c r="B1705" t="s">
        <v>897</v>
      </c>
      <c r="C1705" t="s">
        <v>3</v>
      </c>
      <c r="D1705">
        <v>2.2804611949999999E-5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 hidden="1" x14ac:dyDescent="0.2">
      <c r="A1706" t="s">
        <v>697</v>
      </c>
      <c r="B1706" t="s">
        <v>839</v>
      </c>
      <c r="C1706" t="s">
        <v>3</v>
      </c>
      <c r="D1706">
        <v>-2.8030408079999999E-6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 spans="1:9" hidden="1" x14ac:dyDescent="0.2">
      <c r="A1707" t="s">
        <v>697</v>
      </c>
      <c r="B1707" t="s">
        <v>840</v>
      </c>
      <c r="C1707" t="s">
        <v>3</v>
      </c>
      <c r="D1707">
        <v>-1.739741088E-6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 spans="1:9" hidden="1" x14ac:dyDescent="0.2">
      <c r="A1708" t="s">
        <v>697</v>
      </c>
      <c r="B1708" t="s">
        <v>841</v>
      </c>
      <c r="C1708" t="s">
        <v>3</v>
      </c>
      <c r="D1708">
        <v>-2.0088347470000001E-6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 hidden="1" x14ac:dyDescent="0.2">
      <c r="A1709" t="s">
        <v>697</v>
      </c>
      <c r="B1709" t="s">
        <v>866</v>
      </c>
      <c r="C1709" t="s">
        <v>3</v>
      </c>
      <c r="D1709">
        <v>-2.6320138809999998E-6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 hidden="1" x14ac:dyDescent="0.2">
      <c r="A1710" t="s">
        <v>697</v>
      </c>
      <c r="B1710" t="s">
        <v>900</v>
      </c>
      <c r="C1710" t="s">
        <v>3</v>
      </c>
      <c r="D1710">
        <v>3.2020140900000003E-5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 spans="1:9" hidden="1" x14ac:dyDescent="0.2">
      <c r="A1711" t="s">
        <v>698</v>
      </c>
      <c r="B1711" t="s">
        <v>827</v>
      </c>
      <c r="C1711" t="s">
        <v>405</v>
      </c>
      <c r="D1711">
        <v>0.4372240107</v>
      </c>
      <c r="E1711">
        <v>2.8687253180000001E-5</v>
      </c>
      <c r="F1711">
        <v>1.1641600169999999E-5</v>
      </c>
      <c r="G1711">
        <v>1.5103010760000001E-6</v>
      </c>
      <c r="H1711">
        <v>7.7306326829999994E-2</v>
      </c>
      <c r="I1711">
        <v>0.33483331090000001</v>
      </c>
    </row>
    <row r="1712" spans="1:9" hidden="1" x14ac:dyDescent="0.2">
      <c r="A1712" t="s">
        <v>698</v>
      </c>
      <c r="B1712" t="s">
        <v>821</v>
      </c>
      <c r="C1712" t="s">
        <v>405</v>
      </c>
      <c r="D1712">
        <v>0.31586149899999999</v>
      </c>
      <c r="E1712">
        <v>2.030252667E-5</v>
      </c>
      <c r="F1712">
        <v>8.3394166050000001E-6</v>
      </c>
      <c r="G1712">
        <v>1.091074351E-6</v>
      </c>
      <c r="H1712">
        <v>5.58480108E-2</v>
      </c>
      <c r="I1712">
        <v>0.2418917713</v>
      </c>
    </row>
    <row r="1713" spans="1:9" hidden="1" x14ac:dyDescent="0.2">
      <c r="A1713" t="s">
        <v>698</v>
      </c>
      <c r="B1713" t="s">
        <v>900</v>
      </c>
      <c r="C1713" t="s">
        <v>405</v>
      </c>
      <c r="D1713">
        <v>-5.8819626410000003</v>
      </c>
      <c r="E1713">
        <v>-3.2380360539999999E-4</v>
      </c>
      <c r="F1713">
        <v>-1.2998732520000001E-4</v>
      </c>
      <c r="G1713">
        <v>-1.9814042569999999E-5</v>
      </c>
      <c r="H1713">
        <v>-1.0399794360000001</v>
      </c>
      <c r="I1713">
        <v>-4.5044104699999998</v>
      </c>
    </row>
    <row r="1714" spans="1:9" hidden="1" x14ac:dyDescent="0.2">
      <c r="A1714" t="s">
        <v>698</v>
      </c>
      <c r="B1714" t="s">
        <v>913</v>
      </c>
      <c r="C1714" t="s">
        <v>405</v>
      </c>
      <c r="D1714">
        <v>0</v>
      </c>
      <c r="E1714">
        <v>-4.9954373990000003E-5</v>
      </c>
      <c r="F1714">
        <v>-2.4598886729999998E-5</v>
      </c>
      <c r="G1714">
        <v>-5.0386873009999999E-7</v>
      </c>
      <c r="H1714">
        <v>-2.0763577860000001E-5</v>
      </c>
      <c r="I1714">
        <v>-9.0481261120000002E-5</v>
      </c>
    </row>
    <row r="1715" spans="1:9" hidden="1" x14ac:dyDescent="0.2">
      <c r="A1715" t="s">
        <v>698</v>
      </c>
      <c r="B1715" t="s">
        <v>825</v>
      </c>
      <c r="C1715" t="s">
        <v>405</v>
      </c>
      <c r="D1715">
        <v>-0.52937673880000002</v>
      </c>
      <c r="E1715">
        <v>-3.3851094020000002E-5</v>
      </c>
      <c r="F1715">
        <v>-1.394779421E-5</v>
      </c>
      <c r="G1715">
        <v>-1.828614326E-6</v>
      </c>
      <c r="H1715">
        <v>-9.3600018039999996E-2</v>
      </c>
      <c r="I1715">
        <v>-0.4054051501</v>
      </c>
    </row>
    <row r="1716" spans="1:9" hidden="1" x14ac:dyDescent="0.2">
      <c r="A1716" t="s">
        <v>698</v>
      </c>
      <c r="B1716" t="s">
        <v>824</v>
      </c>
      <c r="C1716" t="s">
        <v>405</v>
      </c>
      <c r="D1716">
        <v>7.1566595250000002</v>
      </c>
      <c r="E1716">
        <v>4.5464361320000002E-4</v>
      </c>
      <c r="F1716">
        <v>1.880685105E-4</v>
      </c>
      <c r="G1716">
        <v>2.4721067969999999E-5</v>
      </c>
      <c r="H1716">
        <v>1.265381597</v>
      </c>
      <c r="I1716">
        <v>5.4806842680000001</v>
      </c>
    </row>
    <row r="1717" spans="1:9" hidden="1" x14ac:dyDescent="0.2">
      <c r="A1717" t="s">
        <v>699</v>
      </c>
      <c r="B1717" t="s">
        <v>821</v>
      </c>
      <c r="C1717" t="s">
        <v>405</v>
      </c>
      <c r="D1717">
        <v>5.511976756E-5</v>
      </c>
      <c r="E1717">
        <v>3.019725809E-5</v>
      </c>
      <c r="F1717">
        <v>2.5783130409999999E-5</v>
      </c>
      <c r="G1717">
        <v>4.7734727829999995E-7</v>
      </c>
      <c r="H1717">
        <v>1.487428095E-5</v>
      </c>
      <c r="I1717">
        <v>5.4766892160000001E-5</v>
      </c>
    </row>
    <row r="1718" spans="1:9" hidden="1" x14ac:dyDescent="0.2">
      <c r="A1718" t="s">
        <v>699</v>
      </c>
      <c r="B1718" t="s">
        <v>900</v>
      </c>
      <c r="C1718" t="s">
        <v>405</v>
      </c>
      <c r="D1718">
        <v>-1.026019186E-4</v>
      </c>
      <c r="E1718">
        <v>-4.1278506109999999E-5</v>
      </c>
      <c r="F1718">
        <v>-3.5329609560000003E-5</v>
      </c>
      <c r="G1718">
        <v>-6.4635367769999995E-7</v>
      </c>
      <c r="H1718">
        <v>-1.9644081949999999E-5</v>
      </c>
      <c r="I1718">
        <v>-7.2156007210000004E-5</v>
      </c>
    </row>
    <row r="1719" spans="1:9" hidden="1" x14ac:dyDescent="0.2">
      <c r="A1719" t="s">
        <v>699</v>
      </c>
      <c r="B1719" t="s">
        <v>913</v>
      </c>
      <c r="C1719" t="s">
        <v>405</v>
      </c>
      <c r="D1719">
        <v>0</v>
      </c>
      <c r="E1719">
        <v>-1.5019806800000001E-5</v>
      </c>
      <c r="F1719">
        <v>-1.2714734260000001E-5</v>
      </c>
      <c r="G1719">
        <v>-2.4302848029999998E-7</v>
      </c>
      <c r="H1719">
        <v>-8.0693266829999995E-6</v>
      </c>
      <c r="I1719">
        <v>-2.989509696E-5</v>
      </c>
    </row>
    <row r="1720" spans="1:9" hidden="1" x14ac:dyDescent="0.2">
      <c r="A1720" t="s">
        <v>699</v>
      </c>
      <c r="B1720" t="s">
        <v>824</v>
      </c>
      <c r="C1720" t="s">
        <v>405</v>
      </c>
      <c r="D1720">
        <v>1.244981379E-4</v>
      </c>
      <c r="E1720">
        <v>6.7955397849999997E-5</v>
      </c>
      <c r="F1720">
        <v>5.8247591920000001E-5</v>
      </c>
      <c r="G1720">
        <v>1.079386412E-6</v>
      </c>
      <c r="H1720">
        <v>3.3633994789999997E-5</v>
      </c>
      <c r="I1720">
        <v>1.237410283E-4</v>
      </c>
    </row>
    <row r="1721" spans="1:9" hidden="1" x14ac:dyDescent="0.2">
      <c r="A1721" t="s">
        <v>700</v>
      </c>
      <c r="B1721" t="s">
        <v>853</v>
      </c>
      <c r="C1721" t="s">
        <v>7</v>
      </c>
      <c r="D1721">
        <v>-5.2998936820000003E-5</v>
      </c>
      <c r="E1721">
        <v>-6.9115829039999998E-5</v>
      </c>
      <c r="F1721">
        <v>-3.1513713120000003E-5</v>
      </c>
      <c r="G1721">
        <v>-2.3849531590000001E-7</v>
      </c>
      <c r="H1721">
        <v>-4.740874716E-6</v>
      </c>
      <c r="I1721">
        <v>-2.543004725E-5</v>
      </c>
    </row>
    <row r="1722" spans="1:9" hidden="1" x14ac:dyDescent="0.2">
      <c r="A1722" t="s">
        <v>700</v>
      </c>
      <c r="B1722" t="s">
        <v>854</v>
      </c>
      <c r="C1722" t="s">
        <v>7</v>
      </c>
      <c r="D1722">
        <v>-6.4492889500000002E-5</v>
      </c>
      <c r="E1722">
        <v>-6.9176999799999995E-5</v>
      </c>
      <c r="F1722">
        <v>-3.2341842710000002E-5</v>
      </c>
      <c r="G1722">
        <v>-3.0292889449999999E-7</v>
      </c>
      <c r="H1722">
        <v>-1.731708863E-5</v>
      </c>
      <c r="I1722">
        <v>-3.6125601349999999E-5</v>
      </c>
    </row>
    <row r="1723" spans="1:9" hidden="1" x14ac:dyDescent="0.2">
      <c r="A1723" t="s">
        <v>700</v>
      </c>
      <c r="B1723" t="s">
        <v>898</v>
      </c>
      <c r="C1723" t="s">
        <v>7</v>
      </c>
      <c r="D1723">
        <v>6.6105211730000006E-5</v>
      </c>
      <c r="E1723">
        <v>7.0906424800000001E-5</v>
      </c>
      <c r="F1723">
        <v>3.3150388769999997E-5</v>
      </c>
      <c r="G1723">
        <v>3.1050211690000002E-7</v>
      </c>
      <c r="H1723">
        <v>1.7750015850000001E-5</v>
      </c>
      <c r="I1723">
        <v>3.7028741379999999E-5</v>
      </c>
    </row>
    <row r="1724" spans="1:9" hidden="1" x14ac:dyDescent="0.2">
      <c r="A1724" t="s">
        <v>700</v>
      </c>
      <c r="B1724" t="s">
        <v>821</v>
      </c>
      <c r="C1724" t="s">
        <v>7</v>
      </c>
      <c r="D1724">
        <v>3.1706879029999998E-5</v>
      </c>
      <c r="E1724">
        <v>4.3515167020000002E-5</v>
      </c>
      <c r="F1724">
        <v>2.1486437860000001E-5</v>
      </c>
      <c r="G1724">
        <v>1.657612335E-7</v>
      </c>
      <c r="H1724">
        <v>7.8424337410000008E-6</v>
      </c>
      <c r="I1724">
        <v>2.1080490539999999E-5</v>
      </c>
    </row>
    <row r="1725" spans="1:9" hidden="1" x14ac:dyDescent="0.2">
      <c r="A1725" t="s">
        <v>700</v>
      </c>
      <c r="B1725" t="s">
        <v>897</v>
      </c>
      <c r="C1725" t="s">
        <v>7</v>
      </c>
      <c r="D1725">
        <v>5.4323910242000001E-5</v>
      </c>
      <c r="E1725">
        <v>7.0843724760000007E-5</v>
      </c>
      <c r="F1725">
        <v>3.230155595E-5</v>
      </c>
      <c r="G1725">
        <v>2.4445769879999998E-7</v>
      </c>
      <c r="H1725">
        <v>4.8593965839999999E-6</v>
      </c>
      <c r="I1725">
        <v>2.6065798430000001E-5</v>
      </c>
    </row>
    <row r="1726" spans="1:9" hidden="1" x14ac:dyDescent="0.2">
      <c r="A1726" t="s">
        <v>700</v>
      </c>
      <c r="B1726" t="s">
        <v>855</v>
      </c>
      <c r="C1726" t="s">
        <v>7</v>
      </c>
      <c r="D1726">
        <v>-4.6420234180000003E-5</v>
      </c>
      <c r="E1726">
        <v>-7.4388246990000006E-5</v>
      </c>
      <c r="F1726">
        <v>-4.5543911980000003E-5</v>
      </c>
      <c r="G1726">
        <v>-3.1964249080000002E-7</v>
      </c>
      <c r="H1726">
        <v>-1.8682806530000001E-5</v>
      </c>
      <c r="I1726">
        <v>-4.3853286060000003E-5</v>
      </c>
    </row>
    <row r="1727" spans="1:9" hidden="1" x14ac:dyDescent="0.2">
      <c r="A1727" t="s">
        <v>700</v>
      </c>
      <c r="B1727" t="s">
        <v>900</v>
      </c>
      <c r="C1727" t="s">
        <v>7</v>
      </c>
      <c r="D1727">
        <v>4.7580740039999999E-5</v>
      </c>
      <c r="E1727">
        <v>7.6247953170000004E-5</v>
      </c>
      <c r="F1727">
        <v>4.668250977E-5</v>
      </c>
      <c r="G1727">
        <v>3.27633553E-7</v>
      </c>
      <c r="H1727">
        <v>1.914987669E-5</v>
      </c>
      <c r="I1727">
        <v>4.4949618219999999E-5</v>
      </c>
    </row>
    <row r="1728" spans="1:9" hidden="1" x14ac:dyDescent="0.2">
      <c r="A1728" t="s">
        <v>701</v>
      </c>
      <c r="B1728" t="s">
        <v>828</v>
      </c>
      <c r="C1728" t="s">
        <v>3</v>
      </c>
      <c r="D1728">
        <v>20.155682753699999</v>
      </c>
      <c r="E1728">
        <v>4.4045903880000001E-3</v>
      </c>
      <c r="F1728">
        <v>9.4788453359999998E-4</v>
      </c>
      <c r="G1728">
        <v>2.188244048E-5</v>
      </c>
      <c r="H1728">
        <v>3.4448469760000003E-5</v>
      </c>
      <c r="I1728">
        <v>8.1668074190000001E-5</v>
      </c>
    </row>
    <row r="1729" spans="1:9" hidden="1" x14ac:dyDescent="0.2">
      <c r="A1729" t="s">
        <v>701</v>
      </c>
      <c r="B1729" t="s">
        <v>833</v>
      </c>
      <c r="C1729" t="s">
        <v>3</v>
      </c>
      <c r="D1729">
        <v>-18.141928686100002</v>
      </c>
      <c r="E1729">
        <v>-3.9645537390000001E-3</v>
      </c>
      <c r="F1729">
        <v>-8.5318566710000003E-4</v>
      </c>
      <c r="G1729">
        <v>-1.9696166330000001E-5</v>
      </c>
      <c r="H1729">
        <v>-3.100673237E-5</v>
      </c>
      <c r="I1729">
        <v>-7.3516482189999997E-5</v>
      </c>
    </row>
    <row r="1730" spans="1:9" hidden="1" x14ac:dyDescent="0.2">
      <c r="A1730" s="60" t="s">
        <v>702</v>
      </c>
      <c r="B1730" s="60" t="s">
        <v>828</v>
      </c>
      <c r="C1730" s="60" t="s">
        <v>2</v>
      </c>
      <c r="D1730" s="60">
        <v>4.8109256461373944</v>
      </c>
      <c r="E1730" s="60">
        <v>4.0429377259999999</v>
      </c>
      <c r="F1730" s="60">
        <v>3.9898617569999999</v>
      </c>
      <c r="G1730" s="60">
        <v>3.8955583659999999</v>
      </c>
      <c r="H1730" s="60">
        <v>3.9033374670000001</v>
      </c>
      <c r="I1730" s="60">
        <v>3.9111204979999998</v>
      </c>
    </row>
    <row r="1731" spans="1:9" hidden="1" x14ac:dyDescent="0.2">
      <c r="A1731" s="60" t="s">
        <v>702</v>
      </c>
      <c r="B1731" s="60" t="s">
        <v>821</v>
      </c>
      <c r="C1731" s="60" t="s">
        <v>2</v>
      </c>
      <c r="D1731" s="60">
        <v>0.85462076326358893</v>
      </c>
      <c r="E1731" s="60">
        <v>0.71819430159999997</v>
      </c>
      <c r="F1731" s="60">
        <v>0.70876562080000005</v>
      </c>
      <c r="G1731" s="60">
        <v>0.69201337709999999</v>
      </c>
      <c r="H1731" s="60">
        <v>0.69339526920000005</v>
      </c>
      <c r="I1731" s="60">
        <v>0.69477792380000003</v>
      </c>
    </row>
    <row r="1732" spans="1:9" hidden="1" x14ac:dyDescent="0.2">
      <c r="A1732" s="60" t="s">
        <v>703</v>
      </c>
      <c r="B1732" s="60" t="s">
        <v>828</v>
      </c>
      <c r="C1732" s="60" t="s">
        <v>2</v>
      </c>
      <c r="D1732" s="60">
        <v>0.58287806590000002</v>
      </c>
      <c r="E1732" s="60">
        <v>9.594754643999999E-7</v>
      </c>
      <c r="F1732" s="60">
        <v>1.0873539859999999E-6</v>
      </c>
      <c r="G1732" s="60">
        <v>0</v>
      </c>
      <c r="H1732" s="60">
        <v>1.0057976130000001E-6</v>
      </c>
      <c r="I1732" s="60">
        <v>1.6460553060000001E-6</v>
      </c>
    </row>
    <row r="1733" spans="1:9" hidden="1" x14ac:dyDescent="0.2">
      <c r="A1733" s="60" t="s">
        <v>703</v>
      </c>
      <c r="B1733" s="60" t="s">
        <v>821</v>
      </c>
      <c r="C1733" s="60" t="s">
        <v>2</v>
      </c>
      <c r="D1733" s="60">
        <v>5.7559204780000002</v>
      </c>
      <c r="E1733" s="60">
        <v>7.1708282910000003E-6</v>
      </c>
      <c r="F1733" s="60">
        <v>1.035842941E-5</v>
      </c>
      <c r="G1733" s="60">
        <v>2.3223544499999999E-7</v>
      </c>
      <c r="H1733" s="60">
        <v>9.9314596830000001E-6</v>
      </c>
      <c r="I1733" s="60">
        <v>1.5556187439999999E-5</v>
      </c>
    </row>
    <row r="1734" spans="1:9" hidden="1" x14ac:dyDescent="0.2">
      <c r="A1734" s="60" t="s">
        <v>704</v>
      </c>
      <c r="B1734" s="60" t="s">
        <v>828</v>
      </c>
      <c r="C1734" s="60" t="s">
        <v>2</v>
      </c>
      <c r="D1734" s="60">
        <v>7.4291477600000002E-6</v>
      </c>
      <c r="E1734" s="60">
        <v>0</v>
      </c>
      <c r="F1734" s="60">
        <v>0</v>
      </c>
      <c r="G1734" s="60">
        <v>0</v>
      </c>
      <c r="H1734" s="60">
        <v>0</v>
      </c>
      <c r="I1734" s="60">
        <v>0</v>
      </c>
    </row>
    <row r="1735" spans="1:9" hidden="1" x14ac:dyDescent="0.2">
      <c r="A1735" s="60" t="s">
        <v>704</v>
      </c>
      <c r="B1735" s="60" t="s">
        <v>821</v>
      </c>
      <c r="C1735" s="60" t="s">
        <v>2</v>
      </c>
      <c r="D1735" s="60">
        <v>1.5540438730000001E-6</v>
      </c>
      <c r="E1735" s="60">
        <v>0</v>
      </c>
      <c r="F1735" s="60">
        <v>0</v>
      </c>
      <c r="G1735" s="60">
        <v>0</v>
      </c>
      <c r="H1735" s="60">
        <v>0</v>
      </c>
      <c r="I1735" s="60">
        <v>0</v>
      </c>
    </row>
    <row r="1736" spans="1:9" hidden="1" x14ac:dyDescent="0.2">
      <c r="A1736" s="60" t="s">
        <v>705</v>
      </c>
      <c r="B1736" s="60" t="s">
        <v>828</v>
      </c>
      <c r="C1736" s="60" t="s">
        <v>2</v>
      </c>
      <c r="D1736" s="60">
        <v>9.1007728290000003</v>
      </c>
      <c r="E1736" s="60">
        <v>4.3453561790000004</v>
      </c>
      <c r="F1736" s="60">
        <v>4.171245678</v>
      </c>
      <c r="G1736" s="60">
        <v>3.9981850209999998</v>
      </c>
      <c r="H1736" s="60">
        <v>3.9156873299999999</v>
      </c>
      <c r="I1736" s="60">
        <v>3.8331932449999999</v>
      </c>
    </row>
    <row r="1737" spans="1:9" hidden="1" x14ac:dyDescent="0.2">
      <c r="A1737" s="60" t="s">
        <v>705</v>
      </c>
      <c r="B1737" s="60" t="s">
        <v>821</v>
      </c>
      <c r="C1737" s="60" t="s">
        <v>2</v>
      </c>
      <c r="D1737" s="60">
        <v>0.8585635814</v>
      </c>
      <c r="E1737" s="60">
        <v>0.4099394972</v>
      </c>
      <c r="F1737" s="60">
        <v>0.3935137822</v>
      </c>
      <c r="G1737" s="60">
        <v>0.37718726600000002</v>
      </c>
      <c r="H1737" s="60">
        <v>0.3694044648</v>
      </c>
      <c r="I1737" s="60">
        <v>0.36162207559999998</v>
      </c>
    </row>
    <row r="1738" spans="1:9" hidden="1" x14ac:dyDescent="0.2">
      <c r="A1738" s="60" t="s">
        <v>706</v>
      </c>
      <c r="B1738" s="60" t="s">
        <v>821</v>
      </c>
      <c r="C1738" s="60" t="s">
        <v>2</v>
      </c>
      <c r="D1738" s="60">
        <v>0</v>
      </c>
      <c r="E1738" s="60">
        <v>0</v>
      </c>
      <c r="F1738" s="60">
        <v>0</v>
      </c>
      <c r="G1738" s="60">
        <v>1.8975379510000001E-7</v>
      </c>
      <c r="H1738" s="60">
        <v>6.2991508889999998E-6</v>
      </c>
      <c r="I1738" s="60">
        <v>7.3697642729999996E-6</v>
      </c>
    </row>
    <row r="1739" spans="1:9" hidden="1" x14ac:dyDescent="0.2">
      <c r="A1739" t="s">
        <v>707</v>
      </c>
      <c r="B1739" t="s">
        <v>828</v>
      </c>
      <c r="C1739" t="s">
        <v>87</v>
      </c>
      <c r="D1739">
        <v>4.3086824289999996E-6</v>
      </c>
      <c r="E1739">
        <v>3.7281403179999997E-5</v>
      </c>
      <c r="F1739">
        <v>1.6061435400000001E-5</v>
      </c>
      <c r="G1739">
        <v>2.4744828220000001E-7</v>
      </c>
      <c r="H1739">
        <v>7.9917037259999994E-6</v>
      </c>
      <c r="I1739">
        <v>1.7443633439999999E-5</v>
      </c>
    </row>
    <row r="1740" spans="1:9" hidden="1" x14ac:dyDescent="0.2">
      <c r="A1740" t="s">
        <v>708</v>
      </c>
      <c r="B1740" t="s">
        <v>824</v>
      </c>
      <c r="C1740" t="s">
        <v>87</v>
      </c>
      <c r="D1740">
        <v>4.024799254E-6</v>
      </c>
      <c r="E1740">
        <v>4.6170198789999998E-6</v>
      </c>
      <c r="F1740">
        <v>9.496611041E-7</v>
      </c>
      <c r="G1740">
        <v>0</v>
      </c>
      <c r="H1740">
        <v>1.743913169E-6</v>
      </c>
      <c r="I1740">
        <v>3.187727059E-6</v>
      </c>
    </row>
    <row r="1741" spans="1:9" hidden="1" x14ac:dyDescent="0.2">
      <c r="A1741" t="s">
        <v>709</v>
      </c>
      <c r="B1741" t="s">
        <v>821</v>
      </c>
      <c r="C1741" t="s">
        <v>3</v>
      </c>
      <c r="D1741">
        <v>2.1429276494E-6</v>
      </c>
      <c r="E1741">
        <v>0</v>
      </c>
      <c r="F1741">
        <v>0</v>
      </c>
      <c r="G1741">
        <v>0</v>
      </c>
      <c r="H1741">
        <v>0</v>
      </c>
      <c r="I1741">
        <v>0</v>
      </c>
    </row>
    <row r="1742" spans="1:9" hidden="1" x14ac:dyDescent="0.2">
      <c r="A1742" t="s">
        <v>709</v>
      </c>
      <c r="B1742" t="s">
        <v>901</v>
      </c>
      <c r="C1742" t="s">
        <v>3</v>
      </c>
      <c r="D1742">
        <v>-7.2515883949999995E-5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 hidden="1" x14ac:dyDescent="0.2">
      <c r="A1743" t="s">
        <v>709</v>
      </c>
      <c r="B1743" t="s">
        <v>902</v>
      </c>
      <c r="C1743" t="s">
        <v>3</v>
      </c>
      <c r="D1743">
        <v>1.0732350829999999E-4</v>
      </c>
      <c r="E1743">
        <v>0</v>
      </c>
      <c r="F1743">
        <v>0</v>
      </c>
      <c r="G1743">
        <v>0</v>
      </c>
      <c r="H1743">
        <v>0</v>
      </c>
      <c r="I1743">
        <v>0</v>
      </c>
    </row>
    <row r="1744" spans="1:9" hidden="1" x14ac:dyDescent="0.2">
      <c r="A1744" t="s">
        <v>709</v>
      </c>
      <c r="B1744" t="s">
        <v>825</v>
      </c>
      <c r="C1744" t="s">
        <v>3</v>
      </c>
      <c r="D1744">
        <v>-2.686712177E-5</v>
      </c>
      <c r="E1744">
        <v>0</v>
      </c>
      <c r="F1744">
        <v>0</v>
      </c>
      <c r="G1744">
        <v>0</v>
      </c>
      <c r="H1744">
        <v>0</v>
      </c>
      <c r="I1744">
        <v>0</v>
      </c>
    </row>
    <row r="1745" spans="1:9" hidden="1" x14ac:dyDescent="0.2">
      <c r="A1745" t="s">
        <v>709</v>
      </c>
      <c r="B1745" t="s">
        <v>824</v>
      </c>
      <c r="C1745" t="s">
        <v>3</v>
      </c>
      <c r="D1745">
        <v>5.0851829859999999E-6</v>
      </c>
      <c r="E1745">
        <v>0</v>
      </c>
      <c r="F1745">
        <v>0</v>
      </c>
      <c r="G1745">
        <v>0</v>
      </c>
      <c r="H1745">
        <v>0</v>
      </c>
      <c r="I1745">
        <v>0</v>
      </c>
    </row>
    <row r="1746" spans="1:9" hidden="1" x14ac:dyDescent="0.2">
      <c r="A1746" t="s">
        <v>710</v>
      </c>
      <c r="B1746" t="s">
        <v>867</v>
      </c>
      <c r="C1746" t="s">
        <v>128</v>
      </c>
      <c r="D1746">
        <v>0.63449790750000001</v>
      </c>
      <c r="E1746">
        <v>0.11441080789999999</v>
      </c>
      <c r="F1746">
        <v>9.3982450800000006E-2</v>
      </c>
      <c r="G1746">
        <v>7.4543332500000004E-2</v>
      </c>
      <c r="H1746">
        <v>5.6129874320000002E-2</v>
      </c>
      <c r="I1746">
        <v>0.84396108280000004</v>
      </c>
    </row>
    <row r="1747" spans="1:9" hidden="1" x14ac:dyDescent="0.2">
      <c r="A1747" t="s">
        <v>710</v>
      </c>
      <c r="B1747" t="s">
        <v>832</v>
      </c>
      <c r="C1747" t="s">
        <v>128</v>
      </c>
      <c r="D1747">
        <v>-186.12418460999999</v>
      </c>
      <c r="E1747">
        <v>-60.195634210000001</v>
      </c>
      <c r="F1747">
        <v>-57.43933036</v>
      </c>
      <c r="G1747">
        <v>-53.35450719</v>
      </c>
      <c r="H1747">
        <v>-54.445678139999998</v>
      </c>
      <c r="I1747">
        <v>-54.017316530000002</v>
      </c>
    </row>
    <row r="1748" spans="1:9" hidden="1" x14ac:dyDescent="0.2">
      <c r="A1748" t="s">
        <v>710</v>
      </c>
      <c r="B1748" t="s">
        <v>858</v>
      </c>
      <c r="C1748" t="s">
        <v>128</v>
      </c>
      <c r="D1748">
        <v>206.14744582</v>
      </c>
      <c r="E1748">
        <v>66.762967689999996</v>
      </c>
      <c r="F1748">
        <v>63.72111744</v>
      </c>
      <c r="G1748">
        <v>59.20231407</v>
      </c>
      <c r="H1748">
        <v>60.433008030000003</v>
      </c>
      <c r="I1748">
        <v>59.151293940000002</v>
      </c>
    </row>
    <row r="1749" spans="1:9" hidden="1" x14ac:dyDescent="0.2">
      <c r="A1749" t="s">
        <v>710</v>
      </c>
      <c r="B1749" t="s">
        <v>868</v>
      </c>
      <c r="C1749" t="s">
        <v>128</v>
      </c>
      <c r="D1749">
        <v>2.028477415E-3</v>
      </c>
      <c r="E1749">
        <v>2.2833243529999999E-5</v>
      </c>
      <c r="F1749">
        <v>4.9752680529999997E-6</v>
      </c>
      <c r="G1749">
        <v>0</v>
      </c>
      <c r="H1749">
        <v>1.053229145E-5</v>
      </c>
      <c r="I1749">
        <v>1.7999910769999999E-2</v>
      </c>
    </row>
    <row r="1750" spans="1:9" hidden="1" x14ac:dyDescent="0.2">
      <c r="A1750" t="s">
        <v>711</v>
      </c>
      <c r="B1750" t="s">
        <v>867</v>
      </c>
      <c r="C1750" t="s">
        <v>128</v>
      </c>
      <c r="D1750">
        <v>2.0754942280000001E-6</v>
      </c>
      <c r="E1750">
        <v>2.455765485E-5</v>
      </c>
      <c r="F1750">
        <v>3.8659731000000002E-6</v>
      </c>
      <c r="G1750">
        <v>0</v>
      </c>
      <c r="H1750">
        <v>0</v>
      </c>
      <c r="I1750">
        <v>6.526236671E-6</v>
      </c>
    </row>
    <row r="1751" spans="1:9" hidden="1" x14ac:dyDescent="0.2">
      <c r="A1751" t="s">
        <v>711</v>
      </c>
      <c r="B1751" t="s">
        <v>827</v>
      </c>
      <c r="C1751" t="s">
        <v>128</v>
      </c>
      <c r="D1751">
        <v>-3.404146505E-7</v>
      </c>
      <c r="E1751">
        <v>-7.964731157E-7</v>
      </c>
      <c r="F1751">
        <v>-1.3264413950000001E-7</v>
      </c>
      <c r="G1751">
        <v>0</v>
      </c>
      <c r="H1751">
        <v>0</v>
      </c>
      <c r="I1751">
        <v>-2.4437895449999999E-7</v>
      </c>
    </row>
    <row r="1752" spans="1:9" hidden="1" x14ac:dyDescent="0.2">
      <c r="A1752" t="s">
        <v>711</v>
      </c>
      <c r="B1752" t="s">
        <v>821</v>
      </c>
      <c r="C1752" t="s">
        <v>128</v>
      </c>
      <c r="D1752">
        <v>0</v>
      </c>
      <c r="E1752">
        <v>6.8146239879999999E-7</v>
      </c>
      <c r="F1752">
        <v>1.134903259E-7</v>
      </c>
      <c r="G1752">
        <v>0</v>
      </c>
      <c r="H1752">
        <v>0</v>
      </c>
      <c r="I1752">
        <v>2.0909063380000001E-7</v>
      </c>
    </row>
    <row r="1753" spans="1:9" hidden="1" x14ac:dyDescent="0.2">
      <c r="A1753" t="s">
        <v>711</v>
      </c>
      <c r="B1753" t="s">
        <v>832</v>
      </c>
      <c r="C1753" t="s">
        <v>128</v>
      </c>
      <c r="D1753">
        <v>-7.2030555710000002E-7</v>
      </c>
      <c r="E1753">
        <v>-1.233916373E-5</v>
      </c>
      <c r="F1753">
        <v>-2.0549566869999999E-6</v>
      </c>
      <c r="G1753">
        <v>0</v>
      </c>
      <c r="H1753">
        <v>0</v>
      </c>
      <c r="I1753">
        <v>-3.7859808099999999E-6</v>
      </c>
    </row>
    <row r="1754" spans="1:9" hidden="1" x14ac:dyDescent="0.2">
      <c r="A1754" t="s">
        <v>711</v>
      </c>
      <c r="B1754" t="s">
        <v>858</v>
      </c>
      <c r="C1754" t="s">
        <v>128</v>
      </c>
      <c r="D1754">
        <v>1.2413609687000001E-6</v>
      </c>
      <c r="E1754">
        <v>2.54153224E-5</v>
      </c>
      <c r="F1754">
        <v>4.1452626759999996E-6</v>
      </c>
      <c r="G1754">
        <v>0</v>
      </c>
      <c r="H1754">
        <v>0</v>
      </c>
      <c r="I1754">
        <v>7.2043555380000003E-6</v>
      </c>
    </row>
    <row r="1755" spans="1:9" hidden="1" x14ac:dyDescent="0.2">
      <c r="A1755" t="s">
        <v>711</v>
      </c>
      <c r="B1755" t="s">
        <v>868</v>
      </c>
      <c r="C1755" t="s">
        <v>128</v>
      </c>
      <c r="D1755">
        <v>9.3143387070000002E-7</v>
      </c>
      <c r="E1755">
        <v>1.5447413049999999E-5</v>
      </c>
      <c r="F1755">
        <v>2.8838355130000002E-6</v>
      </c>
      <c r="G1755">
        <v>0</v>
      </c>
      <c r="H1755">
        <v>0</v>
      </c>
      <c r="I1755">
        <v>6.3421086349999999E-6</v>
      </c>
    </row>
    <row r="1756" spans="1:9" hidden="1" x14ac:dyDescent="0.2">
      <c r="A1756" t="s">
        <v>712</v>
      </c>
      <c r="B1756" t="s">
        <v>867</v>
      </c>
      <c r="C1756" t="s">
        <v>128</v>
      </c>
      <c r="D1756">
        <v>0.221088321038</v>
      </c>
      <c r="E1756">
        <v>0.1487735379</v>
      </c>
      <c r="F1756">
        <v>0.1154529599</v>
      </c>
      <c r="G1756">
        <v>8.0792987349999998E-2</v>
      </c>
      <c r="H1756">
        <v>6.0807603129999999E-2</v>
      </c>
      <c r="I1756">
        <v>2.38410264E-2</v>
      </c>
    </row>
    <row r="1757" spans="1:9" hidden="1" x14ac:dyDescent="0.2">
      <c r="A1757" t="s">
        <v>712</v>
      </c>
      <c r="B1757" t="s">
        <v>833</v>
      </c>
      <c r="C1757" t="s">
        <v>128</v>
      </c>
      <c r="D1757">
        <v>-1.1979514685699999</v>
      </c>
      <c r="E1757">
        <v>-1.560725097</v>
      </c>
      <c r="F1757">
        <v>-1.2471145480000001</v>
      </c>
      <c r="G1757">
        <v>-4.7231022869999997</v>
      </c>
      <c r="H1757">
        <v>-0.91413201310000003</v>
      </c>
      <c r="I1757">
        <v>-6.8624953210000006E-2</v>
      </c>
    </row>
    <row r="1758" spans="1:9" hidden="1" x14ac:dyDescent="0.2">
      <c r="A1758" t="s">
        <v>712</v>
      </c>
      <c r="B1758" t="s">
        <v>858</v>
      </c>
      <c r="C1758" t="s">
        <v>128</v>
      </c>
      <c r="D1758">
        <v>1.10831121715</v>
      </c>
      <c r="E1758">
        <v>1.585220495</v>
      </c>
      <c r="F1758">
        <v>1.270095118</v>
      </c>
      <c r="G1758">
        <v>5.1665735699999997</v>
      </c>
      <c r="H1758">
        <v>0.95478236760000001</v>
      </c>
      <c r="I1758">
        <v>4.971130721E-2</v>
      </c>
    </row>
    <row r="1759" spans="1:9" hidden="1" x14ac:dyDescent="0.2">
      <c r="A1759" t="s">
        <v>712</v>
      </c>
      <c r="B1759" t="s">
        <v>868</v>
      </c>
      <c r="C1759" t="s">
        <v>128</v>
      </c>
      <c r="D1759">
        <v>1.5276225090000001E-3</v>
      </c>
      <c r="E1759">
        <v>2.3269561250000001E-5</v>
      </c>
      <c r="F1759">
        <v>5.0622553869999999E-6</v>
      </c>
      <c r="G1759">
        <v>0</v>
      </c>
      <c r="H1759">
        <v>1.0714380670000001E-5</v>
      </c>
      <c r="I1759">
        <v>2.7063453019999999E-3</v>
      </c>
    </row>
    <row r="1760" spans="1:9" hidden="1" x14ac:dyDescent="0.2">
      <c r="A1760" t="s">
        <v>713</v>
      </c>
      <c r="B1760" t="s">
        <v>867</v>
      </c>
      <c r="C1760" t="s">
        <v>128</v>
      </c>
      <c r="D1760">
        <v>2.0754942280000001E-6</v>
      </c>
      <c r="E1760">
        <v>2.455765485E-5</v>
      </c>
      <c r="F1760">
        <v>3.8659731000000002E-6</v>
      </c>
      <c r="G1760">
        <v>0</v>
      </c>
      <c r="H1760">
        <v>0</v>
      </c>
      <c r="I1760">
        <v>6.526236671E-6</v>
      </c>
    </row>
    <row r="1761" spans="1:9" hidden="1" x14ac:dyDescent="0.2">
      <c r="A1761" t="s">
        <v>713</v>
      </c>
      <c r="B1761" t="s">
        <v>827</v>
      </c>
      <c r="C1761" t="s">
        <v>128</v>
      </c>
      <c r="D1761">
        <v>-3.6819505569999998E-7</v>
      </c>
      <c r="E1761">
        <v>-8.614713344E-7</v>
      </c>
      <c r="F1761">
        <v>-1.4346890260000001E-7</v>
      </c>
      <c r="G1761">
        <v>0</v>
      </c>
      <c r="H1761">
        <v>0</v>
      </c>
      <c r="I1761">
        <v>-2.64322122E-7</v>
      </c>
    </row>
    <row r="1762" spans="1:9" hidden="1" x14ac:dyDescent="0.2">
      <c r="A1762" t="s">
        <v>713</v>
      </c>
      <c r="B1762" t="s">
        <v>821</v>
      </c>
      <c r="C1762" t="s">
        <v>128</v>
      </c>
      <c r="D1762">
        <v>0</v>
      </c>
      <c r="E1762">
        <v>6.8146239879999999E-7</v>
      </c>
      <c r="F1762">
        <v>1.134903259E-7</v>
      </c>
      <c r="G1762">
        <v>0</v>
      </c>
      <c r="H1762">
        <v>0</v>
      </c>
      <c r="I1762">
        <v>2.0909063380000001E-7</v>
      </c>
    </row>
    <row r="1763" spans="1:9" hidden="1" x14ac:dyDescent="0.2">
      <c r="A1763" t="s">
        <v>713</v>
      </c>
      <c r="B1763" t="s">
        <v>833</v>
      </c>
      <c r="C1763" t="s">
        <v>128</v>
      </c>
      <c r="D1763">
        <v>-7.4445930490000004E-7</v>
      </c>
      <c r="E1763">
        <v>-1.285778111E-5</v>
      </c>
      <c r="F1763">
        <v>-2.1413269039999999E-6</v>
      </c>
      <c r="G1763">
        <v>0</v>
      </c>
      <c r="H1763">
        <v>0</v>
      </c>
      <c r="I1763">
        <v>-3.9451062980000003E-6</v>
      </c>
    </row>
    <row r="1764" spans="1:9" hidden="1" x14ac:dyDescent="0.2">
      <c r="A1764" t="s">
        <v>713</v>
      </c>
      <c r="B1764" t="s">
        <v>858</v>
      </c>
      <c r="C1764" t="s">
        <v>128</v>
      </c>
      <c r="D1764">
        <v>1.2413609687000001E-6</v>
      </c>
      <c r="E1764">
        <v>2.54153224E-5</v>
      </c>
      <c r="F1764">
        <v>4.1452626759999996E-6</v>
      </c>
      <c r="G1764">
        <v>0</v>
      </c>
      <c r="H1764">
        <v>0</v>
      </c>
      <c r="I1764">
        <v>7.2043555380000003E-6</v>
      </c>
    </row>
    <row r="1765" spans="1:9" hidden="1" x14ac:dyDescent="0.2">
      <c r="A1765" t="s">
        <v>713</v>
      </c>
      <c r="B1765" t="s">
        <v>868</v>
      </c>
      <c r="C1765" t="s">
        <v>128</v>
      </c>
      <c r="D1765">
        <v>9.3143387070000002E-7</v>
      </c>
      <c r="E1765">
        <v>1.5447413049999999E-5</v>
      </c>
      <c r="F1765">
        <v>2.8838355130000002E-6</v>
      </c>
      <c r="G1765">
        <v>0</v>
      </c>
      <c r="H1765">
        <v>0</v>
      </c>
      <c r="I1765">
        <v>6.3421086349999999E-6</v>
      </c>
    </row>
    <row r="1766" spans="1:9" hidden="1" x14ac:dyDescent="0.2">
      <c r="A1766" t="s">
        <v>714</v>
      </c>
      <c r="B1766" t="s">
        <v>903</v>
      </c>
      <c r="C1766" t="s">
        <v>87</v>
      </c>
      <c r="D1766">
        <v>1.5961377470400001E-5</v>
      </c>
      <c r="E1766">
        <v>5.5264095799999997E-5</v>
      </c>
      <c r="F1766">
        <v>2.159251607E-5</v>
      </c>
      <c r="G1766">
        <v>1.8304430709999999E-6</v>
      </c>
      <c r="H1766">
        <v>3.5555497789999997E-5</v>
      </c>
      <c r="I1766">
        <v>2.6082337770000001E-5</v>
      </c>
    </row>
    <row r="1767" spans="1:9" hidden="1" x14ac:dyDescent="0.2">
      <c r="A1767" t="s">
        <v>715</v>
      </c>
      <c r="B1767" t="s">
        <v>903</v>
      </c>
      <c r="C1767" t="s">
        <v>87</v>
      </c>
      <c r="D1767">
        <v>1.3327620448999999E-5</v>
      </c>
      <c r="E1767">
        <v>9.9969438879999997E-2</v>
      </c>
      <c r="F1767">
        <v>0.100006654</v>
      </c>
      <c r="G1767">
        <v>9.9998551350000006E-2</v>
      </c>
      <c r="H1767">
        <v>9.9972491730000002E-2</v>
      </c>
      <c r="I1767">
        <v>9.998266217E-2</v>
      </c>
    </row>
    <row r="1768" spans="1:9" hidden="1" x14ac:dyDescent="0.2">
      <c r="A1768" t="s">
        <v>716</v>
      </c>
      <c r="B1768" t="s">
        <v>828</v>
      </c>
      <c r="C1768" t="s">
        <v>128</v>
      </c>
      <c r="D1768">
        <v>5.4157424879999996E-6</v>
      </c>
      <c r="E1768">
        <v>5.741795396E-5</v>
      </c>
      <c r="F1768">
        <v>2.1047677050000001E-5</v>
      </c>
      <c r="G1768">
        <v>9.1345104660000002E-7</v>
      </c>
      <c r="H1768">
        <v>2.5324421010000002E-5</v>
      </c>
      <c r="I1768">
        <v>1.2136751470000001E-4</v>
      </c>
    </row>
    <row r="1769" spans="1:9" hidden="1" x14ac:dyDescent="0.2">
      <c r="A1769" t="s">
        <v>716</v>
      </c>
      <c r="B1769" t="s">
        <v>827</v>
      </c>
      <c r="C1769" t="s">
        <v>128</v>
      </c>
      <c r="D1769">
        <v>0</v>
      </c>
      <c r="E1769">
        <v>5.7417953959999996E-7</v>
      </c>
      <c r="F1769">
        <v>2.1932033230000001E-7</v>
      </c>
      <c r="G1769">
        <v>0</v>
      </c>
      <c r="H1769">
        <v>2.8571141660000001E-7</v>
      </c>
      <c r="I1769">
        <v>1.4229294830000001E-6</v>
      </c>
    </row>
    <row r="1770" spans="1:9" hidden="1" x14ac:dyDescent="0.2">
      <c r="A1770" t="s">
        <v>716</v>
      </c>
      <c r="B1770" t="s">
        <v>904</v>
      </c>
      <c r="C1770" t="s">
        <v>128</v>
      </c>
      <c r="D1770">
        <v>-3.540860207E-6</v>
      </c>
      <c r="E1770">
        <v>-3.8278635969999999E-5</v>
      </c>
      <c r="F1770">
        <v>-1.4149698860000001E-5</v>
      </c>
      <c r="G1770">
        <v>-6.192888451E-7</v>
      </c>
      <c r="H1770">
        <v>-1.7315843430000001E-5</v>
      </c>
      <c r="I1770">
        <v>-8.37017343E-5</v>
      </c>
    </row>
    <row r="1771" spans="1:9" hidden="1" x14ac:dyDescent="0.2">
      <c r="A1771" t="s">
        <v>716</v>
      </c>
      <c r="B1771" t="s">
        <v>825</v>
      </c>
      <c r="C1771" t="s">
        <v>128</v>
      </c>
      <c r="D1771">
        <v>-4.043748973E-7</v>
      </c>
      <c r="E1771">
        <v>-3.8278635970000002E-6</v>
      </c>
      <c r="F1771">
        <v>-1.414969886E-6</v>
      </c>
      <c r="G1771">
        <v>0</v>
      </c>
      <c r="H1771">
        <v>-1.7315843429999999E-6</v>
      </c>
      <c r="I1771">
        <v>-8.3701734300000003E-6</v>
      </c>
    </row>
    <row r="1772" spans="1:9" hidden="1" x14ac:dyDescent="0.2">
      <c r="A1772" t="s">
        <v>717</v>
      </c>
      <c r="B1772" t="s">
        <v>899</v>
      </c>
      <c r="C1772" t="s">
        <v>441</v>
      </c>
      <c r="D1772">
        <v>0</v>
      </c>
      <c r="E1772">
        <v>1.295091704E-4</v>
      </c>
      <c r="F1772">
        <v>5.9659157869999997E-5</v>
      </c>
      <c r="G1772">
        <v>0.10000118049999999</v>
      </c>
      <c r="H1772">
        <v>0.1000414805</v>
      </c>
      <c r="I1772">
        <v>0.1001556044</v>
      </c>
    </row>
    <row r="1773" spans="1:9" hidden="1" x14ac:dyDescent="0.2">
      <c r="A1773" t="s">
        <v>717</v>
      </c>
      <c r="B1773" t="s">
        <v>904</v>
      </c>
      <c r="C1773" t="s">
        <v>441</v>
      </c>
      <c r="D1773">
        <v>0</v>
      </c>
      <c r="E1773">
        <v>9.9179103130000001E-2</v>
      </c>
      <c r="F1773">
        <v>9.8948296620000001E-2</v>
      </c>
      <c r="G1773">
        <v>0.10000061590000001</v>
      </c>
      <c r="H1773">
        <v>0.100017227</v>
      </c>
      <c r="I1773">
        <v>0.10008573849999999</v>
      </c>
    </row>
    <row r="1774" spans="1:9" hidden="1" x14ac:dyDescent="0.2">
      <c r="A1774" t="s">
        <v>717</v>
      </c>
      <c r="B1774" t="s">
        <v>913</v>
      </c>
      <c r="C1774" t="s">
        <v>441</v>
      </c>
      <c r="D1774">
        <v>0</v>
      </c>
      <c r="E1774">
        <v>0.10008777269999999</v>
      </c>
      <c r="F1774">
        <v>0.10004099850000001</v>
      </c>
      <c r="G1774">
        <v>0.1000007366</v>
      </c>
      <c r="H1774">
        <v>0.100028821</v>
      </c>
      <c r="I1774">
        <v>0.1001275054</v>
      </c>
    </row>
    <row r="1775" spans="1:9" hidden="1" x14ac:dyDescent="0.2">
      <c r="A1775" t="s">
        <v>718</v>
      </c>
      <c r="B1775" t="s">
        <v>828</v>
      </c>
      <c r="C1775" t="s">
        <v>113</v>
      </c>
      <c r="D1775">
        <v>6.7995078429999991E-5</v>
      </c>
      <c r="E1775">
        <v>1.2282835140000001E-4</v>
      </c>
      <c r="F1775">
        <v>5.5827745100000002E-5</v>
      </c>
      <c r="G1775">
        <v>7.8055117749999997E-7</v>
      </c>
      <c r="H1775">
        <v>2.0303575539999999E-5</v>
      </c>
      <c r="I1775">
        <v>6.2047474300000002E-5</v>
      </c>
    </row>
    <row r="1776" spans="1:9" hidden="1" x14ac:dyDescent="0.2">
      <c r="A1776" t="s">
        <v>718</v>
      </c>
      <c r="B1776" t="s">
        <v>821</v>
      </c>
      <c r="C1776" t="s">
        <v>113</v>
      </c>
      <c r="D1776">
        <v>6.3673744049999996E-6</v>
      </c>
      <c r="E1776">
        <v>7.9434362329999997E-6</v>
      </c>
      <c r="F1776">
        <v>4.7534691009999999E-6</v>
      </c>
      <c r="G1776">
        <v>0</v>
      </c>
      <c r="H1776">
        <v>1.96806495E-6</v>
      </c>
      <c r="I1776">
        <v>4.7992868269999997E-6</v>
      </c>
    </row>
    <row r="1777" spans="1:9" hidden="1" x14ac:dyDescent="0.2">
      <c r="A1777" t="s">
        <v>718</v>
      </c>
      <c r="B1777" t="s">
        <v>905</v>
      </c>
      <c r="C1777" t="s">
        <v>113</v>
      </c>
      <c r="D1777">
        <v>-6.7995078429999991E-5</v>
      </c>
      <c r="E1777">
        <v>-1.2282835140000001E-4</v>
      </c>
      <c r="F1777">
        <v>-5.5827745100000002E-5</v>
      </c>
      <c r="G1777">
        <v>-7.8055117749999997E-7</v>
      </c>
      <c r="H1777">
        <v>-2.0303575539999999E-5</v>
      </c>
      <c r="I1777">
        <v>-6.2047474300000002E-5</v>
      </c>
    </row>
    <row r="1778" spans="1:9" hidden="1" x14ac:dyDescent="0.2">
      <c r="A1778" t="s">
        <v>719</v>
      </c>
      <c r="B1778" t="s">
        <v>906</v>
      </c>
      <c r="C1778" t="s">
        <v>441</v>
      </c>
      <c r="D1778">
        <v>0.15062777554000001</v>
      </c>
      <c r="E1778">
        <v>5.7538831501200002E-3</v>
      </c>
      <c r="F1778">
        <v>4.2694056930000002E-5</v>
      </c>
      <c r="G1778">
        <v>5.6628216560000002</v>
      </c>
      <c r="H1778">
        <v>10.52776298</v>
      </c>
      <c r="I1778">
        <v>10.126467870000001</v>
      </c>
    </row>
    <row r="1779" spans="1:9" hidden="1" x14ac:dyDescent="0.2">
      <c r="A1779" t="s">
        <v>719</v>
      </c>
      <c r="B1779" t="s">
        <v>924</v>
      </c>
      <c r="C1779" t="s">
        <v>441</v>
      </c>
      <c r="E1779">
        <v>4.1633363419999999E-17</v>
      </c>
    </row>
    <row r="1780" spans="1:9" hidden="1" x14ac:dyDescent="0.2">
      <c r="A1780" t="s">
        <v>719</v>
      </c>
      <c r="B1780" t="s">
        <v>925</v>
      </c>
      <c r="C1780" t="s">
        <v>441</v>
      </c>
      <c r="E1780">
        <v>-1.5734805000000001</v>
      </c>
    </row>
    <row r="1781" spans="1:9" hidden="1" x14ac:dyDescent="0.2">
      <c r="A1781" t="s">
        <v>719</v>
      </c>
      <c r="B1781" t="s">
        <v>905</v>
      </c>
      <c r="C1781" t="s">
        <v>441</v>
      </c>
      <c r="D1781">
        <v>297.793999563</v>
      </c>
      <c r="E1781">
        <v>45.362711191000002</v>
      </c>
      <c r="F1781">
        <v>123.2009099</v>
      </c>
      <c r="G1781">
        <v>74.999999990000006</v>
      </c>
      <c r="H1781">
        <v>74.999998899999994</v>
      </c>
      <c r="I1781">
        <v>75.000006319999997</v>
      </c>
    </row>
    <row r="1782" spans="1:9" hidden="1" x14ac:dyDescent="0.2">
      <c r="A1782" t="s">
        <v>719</v>
      </c>
      <c r="B1782" t="s">
        <v>907</v>
      </c>
      <c r="C1782" t="s">
        <v>441</v>
      </c>
      <c r="D1782">
        <v>0.15049623240000001</v>
      </c>
      <c r="E1782">
        <v>0.105745126915</v>
      </c>
      <c r="F1782">
        <v>0.1000185725</v>
      </c>
      <c r="G1782">
        <v>0.10000100670000001</v>
      </c>
      <c r="H1782">
        <v>0.1000241469</v>
      </c>
      <c r="I1782">
        <v>0.10006355760000001</v>
      </c>
    </row>
    <row r="1783" spans="1:9" hidden="1" x14ac:dyDescent="0.2">
      <c r="A1783" t="s">
        <v>720</v>
      </c>
      <c r="B1783" t="s">
        <v>906</v>
      </c>
      <c r="C1783" t="s">
        <v>113</v>
      </c>
      <c r="D1783">
        <v>-0.10007230613551001</v>
      </c>
      <c r="E1783">
        <v>-4.7889116459E-4</v>
      </c>
      <c r="F1783">
        <v>-8.8027898110000001E-5</v>
      </c>
      <c r="G1783">
        <v>-5.5628216650000004</v>
      </c>
      <c r="H1783">
        <v>-10.42776338</v>
      </c>
      <c r="I1783">
        <v>-10.02646854</v>
      </c>
    </row>
    <row r="1784" spans="1:9" hidden="1" x14ac:dyDescent="0.2">
      <c r="A1784" t="s">
        <v>720</v>
      </c>
      <c r="B1784" t="s">
        <v>817</v>
      </c>
      <c r="C1784" t="s">
        <v>113</v>
      </c>
      <c r="D1784">
        <v>0.10008428036550999</v>
      </c>
      <c r="E1784">
        <v>4.9255918564999998E-4</v>
      </c>
      <c r="F1784">
        <v>8.8027898110000001E-5</v>
      </c>
      <c r="G1784">
        <v>5.5628216650000004</v>
      </c>
      <c r="H1784">
        <v>10.42776338</v>
      </c>
      <c r="I1784">
        <v>10.02646854</v>
      </c>
    </row>
    <row r="1785" spans="1:9" hidden="1" x14ac:dyDescent="0.2">
      <c r="A1785" t="s">
        <v>720</v>
      </c>
      <c r="B1785" t="s">
        <v>924</v>
      </c>
      <c r="C1785" t="s">
        <v>113</v>
      </c>
      <c r="E1785">
        <v>-1.366802106E-5</v>
      </c>
    </row>
    <row r="1786" spans="1:9" hidden="1" x14ac:dyDescent="0.2">
      <c r="A1786" t="s">
        <v>720</v>
      </c>
      <c r="B1786" t="s">
        <v>821</v>
      </c>
      <c r="C1786" t="s">
        <v>113</v>
      </c>
      <c r="D1786">
        <v>9.6999983829999994E-3</v>
      </c>
      <c r="E1786">
        <v>9.0429723460000001E-7</v>
      </c>
      <c r="F1786">
        <v>1.318051027E-6</v>
      </c>
      <c r="G1786">
        <v>0.53959370110000004</v>
      </c>
      <c r="H1786">
        <v>1.011493033</v>
      </c>
      <c r="I1786">
        <v>0.97256687770000005</v>
      </c>
    </row>
    <row r="1787" spans="1:9" hidden="1" x14ac:dyDescent="0.2">
      <c r="A1787" t="s">
        <v>721</v>
      </c>
      <c r="B1787" t="s">
        <v>924</v>
      </c>
      <c r="C1787" t="s">
        <v>113</v>
      </c>
      <c r="E1787">
        <v>5.5210996640000001E-13</v>
      </c>
    </row>
    <row r="1788" spans="1:9" hidden="1" x14ac:dyDescent="0.2">
      <c r="A1788" t="s">
        <v>721</v>
      </c>
      <c r="B1788" t="s">
        <v>827</v>
      </c>
      <c r="C1788" t="s">
        <v>113</v>
      </c>
      <c r="D1788">
        <v>1.3299910360000001E-5</v>
      </c>
      <c r="E1788">
        <v>4.5417489192000001E-5</v>
      </c>
      <c r="F1788">
        <v>8.8526498019999998E-7</v>
      </c>
      <c r="G1788">
        <v>0</v>
      </c>
      <c r="H1788">
        <v>1.3706298289999999E-6</v>
      </c>
      <c r="I1788">
        <v>3.2582665069999999E-6</v>
      </c>
    </row>
    <row r="1789" spans="1:9" hidden="1" x14ac:dyDescent="0.2">
      <c r="A1789" t="s">
        <v>721</v>
      </c>
      <c r="B1789" t="s">
        <v>821</v>
      </c>
      <c r="C1789" t="s">
        <v>113</v>
      </c>
      <c r="D1789">
        <v>2.2787485889999999E-5</v>
      </c>
      <c r="E1789">
        <v>2.082299647E-6</v>
      </c>
      <c r="F1789">
        <v>1.4787148410000001E-6</v>
      </c>
      <c r="G1789">
        <v>0</v>
      </c>
      <c r="H1789">
        <v>2.3488789939999999E-6</v>
      </c>
      <c r="I1789">
        <v>5.5131429400000001E-6</v>
      </c>
    </row>
    <row r="1790" spans="1:9" hidden="1" x14ac:dyDescent="0.2">
      <c r="A1790" t="s">
        <v>721</v>
      </c>
      <c r="B1790" t="s">
        <v>907</v>
      </c>
      <c r="C1790" t="s">
        <v>113</v>
      </c>
      <c r="D1790">
        <v>-2.3498074849999999E-4</v>
      </c>
      <c r="E1790">
        <v>-6.8093852239999993E-5</v>
      </c>
      <c r="F1790">
        <v>-1.5640724029999999E-5</v>
      </c>
      <c r="G1790">
        <v>-9.9774130059999991E-7</v>
      </c>
      <c r="H1790">
        <v>-2.421607471E-5</v>
      </c>
      <c r="I1790">
        <v>-5.7566546060000003E-5</v>
      </c>
    </row>
    <row r="1791" spans="1:9" hidden="1" x14ac:dyDescent="0.2">
      <c r="A1791" t="s">
        <v>721</v>
      </c>
      <c r="B1791" t="s">
        <v>825</v>
      </c>
      <c r="C1791" t="s">
        <v>113</v>
      </c>
      <c r="D1791">
        <v>-4.6996149699999997E-5</v>
      </c>
      <c r="E1791">
        <v>-4.8073696200000002E-6</v>
      </c>
      <c r="F1791">
        <v>-3.1281448059999999E-6</v>
      </c>
      <c r="G1791">
        <v>-1.9954826009999999E-7</v>
      </c>
      <c r="H1791">
        <v>-4.8432149419999998E-6</v>
      </c>
      <c r="I1791">
        <v>-1.151330921E-5</v>
      </c>
    </row>
    <row r="1792" spans="1:9" hidden="1" x14ac:dyDescent="0.2">
      <c r="A1792" t="s">
        <v>721</v>
      </c>
      <c r="B1792" t="s">
        <v>824</v>
      </c>
      <c r="C1792" t="s">
        <v>113</v>
      </c>
      <c r="D1792">
        <v>2.8197689820000003E-4</v>
      </c>
      <c r="E1792">
        <v>2.8844217720000001E-5</v>
      </c>
      <c r="F1792">
        <v>1.876886884E-5</v>
      </c>
      <c r="G1792">
        <v>1.1972895610000001E-6</v>
      </c>
      <c r="H1792">
        <v>2.905928965E-5</v>
      </c>
      <c r="I1792">
        <v>6.9079855269999998E-5</v>
      </c>
    </row>
    <row r="1793" spans="1:9" hidden="1" x14ac:dyDescent="0.2">
      <c r="A1793" t="s">
        <v>722</v>
      </c>
      <c r="B1793" t="s">
        <v>899</v>
      </c>
      <c r="C1793" t="s">
        <v>7</v>
      </c>
      <c r="D1793">
        <v>0</v>
      </c>
      <c r="E1793">
        <v>-2.4198729401999999E-5</v>
      </c>
      <c r="F1793">
        <v>-1.887044759E-5</v>
      </c>
      <c r="G1793">
        <v>-5.0049622799999999E-7</v>
      </c>
      <c r="H1793">
        <v>-1.906357287E-5</v>
      </c>
      <c r="I1793">
        <v>-5.586795024E-5</v>
      </c>
    </row>
    <row r="1794" spans="1:9" hidden="1" x14ac:dyDescent="0.2">
      <c r="A1794" t="s">
        <v>722</v>
      </c>
      <c r="B1794" t="s">
        <v>820</v>
      </c>
      <c r="C1794" t="s">
        <v>7</v>
      </c>
      <c r="D1794">
        <v>1.3636144917000001E-4</v>
      </c>
      <c r="E1794">
        <v>1.5004313341700001E-4</v>
      </c>
      <c r="F1794">
        <v>2.4050266690000001E-4</v>
      </c>
      <c r="G1794">
        <v>14.381587059999999</v>
      </c>
      <c r="H1794">
        <v>11.50521859</v>
      </c>
      <c r="I1794">
        <v>4.1587617679999997</v>
      </c>
    </row>
    <row r="1795" spans="1:9" hidden="1" x14ac:dyDescent="0.2">
      <c r="A1795" t="s">
        <v>722</v>
      </c>
      <c r="B1795" t="s">
        <v>898</v>
      </c>
      <c r="C1795" t="s">
        <v>7</v>
      </c>
      <c r="D1795">
        <v>-7.5874452080000007E-5</v>
      </c>
      <c r="E1795">
        <v>-5.7934456483999998E-5</v>
      </c>
      <c r="F1795">
        <v>-1.149107312E-4</v>
      </c>
      <c r="G1795">
        <v>-7.9961619050000001</v>
      </c>
      <c r="H1795">
        <v>-6.3968824719999997</v>
      </c>
      <c r="I1795">
        <v>-2.3122157890000001</v>
      </c>
    </row>
    <row r="1796" spans="1:9" hidden="1" x14ac:dyDescent="0.2">
      <c r="A1796" t="s">
        <v>722</v>
      </c>
      <c r="B1796" t="s">
        <v>924</v>
      </c>
      <c r="C1796" t="s">
        <v>7</v>
      </c>
      <c r="E1796">
        <v>-1.2617290429999999E-6</v>
      </c>
    </row>
    <row r="1797" spans="1:9" hidden="1" x14ac:dyDescent="0.2">
      <c r="A1797" t="s">
        <v>722</v>
      </c>
      <c r="B1797" t="s">
        <v>827</v>
      </c>
      <c r="C1797" t="s">
        <v>7</v>
      </c>
      <c r="D1797">
        <v>-6.1707873683999996E-6</v>
      </c>
      <c r="E1797">
        <v>-1.105949536E-5</v>
      </c>
      <c r="F1797">
        <v>-1.0591632599999999E-5</v>
      </c>
      <c r="G1797">
        <v>-0.6250019711</v>
      </c>
      <c r="H1797">
        <v>-0.499999358</v>
      </c>
      <c r="I1797">
        <v>-0.18073354</v>
      </c>
    </row>
    <row r="1798" spans="1:9" hidden="1" x14ac:dyDescent="0.2">
      <c r="A1798" t="s">
        <v>722</v>
      </c>
      <c r="B1798" t="s">
        <v>821</v>
      </c>
      <c r="C1798" t="s">
        <v>7</v>
      </c>
      <c r="D1798">
        <v>-6.5443523488000014E-6</v>
      </c>
      <c r="E1798">
        <v>-6.9401604020000002E-6</v>
      </c>
      <c r="F1798">
        <v>-1.138337666E-5</v>
      </c>
      <c r="G1798">
        <v>-0.67826914260000004</v>
      </c>
      <c r="H1798">
        <v>-0.54261290610000001</v>
      </c>
      <c r="I1798">
        <v>-0.1961369664</v>
      </c>
    </row>
    <row r="1799" spans="1:9" hidden="1" x14ac:dyDescent="0.2">
      <c r="A1799" t="s">
        <v>723</v>
      </c>
      <c r="B1799" t="s">
        <v>899</v>
      </c>
      <c r="C1799" t="s">
        <v>7</v>
      </c>
      <c r="D1799">
        <v>0</v>
      </c>
      <c r="E1799">
        <v>-1.5347217101109999E-5</v>
      </c>
      <c r="F1799">
        <v>-8.6328563859999999E-6</v>
      </c>
      <c r="G1799">
        <v>-1.5309625219999999E-7</v>
      </c>
      <c r="H1799">
        <v>-6.515966492E-6</v>
      </c>
      <c r="I1799">
        <v>-5.5129507099999999E-5</v>
      </c>
    </row>
    <row r="1800" spans="1:9" hidden="1" x14ac:dyDescent="0.2">
      <c r="A1800" t="s">
        <v>723</v>
      </c>
      <c r="B1800" t="s">
        <v>817</v>
      </c>
      <c r="C1800" t="s">
        <v>7</v>
      </c>
      <c r="D1800">
        <v>5.4446785249999996E-6</v>
      </c>
      <c r="E1800">
        <v>2.7203830076740003E-4</v>
      </c>
      <c r="F1800">
        <v>1.7430491160000001E-4</v>
      </c>
      <c r="G1800">
        <v>2.258912298E-6</v>
      </c>
      <c r="H1800">
        <v>1.6598663039999999E-4</v>
      </c>
      <c r="I1800">
        <v>1.7651560700000001E-3</v>
      </c>
    </row>
    <row r="1801" spans="1:9" hidden="1" x14ac:dyDescent="0.2">
      <c r="A1801" t="s">
        <v>723</v>
      </c>
      <c r="B1801" t="s">
        <v>898</v>
      </c>
      <c r="C1801" t="s">
        <v>7</v>
      </c>
      <c r="D1801">
        <v>-3.6530500950000001E-6</v>
      </c>
      <c r="E1801">
        <v>-1.6635201786246E-4</v>
      </c>
      <c r="F1801">
        <v>-1.086036445E-4</v>
      </c>
      <c r="G1801">
        <v>-1.3783734369999999E-6</v>
      </c>
      <c r="H1801">
        <v>-1.069792828E-4</v>
      </c>
      <c r="I1801">
        <v>-1.1623226529999999E-3</v>
      </c>
    </row>
    <row r="1802" spans="1:9" hidden="1" x14ac:dyDescent="0.2">
      <c r="A1802" t="s">
        <v>723</v>
      </c>
      <c r="B1802" t="s">
        <v>924</v>
      </c>
      <c r="C1802" t="s">
        <v>7</v>
      </c>
      <c r="E1802">
        <v>-6.0648543869999993E-8</v>
      </c>
    </row>
    <row r="1803" spans="1:9" hidden="1" x14ac:dyDescent="0.2">
      <c r="A1803" t="s">
        <v>723</v>
      </c>
      <c r="B1803" t="s">
        <v>827</v>
      </c>
      <c r="C1803" t="s">
        <v>7</v>
      </c>
      <c r="D1803">
        <v>0</v>
      </c>
      <c r="E1803">
        <v>3.3703445630000001E-6</v>
      </c>
      <c r="F1803">
        <v>1.9284236679999999E-6</v>
      </c>
      <c r="G1803">
        <v>0</v>
      </c>
      <c r="H1803">
        <v>1.8729189060000001E-6</v>
      </c>
      <c r="I1803">
        <v>2.079741518E-5</v>
      </c>
    </row>
    <row r="1804" spans="1:9" hidden="1" x14ac:dyDescent="0.2">
      <c r="A1804" t="s">
        <v>723</v>
      </c>
      <c r="B1804" t="s">
        <v>825</v>
      </c>
      <c r="C1804" t="s">
        <v>7</v>
      </c>
      <c r="D1804">
        <v>-2.9680494219999998E-7</v>
      </c>
      <c r="E1804">
        <v>-1.8367209119999998E-5</v>
      </c>
      <c r="F1804">
        <v>-1.1757830699999999E-5</v>
      </c>
      <c r="G1804">
        <v>-1.5314922219999999E-7</v>
      </c>
      <c r="H1804">
        <v>-1.1349596299999999E-5</v>
      </c>
      <c r="I1804">
        <v>-1.218081892E-4</v>
      </c>
    </row>
    <row r="1805" spans="1:9" hidden="1" x14ac:dyDescent="0.2">
      <c r="A1805" t="s">
        <v>724</v>
      </c>
      <c r="B1805" t="s">
        <v>819</v>
      </c>
      <c r="C1805" t="s">
        <v>7</v>
      </c>
      <c r="D1805">
        <v>-1.4708485370000001E-5</v>
      </c>
      <c r="E1805">
        <v>-0.72856003069999997</v>
      </c>
      <c r="F1805">
        <v>-1.8036511289999999E-4</v>
      </c>
      <c r="G1805">
        <v>-1.3182689129999999E-7</v>
      </c>
      <c r="H1805">
        <v>-1.101614881E-4</v>
      </c>
      <c r="I1805">
        <v>-3.9583328000000003E-6</v>
      </c>
    </row>
    <row r="1806" spans="1:9" hidden="1" x14ac:dyDescent="0.2">
      <c r="A1806" t="s">
        <v>724</v>
      </c>
      <c r="B1806" t="s">
        <v>820</v>
      </c>
      <c r="C1806" t="s">
        <v>7</v>
      </c>
      <c r="D1806">
        <v>3.9723362889999997E-5</v>
      </c>
      <c r="E1806">
        <v>2.5173739259999999</v>
      </c>
      <c r="F1806">
        <v>4.8653247060000002E-4</v>
      </c>
      <c r="G1806">
        <v>3.5560126940000001E-7</v>
      </c>
      <c r="H1806">
        <v>2.9715913519999998E-4</v>
      </c>
      <c r="I1806">
        <v>1.067754959E-5</v>
      </c>
    </row>
    <row r="1807" spans="1:9" hidden="1" x14ac:dyDescent="0.2">
      <c r="A1807" t="s">
        <v>724</v>
      </c>
      <c r="B1807" t="s">
        <v>924</v>
      </c>
      <c r="C1807" t="s">
        <v>7</v>
      </c>
      <c r="E1807">
        <v>-1.2323435279999999</v>
      </c>
    </row>
    <row r="1808" spans="1:9" hidden="1" x14ac:dyDescent="0.2">
      <c r="A1808" t="s">
        <v>724</v>
      </c>
      <c r="B1808" t="s">
        <v>827</v>
      </c>
      <c r="C1808" t="s">
        <v>7</v>
      </c>
      <c r="D1808">
        <v>-7.7357047610000001E-7</v>
      </c>
      <c r="E1808">
        <v>-0.24814880787800001</v>
      </c>
      <c r="F1808">
        <v>-6.3867796720000004E-6</v>
      </c>
      <c r="G1808">
        <v>0</v>
      </c>
      <c r="H1808">
        <v>-3.9008494579999996E-6</v>
      </c>
      <c r="I1808">
        <v>-1.4016568419999999E-7</v>
      </c>
    </row>
    <row r="1809" spans="1:9" hidden="1" x14ac:dyDescent="0.2">
      <c r="A1809" t="s">
        <v>724</v>
      </c>
      <c r="B1809" t="s">
        <v>821</v>
      </c>
      <c r="C1809" t="s">
        <v>7</v>
      </c>
      <c r="D1809">
        <v>-1.2095783850000001E-6</v>
      </c>
      <c r="E1809">
        <v>-1.5062937990000001E-2</v>
      </c>
      <c r="F1809">
        <v>-1.464567146E-5</v>
      </c>
      <c r="G1809">
        <v>0</v>
      </c>
      <c r="H1809">
        <v>-8.9451276680000001E-6</v>
      </c>
      <c r="I1809">
        <v>-3.2141715640000002E-7</v>
      </c>
    </row>
    <row r="1810" spans="1:9" hidden="1" x14ac:dyDescent="0.2">
      <c r="A1810" t="s">
        <v>725</v>
      </c>
      <c r="B1810" t="s">
        <v>903</v>
      </c>
      <c r="C1810" t="s">
        <v>7</v>
      </c>
      <c r="D1810">
        <v>-1.273719701E-6</v>
      </c>
      <c r="E1810">
        <v>-1.3732423145726</v>
      </c>
      <c r="F1810">
        <v>-2.158500431E-5</v>
      </c>
      <c r="G1810">
        <v>-2.4845405629999999E-7</v>
      </c>
      <c r="H1810">
        <v>-5.5207111959999999E-6</v>
      </c>
      <c r="I1810">
        <v>-8.3693901980000001E-6</v>
      </c>
    </row>
    <row r="1811" spans="1:9" hidden="1" x14ac:dyDescent="0.2">
      <c r="A1811" t="s">
        <v>725</v>
      </c>
      <c r="B1811" t="s">
        <v>820</v>
      </c>
      <c r="C1811" t="s">
        <v>7</v>
      </c>
      <c r="D1811">
        <v>2.155030809E-6</v>
      </c>
      <c r="E1811">
        <v>3.6787744728526599</v>
      </c>
      <c r="F1811">
        <v>3.6520083069999998E-5</v>
      </c>
      <c r="G1811">
        <v>4.2036418640000001E-7</v>
      </c>
      <c r="H1811">
        <v>9.3405972309999998E-6</v>
      </c>
      <c r="I1811">
        <v>1.416033191E-5</v>
      </c>
    </row>
    <row r="1812" spans="1:9" hidden="1" x14ac:dyDescent="0.2">
      <c r="A1812" t="s">
        <v>725</v>
      </c>
      <c r="B1812" t="s">
        <v>924</v>
      </c>
      <c r="C1812" t="s">
        <v>7</v>
      </c>
      <c r="E1812">
        <v>-0.81738671340000002</v>
      </c>
    </row>
    <row r="1813" spans="1:9" hidden="1" x14ac:dyDescent="0.2">
      <c r="A1813" t="s">
        <v>725</v>
      </c>
      <c r="B1813" t="s">
        <v>827</v>
      </c>
      <c r="C1813" t="s">
        <v>7</v>
      </c>
      <c r="D1813">
        <v>0</v>
      </c>
      <c r="E1813">
        <v>-1.488131701091405</v>
      </c>
      <c r="F1813">
        <v>-1.619140281E-6</v>
      </c>
      <c r="G1813">
        <v>0</v>
      </c>
      <c r="H1813">
        <v>-4.14121107E-7</v>
      </c>
      <c r="I1813">
        <v>-6.2780700000000003E-7</v>
      </c>
    </row>
    <row r="1814" spans="1:9" hidden="1" x14ac:dyDescent="0.2">
      <c r="A1814" t="s">
        <v>725</v>
      </c>
      <c r="B1814" t="s">
        <v>821</v>
      </c>
      <c r="C1814" t="s">
        <v>7</v>
      </c>
      <c r="D1814">
        <v>0</v>
      </c>
      <c r="E1814">
        <v>1.404566484E-6</v>
      </c>
      <c r="F1814">
        <v>1.3609011249999999E-6</v>
      </c>
      <c r="G1814">
        <v>0</v>
      </c>
      <c r="H1814">
        <v>3.4807229910000002E-7</v>
      </c>
      <c r="I1814">
        <v>5.2767710250000005E-7</v>
      </c>
    </row>
    <row r="1815" spans="1:9" hidden="1" x14ac:dyDescent="0.2">
      <c r="A1815" t="s">
        <v>725</v>
      </c>
      <c r="B1815" t="s">
        <v>870</v>
      </c>
      <c r="C1815" t="s">
        <v>7</v>
      </c>
      <c r="D1815">
        <v>0</v>
      </c>
      <c r="E1815">
        <v>-2.9095860059999999E-6</v>
      </c>
      <c r="F1815">
        <v>-2.8191323889999999E-6</v>
      </c>
      <c r="G1815">
        <v>0</v>
      </c>
      <c r="H1815">
        <v>-7.210383431E-7</v>
      </c>
      <c r="I1815">
        <v>-1.0930930860000001E-6</v>
      </c>
    </row>
    <row r="1816" spans="1:9" hidden="1" x14ac:dyDescent="0.2">
      <c r="A1816" t="s">
        <v>726</v>
      </c>
      <c r="B1816" t="s">
        <v>851</v>
      </c>
      <c r="C1816" t="s">
        <v>7</v>
      </c>
      <c r="D1816">
        <v>-3.5431739320000002E-7</v>
      </c>
      <c r="E1816">
        <v>-1.9021965433E-5</v>
      </c>
      <c r="F1816">
        <v>-2.2429761920000001E-5</v>
      </c>
      <c r="G1816">
        <v>-5.3566279210000001E-7</v>
      </c>
      <c r="H1816">
        <v>-2.9235051429999999</v>
      </c>
      <c r="I1816">
        <v>-3.7040098210000001</v>
      </c>
    </row>
    <row r="1817" spans="1:9" hidden="1" x14ac:dyDescent="0.2">
      <c r="A1817" t="s">
        <v>726</v>
      </c>
      <c r="B1817" t="s">
        <v>892</v>
      </c>
      <c r="C1817" t="s">
        <v>7</v>
      </c>
      <c r="D1817">
        <v>-7.0863478650000001E-7</v>
      </c>
      <c r="E1817">
        <v>-3.7771456087000003E-5</v>
      </c>
      <c r="F1817">
        <v>-4.4859523829999998E-5</v>
      </c>
      <c r="G1817">
        <v>-1.0713255840000001E-6</v>
      </c>
      <c r="H1817">
        <v>-5.8470102869999998</v>
      </c>
      <c r="I1817">
        <v>-7.4080196430000003</v>
      </c>
    </row>
    <row r="1818" spans="1:9" hidden="1" x14ac:dyDescent="0.2">
      <c r="A1818" t="s">
        <v>726</v>
      </c>
      <c r="B1818" t="s">
        <v>820</v>
      </c>
      <c r="C1818" t="s">
        <v>7</v>
      </c>
      <c r="D1818">
        <v>2.776522263E-6</v>
      </c>
      <c r="E1818">
        <v>1.6232840972E-4</v>
      </c>
      <c r="F1818">
        <v>1.757653858E-4</v>
      </c>
      <c r="G1818">
        <v>4.1975914710000003E-6</v>
      </c>
      <c r="H1818">
        <v>22.909338550000001</v>
      </c>
      <c r="I1818">
        <v>29.025574039999999</v>
      </c>
    </row>
    <row r="1819" spans="1:9" hidden="1" x14ac:dyDescent="0.2">
      <c r="A1819" t="s">
        <v>726</v>
      </c>
      <c r="B1819" t="s">
        <v>837</v>
      </c>
      <c r="C1819" t="s">
        <v>7</v>
      </c>
      <c r="D1819">
        <v>-3.5431739320000002E-7</v>
      </c>
      <c r="E1819">
        <v>-1.8957748129999999E-5</v>
      </c>
      <c r="F1819">
        <v>-2.2429761920000001E-5</v>
      </c>
      <c r="G1819">
        <v>-5.3566279210000001E-7</v>
      </c>
      <c r="H1819">
        <v>-2.9235051429999999</v>
      </c>
      <c r="I1819">
        <v>-3.7040098210000001</v>
      </c>
    </row>
    <row r="1820" spans="1:9" hidden="1" x14ac:dyDescent="0.2">
      <c r="A1820" t="s">
        <v>726</v>
      </c>
      <c r="B1820" t="s">
        <v>924</v>
      </c>
      <c r="C1820" t="s">
        <v>7</v>
      </c>
      <c r="E1820">
        <v>-7.4338275589999996E-6</v>
      </c>
    </row>
    <row r="1821" spans="1:9" hidden="1" x14ac:dyDescent="0.2">
      <c r="A1821" t="s">
        <v>726</v>
      </c>
      <c r="B1821" t="s">
        <v>827</v>
      </c>
      <c r="C1821" t="s">
        <v>7</v>
      </c>
      <c r="D1821">
        <v>0</v>
      </c>
      <c r="E1821">
        <v>-2.6255276789E-5</v>
      </c>
      <c r="F1821">
        <v>-9.2789355510000001E-6</v>
      </c>
      <c r="G1821">
        <v>-2.2159756060000001E-7</v>
      </c>
      <c r="H1821">
        <v>-1.209420586</v>
      </c>
      <c r="I1821">
        <v>-1.53230643</v>
      </c>
    </row>
    <row r="1822" spans="1:9" hidden="1" x14ac:dyDescent="0.2">
      <c r="A1822" t="s">
        <v>726</v>
      </c>
      <c r="B1822" t="s">
        <v>821</v>
      </c>
      <c r="C1822" t="s">
        <v>7</v>
      </c>
      <c r="D1822">
        <v>0</v>
      </c>
      <c r="E1822">
        <v>8.6721925639999999E-7</v>
      </c>
      <c r="F1822">
        <v>1.258773236E-6</v>
      </c>
      <c r="G1822">
        <v>0</v>
      </c>
      <c r="H1822">
        <v>0.16406906339999999</v>
      </c>
      <c r="I1822">
        <v>0.20787150779999999</v>
      </c>
    </row>
    <row r="1823" spans="1:9" hidden="1" x14ac:dyDescent="0.2">
      <c r="A1823" t="s">
        <v>726</v>
      </c>
      <c r="B1823" t="s">
        <v>870</v>
      </c>
      <c r="C1823" t="s">
        <v>7</v>
      </c>
      <c r="D1823">
        <v>-3.4561486140000002E-7</v>
      </c>
      <c r="E1823">
        <v>-1.507321912E-5</v>
      </c>
      <c r="F1823">
        <v>-2.1878855519999999E-5</v>
      </c>
      <c r="G1823">
        <v>-5.2250616299999999E-7</v>
      </c>
      <c r="H1823">
        <v>-2.8516997590000002</v>
      </c>
      <c r="I1823">
        <v>-3.6130341480000001</v>
      </c>
    </row>
    <row r="1824" spans="1:9" hidden="1" x14ac:dyDescent="0.2">
      <c r="A1824" t="s">
        <v>727</v>
      </c>
      <c r="B1824" t="s">
        <v>908</v>
      </c>
      <c r="C1824" t="s">
        <v>383</v>
      </c>
      <c r="D1824">
        <v>0.1000008912759337</v>
      </c>
      <c r="E1824">
        <v>4.2087398083816394</v>
      </c>
      <c r="F1824">
        <v>5.2456389080000003E-5</v>
      </c>
      <c r="G1824">
        <v>6.5797411619999995E-7</v>
      </c>
      <c r="H1824">
        <v>1.009964559E-5</v>
      </c>
      <c r="I1824">
        <v>1.310226225E-3</v>
      </c>
    </row>
    <row r="1825" spans="1:9" hidden="1" x14ac:dyDescent="0.2">
      <c r="A1825" t="s">
        <v>727</v>
      </c>
      <c r="B1825" t="s">
        <v>820</v>
      </c>
      <c r="C1825" t="s">
        <v>383</v>
      </c>
      <c r="D1825">
        <v>-0.1000008912759337</v>
      </c>
      <c r="E1825">
        <v>-4.2087398083816394</v>
      </c>
      <c r="F1825">
        <v>-5.2456389080000003E-5</v>
      </c>
      <c r="G1825">
        <v>-6.5797411619999995E-7</v>
      </c>
      <c r="H1825">
        <v>-1.009964559E-5</v>
      </c>
      <c r="I1825">
        <v>-1.310226225E-3</v>
      </c>
    </row>
    <row r="1826" spans="1:9" hidden="1" x14ac:dyDescent="0.2">
      <c r="A1826" t="s">
        <v>728</v>
      </c>
      <c r="B1826" t="s">
        <v>825</v>
      </c>
      <c r="C1826" t="s">
        <v>16</v>
      </c>
      <c r="D1826">
        <v>7.0133378919374314</v>
      </c>
      <c r="E1826">
        <v>1.462688861E-4</v>
      </c>
      <c r="F1826">
        <v>9.9243244570000006E-5</v>
      </c>
      <c r="G1826">
        <v>3.326894362</v>
      </c>
      <c r="H1826">
        <v>1.161235306E-4</v>
      </c>
      <c r="I1826">
        <v>9.2732226530000005E-5</v>
      </c>
    </row>
    <row r="1827" spans="1:9" hidden="1" x14ac:dyDescent="0.2">
      <c r="A1827" t="s">
        <v>729</v>
      </c>
      <c r="B1827" t="s">
        <v>825</v>
      </c>
      <c r="C1827" t="s">
        <v>16</v>
      </c>
      <c r="D1827">
        <v>1.5230162991400001E-4</v>
      </c>
      <c r="E1827">
        <v>2.0412028049999999E-5</v>
      </c>
      <c r="F1827">
        <v>2.2111874530000001E-5</v>
      </c>
      <c r="G1827">
        <v>2.701932575E-6</v>
      </c>
      <c r="H1827">
        <v>4.639616859E-5</v>
      </c>
      <c r="I1827">
        <v>1.9401636179999999E-5</v>
      </c>
    </row>
    <row r="1828" spans="1:9" hidden="1" x14ac:dyDescent="0.2">
      <c r="A1828" t="s">
        <v>730</v>
      </c>
      <c r="B1828" t="s">
        <v>825</v>
      </c>
      <c r="C1828" t="s">
        <v>16</v>
      </c>
      <c r="D1828">
        <v>3.2215248256000002E-4</v>
      </c>
      <c r="E1828">
        <v>9.5142603880000006E-5</v>
      </c>
      <c r="F1828">
        <v>7.0281353999999995E-5</v>
      </c>
      <c r="G1828">
        <v>5.4165811239999997E-6</v>
      </c>
      <c r="H1828">
        <v>9.1400692530000006E-5</v>
      </c>
      <c r="I1828">
        <v>6.8409705739999997E-5</v>
      </c>
    </row>
    <row r="1829" spans="1:9" hidden="1" x14ac:dyDescent="0.2">
      <c r="A1829" t="s">
        <v>731</v>
      </c>
      <c r="B1829" t="s">
        <v>825</v>
      </c>
      <c r="C1829" t="s">
        <v>16</v>
      </c>
      <c r="D1829">
        <v>2.3860673652099999E-4</v>
      </c>
      <c r="E1829">
        <v>4.6841740019999998E-5</v>
      </c>
      <c r="F1829">
        <v>3.5433709880000002E-5</v>
      </c>
      <c r="G1829">
        <v>3.6139752350000001E-6</v>
      </c>
      <c r="H1829">
        <v>5.9949264910000001E-5</v>
      </c>
      <c r="I1829">
        <v>3.4482680079999998E-5</v>
      </c>
    </row>
    <row r="1830" spans="1:9" hidden="1" x14ac:dyDescent="0.2">
      <c r="A1830" t="s">
        <v>732</v>
      </c>
      <c r="B1830" t="s">
        <v>825</v>
      </c>
      <c r="C1830" t="s">
        <v>16</v>
      </c>
      <c r="D1830">
        <v>40.081898749999993</v>
      </c>
      <c r="E1830">
        <v>19.800106450000001</v>
      </c>
      <c r="F1830">
        <v>19.226382310000002</v>
      </c>
      <c r="G1830">
        <v>18.652700790000001</v>
      </c>
      <c r="H1830">
        <v>18.07883781</v>
      </c>
      <c r="I1830">
        <v>17.505097660000001</v>
      </c>
    </row>
    <row r="1831" spans="1:9" hidden="1" x14ac:dyDescent="0.2">
      <c r="A1831" t="s">
        <v>733</v>
      </c>
      <c r="B1831" t="s">
        <v>825</v>
      </c>
      <c r="C1831" t="s">
        <v>16</v>
      </c>
      <c r="D1831">
        <v>5.4919985748399993E-4</v>
      </c>
      <c r="E1831">
        <v>1.16395868E-4</v>
      </c>
      <c r="F1831">
        <v>8.0266914019999993E-5</v>
      </c>
      <c r="G1831">
        <v>5.6748728080000001E-6</v>
      </c>
      <c r="H1831">
        <v>9.6277261779999994E-5</v>
      </c>
      <c r="I1831">
        <v>7.3739756400000001E-5</v>
      </c>
    </row>
    <row r="1832" spans="1:9" hidden="1" x14ac:dyDescent="0.2">
      <c r="A1832" t="s">
        <v>734</v>
      </c>
      <c r="B1832" t="s">
        <v>825</v>
      </c>
      <c r="C1832" t="s">
        <v>16</v>
      </c>
      <c r="D1832">
        <v>76.539692709999997</v>
      </c>
      <c r="E1832">
        <v>37.734476239999999</v>
      </c>
      <c r="F1832">
        <v>36.563698350000003</v>
      </c>
      <c r="G1832">
        <v>35.39294495</v>
      </c>
      <c r="H1832">
        <v>34.222093899999997</v>
      </c>
      <c r="I1832">
        <v>33.051329809999999</v>
      </c>
    </row>
    <row r="1833" spans="1:9" hidden="1" x14ac:dyDescent="0.2">
      <c r="A1833" t="s">
        <v>735</v>
      </c>
      <c r="B1833" t="s">
        <v>825</v>
      </c>
      <c r="C1833" t="s">
        <v>16</v>
      </c>
      <c r="D1833">
        <v>1.5933886411700001E-4</v>
      </c>
      <c r="E1833">
        <v>5.4184670309999999E-5</v>
      </c>
      <c r="F1833">
        <v>3.8908690329999999E-5</v>
      </c>
      <c r="G1833">
        <v>3.6839037709999998E-6</v>
      </c>
      <c r="H1833">
        <v>6.3435652999999998E-5</v>
      </c>
      <c r="I1833">
        <v>3.88214993E-5</v>
      </c>
    </row>
    <row r="1834" spans="1:9" hidden="1" x14ac:dyDescent="0.2">
      <c r="A1834" t="s">
        <v>736</v>
      </c>
      <c r="B1834" t="s">
        <v>825</v>
      </c>
      <c r="C1834" t="s">
        <v>16</v>
      </c>
      <c r="D1834">
        <v>22.043278749999999</v>
      </c>
      <c r="E1834">
        <v>11.645899780000001</v>
      </c>
      <c r="F1834">
        <v>10.93895346</v>
      </c>
      <c r="G1834">
        <v>8.1910026089999999</v>
      </c>
      <c r="H1834">
        <v>7.6308407540000003</v>
      </c>
      <c r="I1834">
        <v>8.8179779499999995</v>
      </c>
    </row>
    <row r="1835" spans="1:9" hidden="1" x14ac:dyDescent="0.2">
      <c r="A1835" t="s">
        <v>737</v>
      </c>
      <c r="B1835" t="s">
        <v>825</v>
      </c>
      <c r="C1835" t="s">
        <v>16</v>
      </c>
      <c r="D1835">
        <v>1.9631748308315999</v>
      </c>
      <c r="E1835">
        <v>1.4161344730000001E-4</v>
      </c>
      <c r="F1835">
        <v>9.6787229419999999E-5</v>
      </c>
      <c r="G1835">
        <v>1.77225155</v>
      </c>
      <c r="H1835">
        <v>1.644754582</v>
      </c>
      <c r="I1835">
        <v>8.272926935E-5</v>
      </c>
    </row>
    <row r="1836" spans="1:9" hidden="1" x14ac:dyDescent="0.2">
      <c r="A1836" t="s">
        <v>738</v>
      </c>
      <c r="B1836" t="s">
        <v>924</v>
      </c>
      <c r="C1836" t="s">
        <v>405</v>
      </c>
      <c r="E1836">
        <v>-4.5651111429999998E-7</v>
      </c>
    </row>
    <row r="1837" spans="1:9" hidden="1" x14ac:dyDescent="0.2">
      <c r="A1837" t="s">
        <v>738</v>
      </c>
      <c r="B1837" t="s">
        <v>852</v>
      </c>
      <c r="C1837" t="s">
        <v>405</v>
      </c>
      <c r="D1837">
        <v>-1.295206224E-6</v>
      </c>
      <c r="E1837">
        <v>-1.5621055260599998E-5</v>
      </c>
      <c r="F1837">
        <v>-6.7902513640000002E-6</v>
      </c>
      <c r="G1837">
        <v>0</v>
      </c>
      <c r="H1837">
        <v>-0.4339496799</v>
      </c>
      <c r="I1837">
        <v>-0.49999073570000002</v>
      </c>
    </row>
    <row r="1838" spans="1:9" hidden="1" x14ac:dyDescent="0.2">
      <c r="A1838" t="s">
        <v>738</v>
      </c>
      <c r="B1838" t="s">
        <v>890</v>
      </c>
      <c r="C1838" t="s">
        <v>405</v>
      </c>
      <c r="D1838">
        <v>-2.5904124470000002E-6</v>
      </c>
      <c r="E1838">
        <v>-3.12097320375E-5</v>
      </c>
      <c r="F1838">
        <v>-1.3580502729999999E-5</v>
      </c>
      <c r="G1838">
        <v>-1.8789267599999999E-7</v>
      </c>
      <c r="H1838">
        <v>-0.8678993599</v>
      </c>
      <c r="I1838">
        <v>-0.99998147140000004</v>
      </c>
    </row>
    <row r="1839" spans="1:9" hidden="1" x14ac:dyDescent="0.2">
      <c r="A1839" t="s">
        <v>738</v>
      </c>
      <c r="B1839" t="s">
        <v>843</v>
      </c>
      <c r="C1839" t="s">
        <v>405</v>
      </c>
      <c r="D1839">
        <v>-1.295206224E-6</v>
      </c>
      <c r="E1839">
        <v>-1.5196922629999999E-5</v>
      </c>
      <c r="F1839">
        <v>-6.7902513640000002E-6</v>
      </c>
      <c r="G1839">
        <v>0</v>
      </c>
      <c r="H1839">
        <v>-0.4339496799</v>
      </c>
      <c r="I1839">
        <v>-0.49999073570000002</v>
      </c>
    </row>
    <row r="1840" spans="1:9" hidden="1" x14ac:dyDescent="0.2">
      <c r="A1840" t="s">
        <v>738</v>
      </c>
      <c r="B1840" t="s">
        <v>891</v>
      </c>
      <c r="C1840" t="s">
        <v>405</v>
      </c>
      <c r="D1840">
        <v>5.1808248940000003E-6</v>
      </c>
      <c r="E1840">
        <v>6.2484221041999991E-5</v>
      </c>
      <c r="F1840">
        <v>2.7161005459999999E-5</v>
      </c>
      <c r="G1840">
        <v>3.7578535199999998E-7</v>
      </c>
      <c r="H1840">
        <v>1.73579872</v>
      </c>
      <c r="I1840">
        <v>1.9999629430000001</v>
      </c>
    </row>
    <row r="1841" spans="1:9" hidden="1" x14ac:dyDescent="0.2">
      <c r="A1841" t="s">
        <v>739</v>
      </c>
      <c r="B1841" t="s">
        <v>819</v>
      </c>
      <c r="C1841" t="s">
        <v>3</v>
      </c>
      <c r="D1841">
        <v>3.6196603870000002E-7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 spans="1:9" hidden="1" x14ac:dyDescent="0.2">
      <c r="A1842" t="s">
        <v>739</v>
      </c>
      <c r="B1842" t="s">
        <v>821</v>
      </c>
      <c r="C1842" t="s">
        <v>3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</row>
    <row r="1843" spans="1:9" hidden="1" x14ac:dyDescent="0.2">
      <c r="A1843" t="s">
        <v>739</v>
      </c>
      <c r="B1843" t="s">
        <v>833</v>
      </c>
      <c r="C1843" t="s">
        <v>3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 spans="1:9" hidden="1" x14ac:dyDescent="0.2">
      <c r="A1844" t="s">
        <v>740</v>
      </c>
      <c r="B1844" t="s">
        <v>851</v>
      </c>
      <c r="C1844" t="s">
        <v>7</v>
      </c>
      <c r="D1844">
        <v>-8.2164207650000001E-7</v>
      </c>
      <c r="E1844">
        <v>-1.7962024775999999E-5</v>
      </c>
      <c r="F1844">
        <v>-1.174860259E-5</v>
      </c>
      <c r="G1844">
        <v>-1.493187389E-7</v>
      </c>
      <c r="H1844">
        <v>-0.65865899390000004</v>
      </c>
      <c r="I1844">
        <v>-0.83413566930000005</v>
      </c>
    </row>
    <row r="1845" spans="1:9" hidden="1" x14ac:dyDescent="0.2">
      <c r="A1845" t="s">
        <v>740</v>
      </c>
      <c r="B1845" t="s">
        <v>892</v>
      </c>
      <c r="C1845" t="s">
        <v>7</v>
      </c>
      <c r="D1845">
        <v>-3.4235086480000002E-7</v>
      </c>
      <c r="E1845">
        <v>-7.4559364324000004E-6</v>
      </c>
      <c r="F1845">
        <v>-4.8952510709999996E-6</v>
      </c>
      <c r="G1845">
        <v>0</v>
      </c>
      <c r="H1845">
        <v>-0.27444124710000001</v>
      </c>
      <c r="I1845">
        <v>-0.34755652840000001</v>
      </c>
    </row>
    <row r="1846" spans="1:9" hidden="1" x14ac:dyDescent="0.2">
      <c r="A1846" t="s">
        <v>740</v>
      </c>
      <c r="B1846" t="s">
        <v>820</v>
      </c>
      <c r="C1846" t="s">
        <v>7</v>
      </c>
      <c r="D1846">
        <v>2.6827494670000001E-6</v>
      </c>
      <c r="E1846">
        <v>6.1398125198999995E-5</v>
      </c>
      <c r="F1846">
        <v>3.8360447000000001E-5</v>
      </c>
      <c r="G1846">
        <v>4.8754169079999999E-7</v>
      </c>
      <c r="H1846">
        <v>2.1505922289999999</v>
      </c>
      <c r="I1846">
        <v>2.7235423870000002</v>
      </c>
    </row>
    <row r="1847" spans="1:9" hidden="1" x14ac:dyDescent="0.2">
      <c r="A1847" t="s">
        <v>740</v>
      </c>
      <c r="B1847" t="s">
        <v>837</v>
      </c>
      <c r="C1847" t="s">
        <v>7</v>
      </c>
      <c r="D1847">
        <v>-2.0541051960000001E-7</v>
      </c>
      <c r="E1847">
        <v>-4.4825192686999998E-6</v>
      </c>
      <c r="F1847">
        <v>-2.9371506530000001E-6</v>
      </c>
      <c r="G1847">
        <v>0</v>
      </c>
      <c r="H1847">
        <v>-0.16466474880000001</v>
      </c>
      <c r="I1847">
        <v>-0.20853391769999999</v>
      </c>
    </row>
    <row r="1848" spans="1:9" hidden="1" x14ac:dyDescent="0.2">
      <c r="A1848" t="s">
        <v>740</v>
      </c>
      <c r="B1848" t="s">
        <v>924</v>
      </c>
      <c r="C1848" t="s">
        <v>7</v>
      </c>
      <c r="E1848">
        <v>-1.5073876099999999E-6</v>
      </c>
    </row>
    <row r="1849" spans="1:9" hidden="1" x14ac:dyDescent="0.2">
      <c r="A1849" t="s">
        <v>740</v>
      </c>
      <c r="B1849" t="s">
        <v>827</v>
      </c>
      <c r="C1849" t="s">
        <v>7</v>
      </c>
      <c r="D1849">
        <v>0</v>
      </c>
      <c r="E1849">
        <v>-6.9073613499999999E-6</v>
      </c>
      <c r="F1849">
        <v>-2.025109289E-6</v>
      </c>
      <c r="G1849">
        <v>0</v>
      </c>
      <c r="H1849">
        <v>-0.1135332</v>
      </c>
      <c r="I1849">
        <v>-0.14378015420000001</v>
      </c>
    </row>
    <row r="1850" spans="1:9" hidden="1" x14ac:dyDescent="0.2">
      <c r="A1850" t="s">
        <v>740</v>
      </c>
      <c r="B1850" t="s">
        <v>821</v>
      </c>
      <c r="C1850" t="s">
        <v>7</v>
      </c>
      <c r="D1850">
        <v>0</v>
      </c>
      <c r="E1850">
        <v>3.7849569559999998E-7</v>
      </c>
      <c r="F1850">
        <v>2.7472476329999999E-7</v>
      </c>
      <c r="G1850">
        <v>0</v>
      </c>
      <c r="H1850">
        <v>1.540182629E-2</v>
      </c>
      <c r="I1850">
        <v>1.9505104759999999E-2</v>
      </c>
    </row>
    <row r="1851" spans="1:9" hidden="1" x14ac:dyDescent="0.2">
      <c r="A1851" t="s">
        <v>740</v>
      </c>
      <c r="B1851" t="s">
        <v>870</v>
      </c>
      <c r="C1851" t="s">
        <v>7</v>
      </c>
      <c r="D1851">
        <v>-3.3394224760000001E-7</v>
      </c>
      <c r="E1851">
        <v>-6.5786691370000004E-6</v>
      </c>
      <c r="F1851">
        <v>-4.7750168419999999E-6</v>
      </c>
      <c r="G1851">
        <v>0</v>
      </c>
      <c r="H1851">
        <v>-0.26770058540000002</v>
      </c>
      <c r="I1851">
        <v>-0.33902005289999998</v>
      </c>
    </row>
    <row r="1852" spans="1:9" hidden="1" x14ac:dyDescent="0.2">
      <c r="A1852" t="s">
        <v>741</v>
      </c>
      <c r="B1852" t="s">
        <v>867</v>
      </c>
      <c r="C1852" t="s">
        <v>11</v>
      </c>
      <c r="D1852">
        <v>2.0200451680000001E-6</v>
      </c>
      <c r="E1852">
        <v>2.5213476781799999E-5</v>
      </c>
      <c r="F1852">
        <v>3.877329877E-6</v>
      </c>
      <c r="G1852">
        <v>0</v>
      </c>
      <c r="H1852">
        <v>0</v>
      </c>
      <c r="I1852">
        <v>6.513676996E-6</v>
      </c>
    </row>
    <row r="1853" spans="1:9" hidden="1" x14ac:dyDescent="0.2">
      <c r="A1853" t="s">
        <v>741</v>
      </c>
      <c r="B1853" t="s">
        <v>924</v>
      </c>
      <c r="C1853" t="s">
        <v>11</v>
      </c>
      <c r="E1853">
        <v>-2.2252033839999999E-6</v>
      </c>
    </row>
    <row r="1854" spans="1:9" hidden="1" x14ac:dyDescent="0.2">
      <c r="A1854" t="s">
        <v>741</v>
      </c>
      <c r="B1854" t="s">
        <v>827</v>
      </c>
      <c r="C1854" t="s">
        <v>11</v>
      </c>
      <c r="D1854">
        <v>0</v>
      </c>
      <c r="E1854">
        <v>-3.0766200559999998E-7</v>
      </c>
      <c r="F1854">
        <v>0</v>
      </c>
      <c r="G1854">
        <v>0</v>
      </c>
      <c r="H1854">
        <v>0</v>
      </c>
      <c r="I1854">
        <v>-1.359549572E-7</v>
      </c>
    </row>
    <row r="1855" spans="1:9" hidden="1" x14ac:dyDescent="0.2">
      <c r="A1855" t="s">
        <v>741</v>
      </c>
      <c r="B1855" t="s">
        <v>821</v>
      </c>
      <c r="C1855" t="s">
        <v>11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 spans="1:9" hidden="1" x14ac:dyDescent="0.2">
      <c r="A1856" t="s">
        <v>741</v>
      </c>
      <c r="B1856" t="s">
        <v>858</v>
      </c>
      <c r="C1856" t="s">
        <v>11</v>
      </c>
      <c r="D1856">
        <v>2.1992138130000001E-6</v>
      </c>
      <c r="E1856">
        <v>2.6354556779499999E-5</v>
      </c>
      <c r="F1856">
        <v>4.1228131719999997E-6</v>
      </c>
      <c r="G1856">
        <v>0</v>
      </c>
      <c r="H1856">
        <v>0</v>
      </c>
      <c r="I1856">
        <v>7.2300741000000001E-6</v>
      </c>
    </row>
    <row r="1857" spans="1:9" hidden="1" x14ac:dyDescent="0.2">
      <c r="A1857" t="s">
        <v>741</v>
      </c>
      <c r="B1857" t="s">
        <v>868</v>
      </c>
      <c r="C1857" t="s">
        <v>11</v>
      </c>
      <c r="D1857">
        <v>1.8744342570000001E-6</v>
      </c>
      <c r="E1857">
        <v>1.6077560113E-5</v>
      </c>
      <c r="F1857">
        <v>2.89492824E-6</v>
      </c>
      <c r="G1857">
        <v>0</v>
      </c>
      <c r="H1857">
        <v>0</v>
      </c>
      <c r="I1857">
        <v>6.3289497469999998E-6</v>
      </c>
    </row>
    <row r="1858" spans="1:9" hidden="1" x14ac:dyDescent="0.2">
      <c r="A1858" t="s">
        <v>741</v>
      </c>
      <c r="B1858" t="s">
        <v>824</v>
      </c>
      <c r="C1858" t="s">
        <v>11</v>
      </c>
      <c r="D1858">
        <v>-1.586899281E-6</v>
      </c>
      <c r="E1858">
        <v>-4.180190294E-6</v>
      </c>
      <c r="F1858">
        <v>-1.0026318520000001E-6</v>
      </c>
      <c r="G1858">
        <v>0</v>
      </c>
      <c r="H1858">
        <v>0</v>
      </c>
      <c r="I1858">
        <v>-1.8472140930000001E-6</v>
      </c>
    </row>
    <row r="1859" spans="1:9" hidden="1" x14ac:dyDescent="0.2">
      <c r="A1859" t="s">
        <v>742</v>
      </c>
      <c r="B1859" t="s">
        <v>835</v>
      </c>
      <c r="C1859" t="s">
        <v>3</v>
      </c>
      <c r="D1859">
        <v>-2.1271783589999999E-2</v>
      </c>
      <c r="E1859">
        <v>-2.2552834729999999E-2</v>
      </c>
      <c r="F1859">
        <v>0</v>
      </c>
      <c r="G1859">
        <v>0</v>
      </c>
      <c r="H1859">
        <v>0</v>
      </c>
      <c r="I1859">
        <v>0</v>
      </c>
    </row>
    <row r="1860" spans="1:9" hidden="1" x14ac:dyDescent="0.2">
      <c r="A1860" t="s">
        <v>742</v>
      </c>
      <c r="B1860" t="s">
        <v>924</v>
      </c>
      <c r="C1860" t="s">
        <v>3</v>
      </c>
      <c r="E1860">
        <v>2.279955891E-2</v>
      </c>
    </row>
    <row r="1861" spans="1:9" hidden="1" x14ac:dyDescent="0.2">
      <c r="A1861" t="s">
        <v>742</v>
      </c>
      <c r="B1861" t="s">
        <v>925</v>
      </c>
      <c r="C1861" t="s">
        <v>3</v>
      </c>
      <c r="E1861">
        <v>-0.26060897830000002</v>
      </c>
    </row>
    <row r="1862" spans="1:9" hidden="1" x14ac:dyDescent="0.2">
      <c r="A1862" t="s">
        <v>742</v>
      </c>
      <c r="B1862" t="s">
        <v>821</v>
      </c>
      <c r="C1862" t="s">
        <v>3</v>
      </c>
      <c r="D1862">
        <v>2.03681836E-3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 spans="1:9" hidden="1" x14ac:dyDescent="0.2">
      <c r="A1863" t="s">
        <v>742</v>
      </c>
      <c r="B1863" t="s">
        <v>841</v>
      </c>
      <c r="C1863" t="s">
        <v>3</v>
      </c>
      <c r="D1863">
        <v>-5.2756114749999999E-2</v>
      </c>
      <c r="E1863">
        <v>-9.3192816770000006E-2</v>
      </c>
      <c r="F1863">
        <v>0</v>
      </c>
      <c r="G1863">
        <v>0</v>
      </c>
      <c r="H1863">
        <v>0</v>
      </c>
      <c r="I1863">
        <v>0</v>
      </c>
    </row>
    <row r="1864" spans="1:9" hidden="1" x14ac:dyDescent="0.2">
      <c r="A1864" t="s">
        <v>742</v>
      </c>
      <c r="B1864" t="s">
        <v>901</v>
      </c>
      <c r="C1864" t="s">
        <v>3</v>
      </c>
      <c r="D1864">
        <v>0.20014615829999999</v>
      </c>
      <c r="E1864">
        <v>0.35355507089999999</v>
      </c>
      <c r="F1864">
        <v>0</v>
      </c>
      <c r="G1864">
        <v>0</v>
      </c>
      <c r="H1864">
        <v>0</v>
      </c>
      <c r="I1864">
        <v>0</v>
      </c>
    </row>
    <row r="1865" spans="1:9" hidden="1" x14ac:dyDescent="0.2">
      <c r="A1865" t="s">
        <v>742</v>
      </c>
      <c r="B1865" t="s">
        <v>824</v>
      </c>
      <c r="C1865" t="s">
        <v>3</v>
      </c>
      <c r="D1865">
        <v>-5.5828712270000001E-3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 spans="1:9" x14ac:dyDescent="0.2">
      <c r="A1866" t="s">
        <v>743</v>
      </c>
      <c r="B1866" t="s">
        <v>821</v>
      </c>
      <c r="C1866" t="s">
        <v>20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</row>
    <row r="1867" spans="1:9" x14ac:dyDescent="0.2">
      <c r="A1867" t="s">
        <v>743</v>
      </c>
      <c r="B1867" t="s">
        <v>889</v>
      </c>
      <c r="C1867" t="s">
        <v>20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</row>
    <row r="1868" spans="1:9" hidden="1" x14ac:dyDescent="0.2">
      <c r="A1868" t="s">
        <v>744</v>
      </c>
      <c r="B1868" t="s">
        <v>825</v>
      </c>
      <c r="C1868" t="s">
        <v>188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 spans="1:9" hidden="1" x14ac:dyDescent="0.2">
      <c r="A1869" t="s">
        <v>745</v>
      </c>
      <c r="B1869" t="s">
        <v>825</v>
      </c>
      <c r="C1869" t="s">
        <v>188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</row>
    <row r="1870" spans="1:9" hidden="1" x14ac:dyDescent="0.2">
      <c r="A1870" t="s">
        <v>746</v>
      </c>
      <c r="B1870" t="s">
        <v>821</v>
      </c>
      <c r="C1870" t="s">
        <v>188</v>
      </c>
      <c r="D1870">
        <v>0.3478334273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 spans="1:9" hidden="1" x14ac:dyDescent="0.2">
      <c r="A1871" t="s">
        <v>746</v>
      </c>
      <c r="B1871" t="s">
        <v>830</v>
      </c>
      <c r="C1871" t="s">
        <v>188</v>
      </c>
      <c r="D1871">
        <v>0.99996731969999997</v>
      </c>
      <c r="E1871">
        <v>0</v>
      </c>
      <c r="F1871">
        <v>0</v>
      </c>
      <c r="G1871">
        <v>0</v>
      </c>
      <c r="H1871">
        <v>0</v>
      </c>
      <c r="I1871">
        <v>0</v>
      </c>
    </row>
    <row r="1872" spans="1:9" hidden="1" x14ac:dyDescent="0.2">
      <c r="A1872" t="s">
        <v>746</v>
      </c>
      <c r="B1872" t="s">
        <v>825</v>
      </c>
      <c r="C1872" t="s">
        <v>188</v>
      </c>
      <c r="D1872">
        <v>-1.34779811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 spans="1:9" hidden="1" x14ac:dyDescent="0.2">
      <c r="A1873" t="s">
        <v>747</v>
      </c>
      <c r="B1873" t="s">
        <v>915</v>
      </c>
      <c r="C1873" t="s">
        <v>188</v>
      </c>
      <c r="D1873">
        <v>-1.170282395E-4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 spans="1:9" hidden="1" x14ac:dyDescent="0.2">
      <c r="A1874" t="s">
        <v>747</v>
      </c>
      <c r="B1874" t="s">
        <v>821</v>
      </c>
      <c r="C1874" t="s">
        <v>188</v>
      </c>
      <c r="D1874">
        <v>1.594209024E-5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 spans="1:9" hidden="1" x14ac:dyDescent="0.2">
      <c r="A1875" t="s">
        <v>747</v>
      </c>
      <c r="B1875" t="s">
        <v>825</v>
      </c>
      <c r="C1875" t="s">
        <v>188</v>
      </c>
      <c r="D1875">
        <v>1.018818441E-4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 spans="1:9" hidden="1" x14ac:dyDescent="0.2">
      <c r="A1876" t="s">
        <v>748</v>
      </c>
      <c r="B1876" t="s">
        <v>821</v>
      </c>
      <c r="C1876" t="s">
        <v>188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 spans="1:9" hidden="1" x14ac:dyDescent="0.2">
      <c r="A1877" t="s">
        <v>748</v>
      </c>
      <c r="B1877" t="s">
        <v>870</v>
      </c>
      <c r="C1877" t="s">
        <v>188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 spans="1:9" hidden="1" x14ac:dyDescent="0.2">
      <c r="A1878" t="s">
        <v>748</v>
      </c>
      <c r="B1878" t="s">
        <v>825</v>
      </c>
      <c r="C1878" t="s">
        <v>188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 spans="1:9" hidden="1" x14ac:dyDescent="0.2">
      <c r="A1879" t="s">
        <v>749</v>
      </c>
      <c r="B1879" t="s">
        <v>916</v>
      </c>
      <c r="C1879" t="s">
        <v>188</v>
      </c>
      <c r="D1879">
        <v>-0.94119995000000001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 spans="1:9" hidden="1" x14ac:dyDescent="0.2">
      <c r="A1880" t="s">
        <v>749</v>
      </c>
      <c r="B1880" t="s">
        <v>821</v>
      </c>
      <c r="C1880" t="s">
        <v>188</v>
      </c>
      <c r="D1880">
        <v>0.13694418659999999</v>
      </c>
      <c r="E1880">
        <v>0</v>
      </c>
      <c r="F1880">
        <v>0</v>
      </c>
      <c r="G1880">
        <v>0</v>
      </c>
      <c r="H1880">
        <v>0</v>
      </c>
      <c r="I1880">
        <v>0</v>
      </c>
    </row>
    <row r="1881" spans="1:9" hidden="1" x14ac:dyDescent="0.2">
      <c r="A1881" t="s">
        <v>749</v>
      </c>
      <c r="B1881" t="s">
        <v>825</v>
      </c>
      <c r="C1881" t="s">
        <v>188</v>
      </c>
      <c r="D1881">
        <v>0.7553102183</v>
      </c>
      <c r="E1881">
        <v>0</v>
      </c>
      <c r="F1881">
        <v>0</v>
      </c>
      <c r="G1881">
        <v>0</v>
      </c>
      <c r="H1881">
        <v>0</v>
      </c>
      <c r="I1881">
        <v>0</v>
      </c>
    </row>
    <row r="1882" spans="1:9" hidden="1" x14ac:dyDescent="0.2">
      <c r="A1882" t="s">
        <v>750</v>
      </c>
      <c r="B1882" t="s">
        <v>915</v>
      </c>
      <c r="C1882" t="s">
        <v>188</v>
      </c>
      <c r="D1882">
        <v>1.137481762</v>
      </c>
      <c r="E1882">
        <v>0</v>
      </c>
      <c r="F1882">
        <v>0</v>
      </c>
      <c r="G1882">
        <v>0</v>
      </c>
      <c r="H1882">
        <v>0</v>
      </c>
      <c r="I1882">
        <v>0</v>
      </c>
    </row>
    <row r="1883" spans="1:9" hidden="1" x14ac:dyDescent="0.2">
      <c r="A1883" t="s">
        <v>750</v>
      </c>
      <c r="B1883" t="s">
        <v>825</v>
      </c>
      <c r="C1883" t="s">
        <v>188</v>
      </c>
      <c r="D1883">
        <v>-0.99779101889999999</v>
      </c>
      <c r="E1883">
        <v>0</v>
      </c>
      <c r="F1883">
        <v>0</v>
      </c>
      <c r="G1883">
        <v>0</v>
      </c>
      <c r="H1883">
        <v>0</v>
      </c>
      <c r="I1883">
        <v>0</v>
      </c>
    </row>
    <row r="1884" spans="1:9" hidden="1" x14ac:dyDescent="0.2">
      <c r="A1884" t="s">
        <v>751</v>
      </c>
      <c r="B1884" t="s">
        <v>916</v>
      </c>
      <c r="C1884" t="s">
        <v>188</v>
      </c>
      <c r="D1884">
        <v>-0.98358744529999997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 spans="1:9" hidden="1" x14ac:dyDescent="0.2">
      <c r="A1885" t="s">
        <v>751</v>
      </c>
      <c r="B1885" t="s">
        <v>825</v>
      </c>
      <c r="C1885" t="s">
        <v>188</v>
      </c>
      <c r="D1885">
        <v>1.0150586859999999</v>
      </c>
      <c r="E1885">
        <v>0</v>
      </c>
      <c r="F1885">
        <v>0</v>
      </c>
      <c r="G1885">
        <v>0</v>
      </c>
      <c r="H1885">
        <v>0</v>
      </c>
      <c r="I1885">
        <v>0</v>
      </c>
    </row>
    <row r="1886" spans="1:9" hidden="1" x14ac:dyDescent="0.2">
      <c r="A1886" t="s">
        <v>752</v>
      </c>
      <c r="B1886" t="s">
        <v>870</v>
      </c>
      <c r="C1886" t="s">
        <v>581</v>
      </c>
      <c r="D1886">
        <v>6.1237094449999996E-7</v>
      </c>
      <c r="E1886">
        <v>0</v>
      </c>
      <c r="F1886">
        <v>0</v>
      </c>
      <c r="G1886">
        <v>0</v>
      </c>
      <c r="H1886">
        <v>0</v>
      </c>
      <c r="I1886">
        <v>0</v>
      </c>
    </row>
    <row r="1887" spans="1:9" hidden="1" x14ac:dyDescent="0.2">
      <c r="A1887" t="s">
        <v>753</v>
      </c>
      <c r="B1887" t="s">
        <v>821</v>
      </c>
      <c r="C1887" t="s">
        <v>87</v>
      </c>
      <c r="D1887">
        <v>5.0122690913999994</v>
      </c>
      <c r="E1887">
        <v>5.3786555509999996</v>
      </c>
      <c r="F1887">
        <v>9.9441276710000004</v>
      </c>
      <c r="G1887">
        <v>24.67511579</v>
      </c>
      <c r="H1887">
        <v>18.002552099999999</v>
      </c>
      <c r="I1887">
        <v>20.369697479999999</v>
      </c>
    </row>
    <row r="1888" spans="1:9" hidden="1" x14ac:dyDescent="0.2">
      <c r="A1888" t="s">
        <v>754</v>
      </c>
      <c r="B1888" t="s">
        <v>821</v>
      </c>
      <c r="C1888" t="s">
        <v>87</v>
      </c>
      <c r="D1888">
        <v>0.37800627749999999</v>
      </c>
      <c r="E1888">
        <v>1.0314529729999999</v>
      </c>
      <c r="F1888">
        <v>2.5053042990000001</v>
      </c>
      <c r="G1888">
        <v>3.6776052799999999</v>
      </c>
      <c r="H1888">
        <v>5.0484900379999997</v>
      </c>
      <c r="I1888">
        <v>6.3504105769999999</v>
      </c>
    </row>
    <row r="1889" spans="1:9" hidden="1" x14ac:dyDescent="0.2">
      <c r="A1889" t="s">
        <v>755</v>
      </c>
      <c r="B1889" t="s">
        <v>828</v>
      </c>
      <c r="C1889" t="s">
        <v>87</v>
      </c>
      <c r="D1889">
        <v>1.4123242487000001</v>
      </c>
      <c r="E1889">
        <v>0.32336227179999999</v>
      </c>
      <c r="F1889">
        <v>0.3264779854</v>
      </c>
      <c r="G1889">
        <v>3.1181280539999998E-7</v>
      </c>
      <c r="H1889">
        <v>5.7950379290000003E-6</v>
      </c>
      <c r="I1889">
        <v>7.1940465200000003E-6</v>
      </c>
    </row>
    <row r="1890" spans="1:9" hidden="1" x14ac:dyDescent="0.2">
      <c r="A1890" t="s">
        <v>755</v>
      </c>
      <c r="B1890" t="s">
        <v>851</v>
      </c>
      <c r="C1890" t="s">
        <v>87</v>
      </c>
      <c r="D1890">
        <v>2.2240072225930301</v>
      </c>
      <c r="E1890">
        <v>9.4115481828399989E-5</v>
      </c>
      <c r="F1890">
        <v>1.7722066619999999E-4</v>
      </c>
      <c r="G1890">
        <v>1.2880485010000001E-6</v>
      </c>
      <c r="H1890">
        <v>2.1533697759999999E-5</v>
      </c>
      <c r="I1890">
        <v>3.0961359779999999E-5</v>
      </c>
    </row>
    <row r="1891" spans="1:9" hidden="1" x14ac:dyDescent="0.2">
      <c r="A1891" t="s">
        <v>755</v>
      </c>
      <c r="B1891" t="s">
        <v>924</v>
      </c>
      <c r="C1891" t="s">
        <v>87</v>
      </c>
      <c r="E1891">
        <v>-1.6998188199999999E-7</v>
      </c>
    </row>
    <row r="1892" spans="1:9" hidden="1" x14ac:dyDescent="0.2">
      <c r="A1892" t="s">
        <v>755</v>
      </c>
      <c r="B1892" t="s">
        <v>848</v>
      </c>
      <c r="C1892" t="s">
        <v>87</v>
      </c>
      <c r="D1892">
        <v>7.7944893689999999</v>
      </c>
      <c r="E1892">
        <v>3.783318343581938</v>
      </c>
      <c r="F1892">
        <v>3.8260270830000001</v>
      </c>
      <c r="G1892">
        <v>1.3388850720000001E-6</v>
      </c>
      <c r="H1892">
        <v>3.1328592700000003E-5</v>
      </c>
      <c r="I1892">
        <v>3.4913131009999997E-5</v>
      </c>
    </row>
    <row r="1893" spans="1:9" hidden="1" x14ac:dyDescent="0.2">
      <c r="A1893" t="s">
        <v>755</v>
      </c>
      <c r="B1893" t="s">
        <v>852</v>
      </c>
      <c r="C1893" t="s">
        <v>87</v>
      </c>
      <c r="D1893">
        <v>2.2687481681999999E-5</v>
      </c>
      <c r="E1893">
        <v>1.0095082065554E-4</v>
      </c>
      <c r="F1893">
        <v>3.5991000960000001E-4</v>
      </c>
      <c r="G1893">
        <v>1.0340325079999999E-6</v>
      </c>
      <c r="H1893">
        <v>1.7838883310000001E-5</v>
      </c>
      <c r="I1893">
        <v>2.4448978260000001E-5</v>
      </c>
    </row>
    <row r="1894" spans="1:9" hidden="1" x14ac:dyDescent="0.2">
      <c r="A1894" t="s">
        <v>756</v>
      </c>
      <c r="B1894" t="s">
        <v>851</v>
      </c>
      <c r="C1894" t="s">
        <v>87</v>
      </c>
      <c r="D1894">
        <v>1.6170018722011199</v>
      </c>
      <c r="E1894">
        <v>0.1074980985735</v>
      </c>
      <c r="F1894">
        <v>2.3682991390000001E-4</v>
      </c>
      <c r="G1894">
        <v>2.0923590679999999</v>
      </c>
      <c r="H1894">
        <v>1.655083903E-4</v>
      </c>
      <c r="I1894">
        <v>1.9684125530000001</v>
      </c>
    </row>
    <row r="1895" spans="1:9" hidden="1" x14ac:dyDescent="0.2">
      <c r="A1895" t="s">
        <v>756</v>
      </c>
      <c r="B1895" t="s">
        <v>924</v>
      </c>
      <c r="C1895" t="s">
        <v>87</v>
      </c>
      <c r="E1895">
        <v>-0.45008162660000001</v>
      </c>
    </row>
    <row r="1896" spans="1:9" hidden="1" x14ac:dyDescent="0.2">
      <c r="A1896" t="s">
        <v>756</v>
      </c>
      <c r="B1896" t="s">
        <v>848</v>
      </c>
      <c r="C1896" t="s">
        <v>87</v>
      </c>
      <c r="D1896">
        <v>7.3688162930000001</v>
      </c>
      <c r="E1896">
        <v>6.3676670012000001</v>
      </c>
      <c r="F1896">
        <v>5.9841686100000002</v>
      </c>
      <c r="G1896">
        <v>3.7857715700000001</v>
      </c>
      <c r="H1896">
        <v>5.8143718499999997</v>
      </c>
      <c r="I1896">
        <v>3.6624323849999998</v>
      </c>
    </row>
    <row r="1897" spans="1:9" hidden="1" x14ac:dyDescent="0.2">
      <c r="A1897" t="s">
        <v>756</v>
      </c>
      <c r="B1897" t="s">
        <v>852</v>
      </c>
      <c r="C1897" t="s">
        <v>87</v>
      </c>
      <c r="D1897">
        <v>2.5788300906000001E-5</v>
      </c>
      <c r="E1897">
        <v>3.2764595856500003E-2</v>
      </c>
      <c r="F1897">
        <v>2.5012705209999999E-4</v>
      </c>
      <c r="G1897">
        <v>1.5328112430000001E-2</v>
      </c>
      <c r="H1897">
        <v>1.6167642829999999E-4</v>
      </c>
      <c r="I1897">
        <v>8.8319982369999994E-2</v>
      </c>
    </row>
    <row r="1898" spans="1:9" hidden="1" x14ac:dyDescent="0.2">
      <c r="A1898" t="s">
        <v>757</v>
      </c>
      <c r="B1898" t="s">
        <v>851</v>
      </c>
      <c r="C1898" t="s">
        <v>87</v>
      </c>
      <c r="D1898">
        <v>3.9616874118999986E-6</v>
      </c>
      <c r="E1898">
        <v>2.5347903384E-6</v>
      </c>
      <c r="F1898">
        <v>1.972629246E-6</v>
      </c>
      <c r="G1898">
        <v>0</v>
      </c>
      <c r="H1898">
        <v>1.514983009E-6</v>
      </c>
      <c r="I1898">
        <v>1.3571388200000001E-6</v>
      </c>
    </row>
    <row r="1899" spans="1:9" hidden="1" x14ac:dyDescent="0.2">
      <c r="A1899" t="s">
        <v>757</v>
      </c>
      <c r="B1899" t="s">
        <v>924</v>
      </c>
      <c r="C1899" t="s">
        <v>87</v>
      </c>
      <c r="E1899">
        <v>-2.349594963E-6</v>
      </c>
    </row>
    <row r="1900" spans="1:9" hidden="1" x14ac:dyDescent="0.2">
      <c r="A1900" t="s">
        <v>757</v>
      </c>
      <c r="B1900" t="s">
        <v>848</v>
      </c>
      <c r="C1900" t="s">
        <v>87</v>
      </c>
      <c r="D1900">
        <v>6.8152387974999997E-6</v>
      </c>
      <c r="E1900">
        <v>3.9830738745000001E-6</v>
      </c>
      <c r="F1900">
        <v>2.0513768889999999E-6</v>
      </c>
      <c r="G1900">
        <v>0</v>
      </c>
      <c r="H1900">
        <v>1.5518344979999999E-6</v>
      </c>
      <c r="I1900">
        <v>1.535975016E-6</v>
      </c>
    </row>
    <row r="1901" spans="1:9" hidden="1" x14ac:dyDescent="0.2">
      <c r="A1901" t="s">
        <v>757</v>
      </c>
      <c r="B1901" t="s">
        <v>852</v>
      </c>
      <c r="C1901" t="s">
        <v>87</v>
      </c>
      <c r="D1901">
        <v>2.9797712539999999E-6</v>
      </c>
      <c r="E1901">
        <v>2.1313706349000001E-6</v>
      </c>
      <c r="F1901">
        <v>1.43522457E-6</v>
      </c>
      <c r="G1901">
        <v>0</v>
      </c>
      <c r="H1901">
        <v>1.476447942E-6</v>
      </c>
      <c r="I1901">
        <v>1.149552353E-6</v>
      </c>
    </row>
    <row r="1902" spans="1:9" hidden="1" x14ac:dyDescent="0.2">
      <c r="A1902" t="s">
        <v>758</v>
      </c>
      <c r="B1902" t="s">
        <v>821</v>
      </c>
      <c r="C1902" t="s">
        <v>87</v>
      </c>
      <c r="D1902">
        <v>0</v>
      </c>
      <c r="E1902">
        <v>2.8558782519999999E-7</v>
      </c>
      <c r="F1902">
        <v>0</v>
      </c>
      <c r="G1902">
        <v>0</v>
      </c>
      <c r="H1902">
        <v>0</v>
      </c>
      <c r="I1902">
        <v>0</v>
      </c>
    </row>
    <row r="1903" spans="1:9" hidden="1" x14ac:dyDescent="0.2">
      <c r="A1903" t="s">
        <v>759</v>
      </c>
      <c r="B1903" t="s">
        <v>824</v>
      </c>
      <c r="C1903" t="s">
        <v>87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</row>
    <row r="1904" spans="1:9" hidden="1" x14ac:dyDescent="0.2">
      <c r="A1904" t="s">
        <v>760</v>
      </c>
      <c r="B1904" t="s">
        <v>821</v>
      </c>
      <c r="C1904" t="s">
        <v>316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</row>
    <row r="1905" spans="1:9" hidden="1" x14ac:dyDescent="0.2">
      <c r="A1905" t="s">
        <v>761</v>
      </c>
      <c r="B1905" t="s">
        <v>825</v>
      </c>
      <c r="C1905" t="s">
        <v>316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</row>
    <row r="1906" spans="1:9" hidden="1" x14ac:dyDescent="0.2">
      <c r="A1906" t="s">
        <v>762</v>
      </c>
      <c r="B1906" t="s">
        <v>821</v>
      </c>
      <c r="C1906" t="s">
        <v>3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</row>
    <row r="1907" spans="1:9" hidden="1" x14ac:dyDescent="0.2">
      <c r="A1907" t="s">
        <v>763</v>
      </c>
      <c r="B1907" t="s">
        <v>821</v>
      </c>
      <c r="C1907" t="s">
        <v>3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</row>
    <row r="1908" spans="1:9" hidden="1" x14ac:dyDescent="0.2">
      <c r="A1908" t="s">
        <v>764</v>
      </c>
      <c r="B1908" t="s">
        <v>821</v>
      </c>
      <c r="C1908" t="s">
        <v>194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</row>
    <row r="1909" spans="1:9" hidden="1" x14ac:dyDescent="0.2">
      <c r="A1909" t="s">
        <v>765</v>
      </c>
      <c r="B1909" t="s">
        <v>821</v>
      </c>
      <c r="C1909" t="s">
        <v>128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 spans="1:9" hidden="1" x14ac:dyDescent="0.2">
      <c r="A1910" t="s">
        <v>766</v>
      </c>
      <c r="B1910" t="s">
        <v>821</v>
      </c>
      <c r="C1910" t="s">
        <v>199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</row>
    <row r="1911" spans="1:9" hidden="1" x14ac:dyDescent="0.2">
      <c r="A1911" t="s">
        <v>767</v>
      </c>
      <c r="B1911" t="s">
        <v>821</v>
      </c>
      <c r="C1911" t="s">
        <v>194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</row>
    <row r="1912" spans="1:9" hidden="1" x14ac:dyDescent="0.2">
      <c r="A1912" t="s">
        <v>768</v>
      </c>
      <c r="B1912" t="s">
        <v>821</v>
      </c>
      <c r="C1912" t="s">
        <v>128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</row>
    <row r="1913" spans="1:9" hidden="1" x14ac:dyDescent="0.2">
      <c r="A1913" t="s">
        <v>769</v>
      </c>
      <c r="B1913" t="s">
        <v>821</v>
      </c>
      <c r="C1913" t="s">
        <v>199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</row>
    <row r="1914" spans="1:9" hidden="1" x14ac:dyDescent="0.2">
      <c r="A1914" t="s">
        <v>770</v>
      </c>
      <c r="B1914" t="s">
        <v>825</v>
      </c>
      <c r="C1914" t="s">
        <v>5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</row>
    <row r="1915" spans="1:9" hidden="1" x14ac:dyDescent="0.2">
      <c r="A1915" t="s">
        <v>771</v>
      </c>
      <c r="B1915" t="s">
        <v>825</v>
      </c>
      <c r="C1915" t="s">
        <v>5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 spans="1:9" hidden="1" x14ac:dyDescent="0.2">
      <c r="A1916" t="s">
        <v>772</v>
      </c>
      <c r="B1916" t="s">
        <v>825</v>
      </c>
      <c r="C1916" t="s">
        <v>5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</row>
    <row r="1917" spans="1:9" hidden="1" x14ac:dyDescent="0.2">
      <c r="A1917" t="s">
        <v>773</v>
      </c>
      <c r="B1917" t="s">
        <v>825</v>
      </c>
      <c r="C1917" t="s">
        <v>5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</row>
    <row r="1918" spans="1:9" hidden="1" x14ac:dyDescent="0.2">
      <c r="A1918" t="s">
        <v>774</v>
      </c>
      <c r="B1918" t="s">
        <v>825</v>
      </c>
      <c r="C1918" t="s">
        <v>5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</row>
    <row r="1919" spans="1:9" hidden="1" x14ac:dyDescent="0.2">
      <c r="A1919" t="s">
        <v>775</v>
      </c>
      <c r="B1919" t="s">
        <v>825</v>
      </c>
      <c r="C1919" t="s">
        <v>5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</row>
    <row r="1920" spans="1:9" hidden="1" x14ac:dyDescent="0.2">
      <c r="A1920" t="s">
        <v>776</v>
      </c>
      <c r="B1920" t="s">
        <v>825</v>
      </c>
      <c r="C1920" t="s">
        <v>5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</row>
    <row r="1921" spans="1:9" hidden="1" x14ac:dyDescent="0.2">
      <c r="A1921" t="s">
        <v>777</v>
      </c>
      <c r="B1921" t="s">
        <v>821</v>
      </c>
      <c r="C1921" t="s">
        <v>5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 spans="1:9" hidden="1" x14ac:dyDescent="0.2">
      <c r="A1922" t="s">
        <v>778</v>
      </c>
      <c r="B1922" t="s">
        <v>821</v>
      </c>
      <c r="C1922" t="s">
        <v>5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 spans="1:9" hidden="1" x14ac:dyDescent="0.2">
      <c r="A1923" t="s">
        <v>779</v>
      </c>
      <c r="B1923" t="s">
        <v>821</v>
      </c>
      <c r="C1923" t="s">
        <v>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 spans="1:9" hidden="1" x14ac:dyDescent="0.2">
      <c r="A1924" t="s">
        <v>780</v>
      </c>
      <c r="B1924" t="s">
        <v>821</v>
      </c>
      <c r="C1924" t="s">
        <v>5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 spans="1:9" hidden="1" x14ac:dyDescent="0.2">
      <c r="A1925" t="s">
        <v>781</v>
      </c>
      <c r="B1925" t="s">
        <v>821</v>
      </c>
      <c r="C1925" t="s">
        <v>5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</row>
    <row r="1926" spans="1:9" hidden="1" x14ac:dyDescent="0.2">
      <c r="A1926" t="s">
        <v>782</v>
      </c>
      <c r="B1926" t="s">
        <v>909</v>
      </c>
      <c r="C1926" t="s">
        <v>194</v>
      </c>
      <c r="D1926">
        <v>1.1523776271999999</v>
      </c>
      <c r="E1926">
        <v>2.0414391210000001E-2</v>
      </c>
      <c r="F1926">
        <v>0.10004262680000001</v>
      </c>
      <c r="G1926">
        <v>1.6362342049999999E-2</v>
      </c>
      <c r="H1926">
        <v>0.11448259080000001</v>
      </c>
      <c r="I1926">
        <v>0.1081286105</v>
      </c>
    </row>
    <row r="1927" spans="1:9" hidden="1" x14ac:dyDescent="0.2">
      <c r="A1927" t="s">
        <v>782</v>
      </c>
      <c r="B1927" t="s">
        <v>924</v>
      </c>
      <c r="C1927" t="s">
        <v>194</v>
      </c>
      <c r="E1927">
        <v>-0.1580003049</v>
      </c>
    </row>
    <row r="1928" spans="1:9" hidden="1" x14ac:dyDescent="0.2">
      <c r="A1928" t="s">
        <v>782</v>
      </c>
      <c r="B1928" t="s">
        <v>827</v>
      </c>
      <c r="C1928" t="s">
        <v>194</v>
      </c>
      <c r="D1928">
        <v>2.7323189373999999E-2</v>
      </c>
      <c r="E1928">
        <v>0.1584843288777</v>
      </c>
      <c r="F1928">
        <v>2.3720046150000002E-3</v>
      </c>
      <c r="G1928">
        <v>3.8795013789999998E-4</v>
      </c>
      <c r="H1928">
        <v>2.7143752839999999E-3</v>
      </c>
      <c r="I1928">
        <v>2.5637227979999999E-3</v>
      </c>
    </row>
    <row r="1929" spans="1:9" hidden="1" x14ac:dyDescent="0.2">
      <c r="A1929" t="s">
        <v>782</v>
      </c>
      <c r="B1929" t="s">
        <v>821</v>
      </c>
      <c r="C1929" t="s">
        <v>194</v>
      </c>
      <c r="D1929">
        <v>1.6285589265000001E-2</v>
      </c>
      <c r="E1929">
        <v>2.844475401E-4</v>
      </c>
      <c r="F1929">
        <v>1.413149828E-3</v>
      </c>
      <c r="G1929">
        <v>2.3123633059999999E-4</v>
      </c>
      <c r="H1929">
        <v>1.61789285E-3</v>
      </c>
      <c r="I1929">
        <v>1.5268537489999999E-3</v>
      </c>
    </row>
    <row r="1930" spans="1:9" hidden="1" x14ac:dyDescent="0.2">
      <c r="A1930" t="s">
        <v>782</v>
      </c>
      <c r="B1930" t="s">
        <v>833</v>
      </c>
      <c r="C1930" t="s">
        <v>194</v>
      </c>
      <c r="D1930">
        <v>8.2342237829999998E-2</v>
      </c>
      <c r="E1930">
        <v>1.4371552069999999E-3</v>
      </c>
      <c r="F1930">
        <v>7.1449180950000002E-3</v>
      </c>
      <c r="G1930">
        <v>1.169164562E-3</v>
      </c>
      <c r="H1930">
        <v>8.1803015819999995E-3</v>
      </c>
      <c r="I1930">
        <v>7.7196757000000003E-3</v>
      </c>
    </row>
    <row r="1931" spans="1:9" hidden="1" x14ac:dyDescent="0.2">
      <c r="A1931" t="s">
        <v>783</v>
      </c>
      <c r="B1931" t="s">
        <v>909</v>
      </c>
      <c r="C1931" t="s">
        <v>2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</row>
    <row r="1932" spans="1:9" hidden="1" x14ac:dyDescent="0.2">
      <c r="A1932" t="s">
        <v>783</v>
      </c>
      <c r="B1932" t="s">
        <v>917</v>
      </c>
      <c r="C1932" t="s">
        <v>2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</row>
    <row r="1933" spans="1:9" hidden="1" x14ac:dyDescent="0.2">
      <c r="A1933" t="s">
        <v>784</v>
      </c>
      <c r="B1933" t="s">
        <v>909</v>
      </c>
      <c r="C1933" t="s">
        <v>2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</row>
    <row r="1934" spans="1:9" hidden="1" x14ac:dyDescent="0.2">
      <c r="A1934" t="s">
        <v>784</v>
      </c>
      <c r="B1934" t="s">
        <v>918</v>
      </c>
      <c r="C1934" t="s">
        <v>2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</row>
    <row r="1935" spans="1:9" hidden="1" x14ac:dyDescent="0.2">
      <c r="A1935" t="s">
        <v>785</v>
      </c>
      <c r="B1935" t="s">
        <v>909</v>
      </c>
      <c r="C1935" t="s">
        <v>441</v>
      </c>
      <c r="D1935">
        <v>0</v>
      </c>
      <c r="E1935">
        <v>0</v>
      </c>
      <c r="F1935">
        <v>0</v>
      </c>
      <c r="G1935">
        <v>2.5454998160000002E-7</v>
      </c>
      <c r="H1935">
        <v>4.4576289919999996E-6</v>
      </c>
      <c r="I1935">
        <v>2.2553523280000002E-5</v>
      </c>
    </row>
    <row r="1936" spans="1:9" hidden="1" x14ac:dyDescent="0.2">
      <c r="A1936" t="s">
        <v>786</v>
      </c>
      <c r="B1936" t="s">
        <v>828</v>
      </c>
      <c r="C1936" t="s">
        <v>11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</row>
    <row r="1937" spans="1:9" hidden="1" x14ac:dyDescent="0.2">
      <c r="A1937" t="s">
        <v>786</v>
      </c>
      <c r="B1937" t="s">
        <v>909</v>
      </c>
      <c r="C1937" t="s">
        <v>11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 spans="1:9" hidden="1" x14ac:dyDescent="0.2">
      <c r="A1938" t="s">
        <v>786</v>
      </c>
      <c r="B1938" t="s">
        <v>821</v>
      </c>
      <c r="C1938" t="s">
        <v>11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</row>
    <row r="1939" spans="1:9" hidden="1" x14ac:dyDescent="0.2">
      <c r="A1939" t="s">
        <v>786</v>
      </c>
      <c r="B1939" t="s">
        <v>832</v>
      </c>
      <c r="C1939" t="s">
        <v>11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 spans="1:9" hidden="1" x14ac:dyDescent="0.2">
      <c r="A1940" t="s">
        <v>786</v>
      </c>
      <c r="B1940" t="s">
        <v>825</v>
      </c>
      <c r="C1940" t="s">
        <v>11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 spans="1:9" hidden="1" x14ac:dyDescent="0.2">
      <c r="A1941" t="s">
        <v>787</v>
      </c>
      <c r="B1941" t="s">
        <v>909</v>
      </c>
      <c r="C1941" t="s">
        <v>11</v>
      </c>
      <c r="D1941">
        <v>-0.95241849830000003</v>
      </c>
      <c r="E1941">
        <v>0</v>
      </c>
      <c r="F1941">
        <v>0</v>
      </c>
      <c r="G1941">
        <v>-2.3043570340000001E-6</v>
      </c>
      <c r="H1941">
        <v>-1.449247324E-2</v>
      </c>
      <c r="I1941">
        <v>-8.0894253020000004E-3</v>
      </c>
    </row>
    <row r="1942" spans="1:9" hidden="1" x14ac:dyDescent="0.2">
      <c r="A1942" t="s">
        <v>787</v>
      </c>
      <c r="B1942" t="s">
        <v>821</v>
      </c>
      <c r="C1942" t="s">
        <v>11</v>
      </c>
      <c r="D1942">
        <v>0.39910758390000001</v>
      </c>
      <c r="E1942">
        <v>0</v>
      </c>
      <c r="F1942">
        <v>0</v>
      </c>
      <c r="G1942">
        <v>9.6561469099999995E-7</v>
      </c>
      <c r="H1942">
        <v>6.0730256589999997E-3</v>
      </c>
      <c r="I1942">
        <v>3.3893170879999998E-3</v>
      </c>
    </row>
    <row r="1943" spans="1:9" hidden="1" x14ac:dyDescent="0.2">
      <c r="A1943" t="s">
        <v>787</v>
      </c>
      <c r="B1943" t="s">
        <v>824</v>
      </c>
      <c r="C1943" t="s">
        <v>11</v>
      </c>
      <c r="D1943">
        <v>1.0937451090000001</v>
      </c>
      <c r="E1943">
        <v>0</v>
      </c>
      <c r="F1943">
        <v>0</v>
      </c>
      <c r="G1943">
        <v>2.6462938839999998E-6</v>
      </c>
      <c r="H1943">
        <v>1.6642969269999999E-2</v>
      </c>
      <c r="I1943">
        <v>9.2897916380000004E-3</v>
      </c>
    </row>
    <row r="1944" spans="1:9" hidden="1" x14ac:dyDescent="0.2">
      <c r="A1944" t="s">
        <v>788</v>
      </c>
      <c r="B1944" t="s">
        <v>909</v>
      </c>
      <c r="C1944" t="s">
        <v>11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 hidden="1" x14ac:dyDescent="0.2">
      <c r="A1945" t="s">
        <v>788</v>
      </c>
      <c r="B1945" t="s">
        <v>821</v>
      </c>
      <c r="C1945" t="s">
        <v>11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 spans="1:9" hidden="1" x14ac:dyDescent="0.2">
      <c r="A1946" t="s">
        <v>788</v>
      </c>
      <c r="B1946" t="s">
        <v>833</v>
      </c>
      <c r="C1946" t="s">
        <v>11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 spans="1:9" hidden="1" x14ac:dyDescent="0.2">
      <c r="A1947" t="s">
        <v>789</v>
      </c>
      <c r="B1947" t="s">
        <v>867</v>
      </c>
      <c r="C1947" t="s">
        <v>3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 spans="1:9" hidden="1" x14ac:dyDescent="0.2">
      <c r="A1948" t="s">
        <v>789</v>
      </c>
      <c r="B1948" t="s">
        <v>851</v>
      </c>
      <c r="C1948" t="s">
        <v>3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 hidden="1" x14ac:dyDescent="0.2">
      <c r="A1949" t="s">
        <v>789</v>
      </c>
      <c r="B1949" t="s">
        <v>837</v>
      </c>
      <c r="C1949" t="s">
        <v>3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 spans="1:9" hidden="1" x14ac:dyDescent="0.2">
      <c r="A1950" t="s">
        <v>789</v>
      </c>
      <c r="B1950" t="s">
        <v>848</v>
      </c>
      <c r="C1950" t="s">
        <v>3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</row>
    <row r="1951" spans="1:9" hidden="1" x14ac:dyDescent="0.2">
      <c r="A1951" t="s">
        <v>789</v>
      </c>
      <c r="B1951" t="s">
        <v>919</v>
      </c>
      <c r="C1951" t="s">
        <v>3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 spans="1:9" hidden="1" x14ac:dyDescent="0.2">
      <c r="A1952" t="s">
        <v>789</v>
      </c>
      <c r="B1952" t="s">
        <v>832</v>
      </c>
      <c r="C1952" t="s">
        <v>3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 spans="1:9" hidden="1" x14ac:dyDescent="0.2">
      <c r="A1953" t="s">
        <v>789</v>
      </c>
      <c r="B1953" t="s">
        <v>838</v>
      </c>
      <c r="C1953" t="s">
        <v>3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 spans="1:9" hidden="1" x14ac:dyDescent="0.2">
      <c r="A1954" t="s">
        <v>789</v>
      </c>
      <c r="B1954" t="s">
        <v>858</v>
      </c>
      <c r="C1954" t="s">
        <v>3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 hidden="1" x14ac:dyDescent="0.2">
      <c r="A1955" t="s">
        <v>789</v>
      </c>
      <c r="B1955" t="s">
        <v>852</v>
      </c>
      <c r="C1955" t="s">
        <v>3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</row>
    <row r="1956" spans="1:9" hidden="1" x14ac:dyDescent="0.2">
      <c r="A1956" t="s">
        <v>789</v>
      </c>
      <c r="B1956" t="s">
        <v>843</v>
      </c>
      <c r="C1956" t="s">
        <v>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 spans="1:9" hidden="1" x14ac:dyDescent="0.2">
      <c r="A1957" t="s">
        <v>789</v>
      </c>
      <c r="B1957" t="s">
        <v>868</v>
      </c>
      <c r="C1957" t="s">
        <v>3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</row>
    <row r="1958" spans="1:9" hidden="1" x14ac:dyDescent="0.2">
      <c r="A1958" t="s">
        <v>790</v>
      </c>
      <c r="B1958" t="s">
        <v>867</v>
      </c>
      <c r="C1958" t="s">
        <v>3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 spans="1:9" hidden="1" x14ac:dyDescent="0.2">
      <c r="A1959" t="s">
        <v>790</v>
      </c>
      <c r="B1959" t="s">
        <v>892</v>
      </c>
      <c r="C1959" t="s">
        <v>3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 spans="1:9" hidden="1" x14ac:dyDescent="0.2">
      <c r="A1960" t="s">
        <v>790</v>
      </c>
      <c r="B1960" t="s">
        <v>837</v>
      </c>
      <c r="C1960" t="s">
        <v>3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</row>
    <row r="1961" spans="1:9" hidden="1" x14ac:dyDescent="0.2">
      <c r="A1961" t="s">
        <v>790</v>
      </c>
      <c r="B1961" t="s">
        <v>919</v>
      </c>
      <c r="C1961" t="s">
        <v>3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 hidden="1" x14ac:dyDescent="0.2">
      <c r="A1962" t="s">
        <v>790</v>
      </c>
      <c r="B1962" t="s">
        <v>832</v>
      </c>
      <c r="C1962" t="s">
        <v>3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 spans="1:9" hidden="1" x14ac:dyDescent="0.2">
      <c r="A1963" t="s">
        <v>790</v>
      </c>
      <c r="B1963" t="s">
        <v>857</v>
      </c>
      <c r="C1963" t="s">
        <v>3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</row>
    <row r="1964" spans="1:9" hidden="1" x14ac:dyDescent="0.2">
      <c r="A1964" t="s">
        <v>790</v>
      </c>
      <c r="B1964" t="s">
        <v>838</v>
      </c>
      <c r="C1964" t="s">
        <v>3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 spans="1:9" hidden="1" x14ac:dyDescent="0.2">
      <c r="A1965" t="s">
        <v>790</v>
      </c>
      <c r="B1965" t="s">
        <v>858</v>
      </c>
      <c r="C1965" t="s">
        <v>3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 spans="1:9" hidden="1" x14ac:dyDescent="0.2">
      <c r="A1966" t="s">
        <v>790</v>
      </c>
      <c r="B1966" t="s">
        <v>890</v>
      </c>
      <c r="C1966" t="s">
        <v>3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 spans="1:9" hidden="1" x14ac:dyDescent="0.2">
      <c r="A1967" t="s">
        <v>790</v>
      </c>
      <c r="B1967" t="s">
        <v>843</v>
      </c>
      <c r="C1967" t="s">
        <v>3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</row>
    <row r="1968" spans="1:9" hidden="1" x14ac:dyDescent="0.2">
      <c r="A1968" t="s">
        <v>790</v>
      </c>
      <c r="B1968" t="s">
        <v>868</v>
      </c>
      <c r="C1968" t="s">
        <v>3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</row>
    <row r="1969" spans="1:9" hidden="1" x14ac:dyDescent="0.2">
      <c r="A1969" t="s">
        <v>791</v>
      </c>
      <c r="B1969" t="s">
        <v>827</v>
      </c>
      <c r="C1969" t="s">
        <v>113</v>
      </c>
      <c r="D1969">
        <v>6.4433692449000004</v>
      </c>
      <c r="E1969">
        <v>2.1178064459999998E-3</v>
      </c>
      <c r="F1969">
        <v>3.9767597830000001E-6</v>
      </c>
      <c r="G1969">
        <v>0</v>
      </c>
      <c r="H1969">
        <v>1.4998455369999999E-6</v>
      </c>
      <c r="I1969">
        <v>8.3296129710000004E-6</v>
      </c>
    </row>
    <row r="1970" spans="1:9" hidden="1" x14ac:dyDescent="0.2">
      <c r="A1970" t="s">
        <v>792</v>
      </c>
      <c r="B1970" t="s">
        <v>870</v>
      </c>
      <c r="C1970" t="s">
        <v>128</v>
      </c>
      <c r="D1970">
        <v>1.5150296909999999E-6</v>
      </c>
      <c r="E1970">
        <v>3.1032916659999998E-5</v>
      </c>
      <c r="F1970">
        <v>1.076415429E-5</v>
      </c>
      <c r="G1970">
        <v>1.2412355639999999E-7</v>
      </c>
      <c r="H1970">
        <v>5.3836555850000002E-2</v>
      </c>
      <c r="I1970">
        <v>4.8087269810000004</v>
      </c>
    </row>
    <row r="1971" spans="1:9" hidden="1" x14ac:dyDescent="0.2">
      <c r="A1971" t="s">
        <v>793</v>
      </c>
      <c r="B1971" t="s">
        <v>821</v>
      </c>
      <c r="C1971" t="s">
        <v>24</v>
      </c>
      <c r="D1971">
        <v>30.899778470000001</v>
      </c>
      <c r="E1971">
        <v>13.117890490000001</v>
      </c>
      <c r="F1971">
        <v>17.13565097</v>
      </c>
      <c r="G1971">
        <v>22.29475648</v>
      </c>
      <c r="H1971">
        <v>28.207493530000001</v>
      </c>
      <c r="I1971">
        <v>35.687413859999999</v>
      </c>
    </row>
    <row r="1972" spans="1:9" hidden="1" x14ac:dyDescent="0.2">
      <c r="A1972" t="s">
        <v>794</v>
      </c>
      <c r="B1972" t="s">
        <v>909</v>
      </c>
      <c r="C1972" t="s">
        <v>11</v>
      </c>
      <c r="D1972">
        <v>5.1770696189999998E-5</v>
      </c>
      <c r="E1972">
        <v>2.040719554E-5</v>
      </c>
      <c r="F1972">
        <v>7.6450636649999997E-6</v>
      </c>
      <c r="G1972">
        <v>1.9357422749999999E-7</v>
      </c>
      <c r="H1972">
        <v>4.3952135859999998E-6</v>
      </c>
      <c r="I1972">
        <v>2.073707461E-5</v>
      </c>
    </row>
    <row r="1973" spans="1:9" hidden="1" x14ac:dyDescent="0.2">
      <c r="A1973" t="s">
        <v>794</v>
      </c>
      <c r="B1973" t="s">
        <v>821</v>
      </c>
      <c r="C1973" t="s">
        <v>11</v>
      </c>
      <c r="D1973">
        <v>1.573233425E-5</v>
      </c>
      <c r="E1973">
        <v>4.9926746960000002E-6</v>
      </c>
      <c r="F1973">
        <v>2.2526099229999999E-6</v>
      </c>
      <c r="G1973">
        <v>0</v>
      </c>
      <c r="H1973">
        <v>1.470070567E-6</v>
      </c>
      <c r="I1973">
        <v>5.7331301049999996E-6</v>
      </c>
    </row>
    <row r="1974" spans="1:9" hidden="1" x14ac:dyDescent="0.2">
      <c r="A1974" t="s">
        <v>794</v>
      </c>
      <c r="B1974" t="s">
        <v>824</v>
      </c>
      <c r="C1974" t="s">
        <v>11</v>
      </c>
      <c r="D1974">
        <v>-4.5017996690000002E-5</v>
      </c>
      <c r="E1974">
        <v>-1.7745387430000002E-5</v>
      </c>
      <c r="F1974">
        <v>-6.647881448E-6</v>
      </c>
      <c r="G1974">
        <v>-1.683254153E-7</v>
      </c>
      <c r="H1974">
        <v>-3.8219248569999996E-6</v>
      </c>
      <c r="I1974">
        <v>-1.803223879E-5</v>
      </c>
    </row>
    <row r="1975" spans="1:9" hidden="1" x14ac:dyDescent="0.2">
      <c r="A1975" t="s">
        <v>795</v>
      </c>
      <c r="B1975" t="s">
        <v>821</v>
      </c>
      <c r="C1975" t="s">
        <v>128</v>
      </c>
      <c r="D1975">
        <v>6.4629383929999996E-7</v>
      </c>
      <c r="E1975">
        <v>2.75640878E-5</v>
      </c>
      <c r="F1975">
        <v>1.9294033159999999E-5</v>
      </c>
      <c r="G1975">
        <v>4.4562249329999999E-7</v>
      </c>
      <c r="H1975">
        <v>1.532800564</v>
      </c>
      <c r="I1975">
        <v>2.2966014540000002</v>
      </c>
    </row>
    <row r="1976" spans="1:9" hidden="1" x14ac:dyDescent="0.2">
      <c r="A1976" t="s">
        <v>795</v>
      </c>
      <c r="B1976" t="s">
        <v>833</v>
      </c>
      <c r="C1976" t="s">
        <v>128</v>
      </c>
      <c r="D1976">
        <v>-1.9388815200000001E-6</v>
      </c>
      <c r="E1976">
        <v>-8.2692263490000001E-5</v>
      </c>
      <c r="F1976">
        <v>-5.7882099540000001E-5</v>
      </c>
      <c r="G1976">
        <v>-1.3368674809999999E-6</v>
      </c>
      <c r="H1976">
        <v>-4.5984016949999997</v>
      </c>
      <c r="I1976">
        <v>-6.8898043700000002</v>
      </c>
    </row>
    <row r="1977" spans="1:9" hidden="1" x14ac:dyDescent="0.2">
      <c r="A1977" t="s">
        <v>795</v>
      </c>
      <c r="B1977" t="s">
        <v>870</v>
      </c>
      <c r="C1977" t="s">
        <v>128</v>
      </c>
      <c r="D1977">
        <v>1.292587681E-6</v>
      </c>
      <c r="E1977">
        <v>5.5128175690000002E-5</v>
      </c>
      <c r="F1977">
        <v>3.8588066379999998E-5</v>
      </c>
      <c r="G1977">
        <v>8.9124498799999997E-7</v>
      </c>
      <c r="H1977">
        <v>3.0656011319999998</v>
      </c>
      <c r="I1977">
        <v>4.593202915</v>
      </c>
    </row>
    <row r="1978" spans="1:9" hidden="1" x14ac:dyDescent="0.2">
      <c r="A1978" t="s">
        <v>796</v>
      </c>
      <c r="B1978" t="s">
        <v>821</v>
      </c>
      <c r="C1978" t="s">
        <v>128</v>
      </c>
      <c r="D1978">
        <v>6.6557284439999999E-6</v>
      </c>
      <c r="E1978">
        <v>1.464695899E-5</v>
      </c>
      <c r="F1978">
        <v>1.200354324E-5</v>
      </c>
      <c r="G1978">
        <v>1.7705923469999999E-7</v>
      </c>
      <c r="H1978">
        <v>3.8853956390000001E-6</v>
      </c>
      <c r="I1978">
        <v>5.3235384429999997E-6</v>
      </c>
    </row>
    <row r="1979" spans="1:9" hidden="1" x14ac:dyDescent="0.2">
      <c r="A1979" t="s">
        <v>796</v>
      </c>
      <c r="B1979" t="s">
        <v>833</v>
      </c>
      <c r="C1979" t="s">
        <v>128</v>
      </c>
      <c r="D1979">
        <v>-1.9948981678000001E-5</v>
      </c>
      <c r="E1979">
        <v>-4.3940877009999998E-5</v>
      </c>
      <c r="F1979">
        <v>-3.601062975E-5</v>
      </c>
      <c r="G1979">
        <v>-5.311777047E-7</v>
      </c>
      <c r="H1979">
        <v>-1.1656186929999999E-5</v>
      </c>
      <c r="I1979">
        <v>-1.5970615340000001E-5</v>
      </c>
    </row>
    <row r="1980" spans="1:9" hidden="1" x14ac:dyDescent="0.2">
      <c r="A1980" t="s">
        <v>796</v>
      </c>
      <c r="B1980" t="s">
        <v>825</v>
      </c>
      <c r="C1980" t="s">
        <v>128</v>
      </c>
      <c r="D1980">
        <v>1.3311456906999999E-5</v>
      </c>
      <c r="E1980">
        <v>2.929391802E-5</v>
      </c>
      <c r="F1980">
        <v>2.4007086509999999E-5</v>
      </c>
      <c r="G1980">
        <v>3.5411847000000001E-7</v>
      </c>
      <c r="H1980">
        <v>7.7707912890000003E-6</v>
      </c>
      <c r="I1980">
        <v>1.0647076900000001E-5</v>
      </c>
    </row>
    <row r="1981" spans="1:9" hidden="1" x14ac:dyDescent="0.2">
      <c r="A1981" t="s">
        <v>797</v>
      </c>
      <c r="B1981" t="s">
        <v>833</v>
      </c>
      <c r="C1981" t="s">
        <v>188</v>
      </c>
      <c r="D1981">
        <v>6.6442162949999994E-2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 spans="1:9" hidden="1" x14ac:dyDescent="0.2">
      <c r="A1982" t="s">
        <v>798</v>
      </c>
      <c r="B1982" t="s">
        <v>832</v>
      </c>
      <c r="C1982" t="s">
        <v>188</v>
      </c>
      <c r="D1982">
        <v>6.4619362689999999E-4</v>
      </c>
      <c r="E1982">
        <v>0</v>
      </c>
      <c r="F1982">
        <v>0</v>
      </c>
      <c r="G1982">
        <v>0</v>
      </c>
      <c r="H1982">
        <v>0</v>
      </c>
      <c r="I1982">
        <v>0</v>
      </c>
    </row>
    <row r="1983" spans="1:9" hidden="1" x14ac:dyDescent="0.2">
      <c r="A1983" t="s">
        <v>799</v>
      </c>
      <c r="B1983" t="s">
        <v>925</v>
      </c>
      <c r="C1983" t="s">
        <v>113</v>
      </c>
      <c r="E1983">
        <v>-11.9500639</v>
      </c>
    </row>
    <row r="1984" spans="1:9" hidden="1" x14ac:dyDescent="0.2">
      <c r="A1984" t="s">
        <v>799</v>
      </c>
      <c r="B1984" t="s">
        <v>827</v>
      </c>
      <c r="C1984" t="s">
        <v>113</v>
      </c>
      <c r="D1984">
        <v>2.0958855839999999E-5</v>
      </c>
      <c r="E1984">
        <v>16.186367667999999</v>
      </c>
      <c r="F1984">
        <v>10.50000414</v>
      </c>
      <c r="G1984">
        <v>6.9763290480000002</v>
      </c>
      <c r="H1984">
        <v>6.452927656</v>
      </c>
      <c r="I1984">
        <v>5.0109838240000002</v>
      </c>
    </row>
    <row r="1985" spans="1:9" hidden="1" x14ac:dyDescent="0.2">
      <c r="A1985" t="s">
        <v>799</v>
      </c>
      <c r="B1985" t="s">
        <v>877</v>
      </c>
      <c r="C1985" t="s">
        <v>113</v>
      </c>
      <c r="D1985">
        <v>-2.0958855839999999E-5</v>
      </c>
      <c r="E1985">
        <v>-4.236303768</v>
      </c>
      <c r="F1985">
        <v>-10.50000414</v>
      </c>
      <c r="G1985">
        <v>-6.9763290480000002</v>
      </c>
      <c r="H1985">
        <v>-6.452927656</v>
      </c>
      <c r="I1985">
        <v>-5.0109838240000002</v>
      </c>
    </row>
    <row r="1986" spans="1:9" hidden="1" x14ac:dyDescent="0.2">
      <c r="A1986" t="s">
        <v>800</v>
      </c>
      <c r="B1986" t="s">
        <v>877</v>
      </c>
      <c r="C1986" t="s">
        <v>113</v>
      </c>
      <c r="D1986">
        <v>5.0780776980000001E-7</v>
      </c>
      <c r="E1986">
        <v>0</v>
      </c>
      <c r="F1986">
        <v>0</v>
      </c>
      <c r="G1986">
        <v>0</v>
      </c>
      <c r="H1986">
        <v>0</v>
      </c>
      <c r="I1986">
        <v>0</v>
      </c>
    </row>
    <row r="1987" spans="1:9" hidden="1" x14ac:dyDescent="0.2">
      <c r="A1987" t="s">
        <v>801</v>
      </c>
      <c r="B1987" t="s">
        <v>835</v>
      </c>
      <c r="C1987" t="s">
        <v>3</v>
      </c>
      <c r="D1987">
        <v>307.64664870000001</v>
      </c>
      <c r="E1987">
        <v>166.738247774</v>
      </c>
      <c r="F1987">
        <v>152.9562492</v>
      </c>
      <c r="G1987">
        <v>145.69074470000001</v>
      </c>
      <c r="H1987">
        <v>137.1349376</v>
      </c>
      <c r="I1987">
        <v>126.6509744</v>
      </c>
    </row>
    <row r="1988" spans="1:9" hidden="1" x14ac:dyDescent="0.2">
      <c r="A1988" t="s">
        <v>801</v>
      </c>
      <c r="B1988" t="s">
        <v>836</v>
      </c>
      <c r="C1988" t="s">
        <v>3</v>
      </c>
      <c r="D1988">
        <v>1.1572510041999999</v>
      </c>
      <c r="E1988">
        <v>0.61674103988999995</v>
      </c>
      <c r="F1988">
        <v>0.48763560439999998</v>
      </c>
      <c r="G1988">
        <v>1.1261385100000001</v>
      </c>
      <c r="H1988">
        <v>1.582950882</v>
      </c>
      <c r="I1988">
        <v>2.4003631030000001</v>
      </c>
    </row>
    <row r="1989" spans="1:9" hidden="1" x14ac:dyDescent="0.2">
      <c r="A1989" t="s">
        <v>801</v>
      </c>
      <c r="B1989" t="s">
        <v>924</v>
      </c>
      <c r="C1989" t="s">
        <v>3</v>
      </c>
      <c r="E1989">
        <v>-2.7061686230000002E-16</v>
      </c>
    </row>
    <row r="1990" spans="1:9" hidden="1" x14ac:dyDescent="0.2">
      <c r="A1990" t="s">
        <v>801</v>
      </c>
      <c r="B1990" t="s">
        <v>925</v>
      </c>
      <c r="C1990" t="s">
        <v>3</v>
      </c>
      <c r="E1990">
        <v>-7.0311321040000001</v>
      </c>
    </row>
    <row r="1991" spans="1:9" hidden="1" x14ac:dyDescent="0.2">
      <c r="A1991" t="s">
        <v>801</v>
      </c>
      <c r="B1991" t="s">
        <v>842</v>
      </c>
      <c r="C1991" t="s">
        <v>3</v>
      </c>
      <c r="D1991">
        <v>0.22108452479999999</v>
      </c>
      <c r="E1991">
        <v>0.15404890624000001</v>
      </c>
      <c r="F1991">
        <v>0.1106797201</v>
      </c>
      <c r="G1991">
        <v>0.1106282844</v>
      </c>
      <c r="H1991">
        <v>0.15675004049999999</v>
      </c>
      <c r="I1991">
        <v>0.1623896473</v>
      </c>
    </row>
    <row r="1992" spans="1:9" hidden="1" x14ac:dyDescent="0.2">
      <c r="A1992" t="s">
        <v>802</v>
      </c>
      <c r="B1992" t="s">
        <v>865</v>
      </c>
      <c r="C1992" t="s">
        <v>3</v>
      </c>
      <c r="D1992">
        <v>-8.157752729E-7</v>
      </c>
    </row>
    <row r="1993" spans="1:9" hidden="1" x14ac:dyDescent="0.2">
      <c r="A1993" t="s">
        <v>802</v>
      </c>
      <c r="B1993" t="s">
        <v>836</v>
      </c>
      <c r="C1993" t="s">
        <v>3</v>
      </c>
      <c r="D1993">
        <v>-4.0012952220999998E-6</v>
      </c>
      <c r="E1993">
        <v>-1.9251849026E-5</v>
      </c>
      <c r="F1993">
        <v>-1.6422556499999999E-5</v>
      </c>
      <c r="G1993">
        <v>-1.4549428090000001E-7</v>
      </c>
      <c r="H1993">
        <v>-4.0329390389999998E-6</v>
      </c>
      <c r="I1993">
        <v>-7.9074757560000007E-6</v>
      </c>
    </row>
    <row r="1994" spans="1:9" hidden="1" x14ac:dyDescent="0.2">
      <c r="A1994" t="s">
        <v>802</v>
      </c>
      <c r="B1994" t="s">
        <v>820</v>
      </c>
      <c r="C1994" t="s">
        <v>3</v>
      </c>
      <c r="D1994">
        <v>1.3361375188E-5</v>
      </c>
      <c r="E1994">
        <v>5.3791677266000003E-5</v>
      </c>
      <c r="F1994">
        <v>4.5640931690000002E-5</v>
      </c>
      <c r="G1994">
        <v>4.0502224889999999E-7</v>
      </c>
      <c r="H1994">
        <v>1.122674472E-5</v>
      </c>
      <c r="I1994">
        <v>2.1872432400000001E-5</v>
      </c>
    </row>
    <row r="1995" spans="1:9" hidden="1" x14ac:dyDescent="0.2">
      <c r="A1995" t="s">
        <v>802</v>
      </c>
      <c r="B1995" t="s">
        <v>924</v>
      </c>
      <c r="C1995" t="s">
        <v>3</v>
      </c>
      <c r="E1995">
        <v>2.8974348599999999E-7</v>
      </c>
    </row>
    <row r="1996" spans="1:9" hidden="1" x14ac:dyDescent="0.2">
      <c r="A1996" t="s">
        <v>802</v>
      </c>
      <c r="B1996" t="s">
        <v>827</v>
      </c>
      <c r="C1996" t="s">
        <v>3</v>
      </c>
      <c r="D1996">
        <v>0</v>
      </c>
      <c r="E1996">
        <v>-4.9687370720000002E-6</v>
      </c>
      <c r="F1996">
        <v>-2.6943331139999998E-6</v>
      </c>
      <c r="G1996">
        <v>0</v>
      </c>
      <c r="H1996">
        <v>-6.3209601649999995E-7</v>
      </c>
      <c r="I1996">
        <v>-1.3720256139999999E-6</v>
      </c>
    </row>
    <row r="1997" spans="1:9" hidden="1" x14ac:dyDescent="0.2">
      <c r="A1997" t="s">
        <v>802</v>
      </c>
      <c r="B1997" t="s">
        <v>821</v>
      </c>
      <c r="C1997" t="s">
        <v>3</v>
      </c>
      <c r="D1997">
        <v>3.460261005E-6</v>
      </c>
      <c r="E1997">
        <v>-2.410307087E-6</v>
      </c>
      <c r="F1997">
        <v>-1.914244047E-6</v>
      </c>
      <c r="G1997">
        <v>0</v>
      </c>
      <c r="H1997">
        <v>-4.6087249280000002E-7</v>
      </c>
      <c r="I1997">
        <v>-9.7321082629999995E-7</v>
      </c>
    </row>
    <row r="1998" spans="1:9" hidden="1" x14ac:dyDescent="0.2">
      <c r="A1998" t="s">
        <v>802</v>
      </c>
      <c r="B1998" t="s">
        <v>833</v>
      </c>
      <c r="C1998" t="s">
        <v>3</v>
      </c>
      <c r="D1998">
        <v>0</v>
      </c>
    </row>
    <row r="1999" spans="1:9" hidden="1" x14ac:dyDescent="0.2">
      <c r="A1999" t="s">
        <v>802</v>
      </c>
      <c r="B1999" t="s">
        <v>832</v>
      </c>
      <c r="C1999" t="s">
        <v>3</v>
      </c>
      <c r="D1999">
        <v>1.033603201E-6</v>
      </c>
      <c r="E1999">
        <v>6.2047605230000003E-6</v>
      </c>
      <c r="F1999">
        <v>5.2161369899999996E-6</v>
      </c>
      <c r="G1999">
        <v>0</v>
      </c>
      <c r="H1999">
        <v>1.2738258499999999E-6</v>
      </c>
      <c r="I1999">
        <v>2.5513544259999999E-6</v>
      </c>
    </row>
    <row r="2000" spans="1:9" hidden="1" x14ac:dyDescent="0.2">
      <c r="A2000" t="s">
        <v>802</v>
      </c>
      <c r="B2000" t="s">
        <v>840</v>
      </c>
      <c r="C2000" t="s">
        <v>3</v>
      </c>
      <c r="D2000">
        <v>-4.225689045E-7</v>
      </c>
    </row>
    <row r="2001" spans="1:9" hidden="1" x14ac:dyDescent="0.2">
      <c r="A2001" t="s">
        <v>803</v>
      </c>
      <c r="B2001" t="s">
        <v>835</v>
      </c>
      <c r="C2001" t="s">
        <v>3</v>
      </c>
      <c r="D2001">
        <v>-2.287657339E-5</v>
      </c>
      <c r="E2001">
        <v>-4.3902274023909997E-2</v>
      </c>
      <c r="F2001">
        <v>-1.9318632179999999E-5</v>
      </c>
      <c r="G2001">
        <v>-1.378078934E-7</v>
      </c>
      <c r="H2001">
        <v>-3.43265331E-6</v>
      </c>
      <c r="I2001">
        <v>-1.653695797E-5</v>
      </c>
    </row>
    <row r="2002" spans="1:9" hidden="1" x14ac:dyDescent="0.2">
      <c r="A2002" t="s">
        <v>803</v>
      </c>
      <c r="B2002" t="s">
        <v>865</v>
      </c>
      <c r="C2002" t="s">
        <v>3</v>
      </c>
      <c r="D2002">
        <v>-2.5297504350000001E-5</v>
      </c>
      <c r="E2002">
        <v>-1.18057765576E-3</v>
      </c>
      <c r="F2002">
        <v>-2.3898632840000002E-5</v>
      </c>
      <c r="G2002">
        <v>-1.71956137E-7</v>
      </c>
      <c r="H2002">
        <v>-5.2328507029999999E-6</v>
      </c>
      <c r="I2002">
        <v>-1.6905663139999999E-5</v>
      </c>
    </row>
    <row r="2003" spans="1:9" hidden="1" x14ac:dyDescent="0.2">
      <c r="A2003" t="s">
        <v>803</v>
      </c>
      <c r="B2003" t="s">
        <v>836</v>
      </c>
      <c r="C2003" t="s">
        <v>3</v>
      </c>
      <c r="D2003">
        <v>-2.2647425499999999E-5</v>
      </c>
      <c r="E2003">
        <v>-7.12116855E-4</v>
      </c>
      <c r="F2003">
        <v>-2.1388548790000001E-5</v>
      </c>
      <c r="G2003">
        <v>-1.5386345730000001E-7</v>
      </c>
      <c r="H2003">
        <v>-4.6822671040000001E-6</v>
      </c>
      <c r="I2003">
        <v>-1.5135156139999999E-5</v>
      </c>
    </row>
    <row r="2004" spans="1:9" hidden="1" x14ac:dyDescent="0.2">
      <c r="A2004" t="s">
        <v>803</v>
      </c>
      <c r="B2004" t="s">
        <v>898</v>
      </c>
      <c r="C2004" t="s">
        <v>3</v>
      </c>
      <c r="D2004">
        <v>5.6184059160000001E-5</v>
      </c>
      <c r="E2004">
        <v>2.7057753296000002E-3</v>
      </c>
      <c r="F2004">
        <v>5.3210441539999997E-5</v>
      </c>
      <c r="G2004">
        <v>3.828292907E-7</v>
      </c>
      <c r="H2004">
        <v>1.164999761E-5</v>
      </c>
      <c r="I2004">
        <v>3.7645652939999997E-5</v>
      </c>
    </row>
    <row r="2005" spans="1:9" hidden="1" x14ac:dyDescent="0.2">
      <c r="A2005" t="s">
        <v>803</v>
      </c>
      <c r="B2005" t="s">
        <v>924</v>
      </c>
      <c r="C2005" t="s">
        <v>3</v>
      </c>
      <c r="E2005">
        <v>-9.3097720930000002E-2</v>
      </c>
    </row>
    <row r="2006" spans="1:9" hidden="1" x14ac:dyDescent="0.2">
      <c r="A2006" t="s">
        <v>803</v>
      </c>
      <c r="B2006" t="s">
        <v>821</v>
      </c>
      <c r="C2006" t="s">
        <v>3</v>
      </c>
      <c r="D2006">
        <v>0</v>
      </c>
      <c r="E2006">
        <v>1.1869165320000001E-6</v>
      </c>
      <c r="F2006">
        <v>4.3165799829999999E-7</v>
      </c>
      <c r="G2006">
        <v>0</v>
      </c>
      <c r="H2006">
        <v>0</v>
      </c>
      <c r="I2006">
        <v>3.833235764E-7</v>
      </c>
    </row>
    <row r="2007" spans="1:9" hidden="1" x14ac:dyDescent="0.2">
      <c r="A2007" t="s">
        <v>803</v>
      </c>
      <c r="B2007" t="s">
        <v>833</v>
      </c>
      <c r="C2007" t="s">
        <v>3</v>
      </c>
      <c r="D2007">
        <v>-3.8518533460000003E-6</v>
      </c>
      <c r="E2007">
        <v>-7.4029626919999999E-6</v>
      </c>
      <c r="F2007">
        <v>-3.038786112E-6</v>
      </c>
      <c r="G2007">
        <v>0</v>
      </c>
      <c r="H2007">
        <v>-6.2315786019999999E-7</v>
      </c>
      <c r="I2007">
        <v>-2.425195354E-6</v>
      </c>
    </row>
    <row r="2008" spans="1:9" hidden="1" x14ac:dyDescent="0.2">
      <c r="A2008" t="s">
        <v>803</v>
      </c>
      <c r="B2008" t="s">
        <v>850</v>
      </c>
      <c r="C2008" t="s">
        <v>3</v>
      </c>
      <c r="D2008">
        <v>-2.5553598039999999E-5</v>
      </c>
      <c r="E2008">
        <v>-7.4663251521470006E-2</v>
      </c>
      <c r="F2008">
        <v>-2.1585311949999998E-5</v>
      </c>
      <c r="G2008">
        <v>-1.5401257780000001E-7</v>
      </c>
      <c r="H2008">
        <v>-3.8362931409999996E-6</v>
      </c>
      <c r="I2008">
        <v>-1.8472304730000001E-5</v>
      </c>
    </row>
    <row r="2009" spans="1:9" hidden="1" x14ac:dyDescent="0.2">
      <c r="A2009" t="s">
        <v>803</v>
      </c>
      <c r="B2009" t="s">
        <v>897</v>
      </c>
      <c r="C2009" t="s">
        <v>3</v>
      </c>
      <c r="D2009">
        <v>5.6754205070000002E-5</v>
      </c>
      <c r="E2009">
        <v>0.1712093035392</v>
      </c>
      <c r="F2009">
        <v>4.8060254260000001E-5</v>
      </c>
      <c r="G2009">
        <v>3.4288122689999999E-7</v>
      </c>
      <c r="H2009">
        <v>8.5408167700000001E-6</v>
      </c>
      <c r="I2009">
        <v>4.1133494879999997E-5</v>
      </c>
    </row>
    <row r="2010" spans="1:9" hidden="1" x14ac:dyDescent="0.2">
      <c r="A2010" t="s">
        <v>803</v>
      </c>
      <c r="B2010" t="s">
        <v>866</v>
      </c>
      <c r="C2010" t="s">
        <v>3</v>
      </c>
      <c r="D2010">
        <v>-3.5825668609999997E-5</v>
      </c>
      <c r="E2010">
        <v>-5.6310044138310013E-2</v>
      </c>
      <c r="F2010">
        <v>-2.379854436E-5</v>
      </c>
      <c r="G2010">
        <v>-1.770891274E-7</v>
      </c>
      <c r="H2010">
        <v>-5.3126377600000004E-6</v>
      </c>
      <c r="I2010">
        <v>-1.9019017329999999E-5</v>
      </c>
    </row>
    <row r="2011" spans="1:9" hidden="1" x14ac:dyDescent="0.2">
      <c r="A2011" t="s">
        <v>803</v>
      </c>
      <c r="B2011" t="s">
        <v>842</v>
      </c>
      <c r="C2011" t="s">
        <v>3</v>
      </c>
      <c r="D2011">
        <v>-3.2067831549999997E-5</v>
      </c>
      <c r="E2011">
        <v>-3.3113651151950002E-2</v>
      </c>
      <c r="F2011">
        <v>-2.1298991470000001E-5</v>
      </c>
      <c r="G2011">
        <v>-1.584563618E-7</v>
      </c>
      <c r="H2011">
        <v>-4.7536590829999998E-6</v>
      </c>
      <c r="I2011">
        <v>-1.7026146260000001E-5</v>
      </c>
    </row>
    <row r="2012" spans="1:9" hidden="1" x14ac:dyDescent="0.2">
      <c r="A2012" t="s">
        <v>803</v>
      </c>
      <c r="B2012" t="s">
        <v>900</v>
      </c>
      <c r="C2012" t="s">
        <v>3</v>
      </c>
      <c r="D2012">
        <v>7.9623097799999998E-5</v>
      </c>
      <c r="E2012">
        <v>0.12911947964590001</v>
      </c>
      <c r="F2012">
        <v>5.298761278E-5</v>
      </c>
      <c r="G2012">
        <v>3.9425695809999998E-7</v>
      </c>
      <c r="H2012">
        <v>1.182762895E-5</v>
      </c>
      <c r="I2012">
        <v>4.235065083E-5</v>
      </c>
    </row>
    <row r="2013" spans="1:9" hidden="1" x14ac:dyDescent="0.2">
      <c r="A2013" t="s">
        <v>804</v>
      </c>
      <c r="B2013" t="s">
        <v>925</v>
      </c>
      <c r="C2013" t="s">
        <v>87</v>
      </c>
      <c r="E2013">
        <v>-0.19710061349999999</v>
      </c>
    </row>
    <row r="2014" spans="1:9" hidden="1" x14ac:dyDescent="0.2">
      <c r="A2014" t="s">
        <v>804</v>
      </c>
      <c r="B2014" t="s">
        <v>839</v>
      </c>
      <c r="C2014" t="s">
        <v>87</v>
      </c>
      <c r="D2014">
        <v>6.2565963966999996E-2</v>
      </c>
      <c r="E2014">
        <v>3.8581856425100002E-2</v>
      </c>
      <c r="F2014">
        <v>3.940473571E-2</v>
      </c>
      <c r="G2014">
        <v>3.9003197119999999E-2</v>
      </c>
      <c r="H2014">
        <v>7.2008824550000003E-2</v>
      </c>
      <c r="I2014">
        <v>7.4688682830000006E-2</v>
      </c>
    </row>
    <row r="2015" spans="1:9" hidden="1" x14ac:dyDescent="0.2">
      <c r="A2015" t="s">
        <v>804</v>
      </c>
      <c r="B2015" t="s">
        <v>840</v>
      </c>
      <c r="C2015" t="s">
        <v>87</v>
      </c>
      <c r="D2015">
        <v>0.56115392316000001</v>
      </c>
      <c r="E2015">
        <v>0.30719336605083303</v>
      </c>
      <c r="F2015">
        <v>0.25823394259999999</v>
      </c>
      <c r="G2015">
        <v>0.59082803549999996</v>
      </c>
      <c r="H2015">
        <v>0.78875993929999999</v>
      </c>
      <c r="I2015">
        <v>1.034306231</v>
      </c>
    </row>
    <row r="2016" spans="1:9" hidden="1" x14ac:dyDescent="0.2">
      <c r="A2016" t="s">
        <v>804</v>
      </c>
      <c r="B2016" t="s">
        <v>841</v>
      </c>
      <c r="C2016" t="s">
        <v>87</v>
      </c>
      <c r="D2016">
        <v>4.7762828969999997</v>
      </c>
      <c r="E2016">
        <v>2.5513908594000001</v>
      </c>
      <c r="F2016">
        <v>2.4023722639999998</v>
      </c>
      <c r="G2016">
        <v>2.0701688159999998</v>
      </c>
      <c r="H2016">
        <v>1.8392313069999999</v>
      </c>
      <c r="I2016">
        <v>1.5910252060000001</v>
      </c>
    </row>
    <row r="2017" spans="1:9" x14ac:dyDescent="0.2">
      <c r="A2017" t="s">
        <v>805</v>
      </c>
      <c r="B2017" t="s">
        <v>821</v>
      </c>
      <c r="C2017" t="s">
        <v>20</v>
      </c>
      <c r="D2017">
        <v>0</v>
      </c>
      <c r="E2017">
        <v>0</v>
      </c>
    </row>
    <row r="2018" spans="1:9" x14ac:dyDescent="0.2">
      <c r="A2018" t="s">
        <v>805</v>
      </c>
      <c r="B2018" t="s">
        <v>870</v>
      </c>
      <c r="C2018" t="s">
        <v>20</v>
      </c>
      <c r="D2018">
        <v>0</v>
      </c>
      <c r="E2018">
        <v>0</v>
      </c>
    </row>
    <row r="2019" spans="1:9" x14ac:dyDescent="0.2">
      <c r="A2019" t="s">
        <v>805</v>
      </c>
      <c r="B2019" t="s">
        <v>889</v>
      </c>
      <c r="C2019" t="s">
        <v>20</v>
      </c>
      <c r="D2019">
        <v>0</v>
      </c>
      <c r="E2019">
        <v>0</v>
      </c>
    </row>
    <row r="2020" spans="1:9" x14ac:dyDescent="0.2">
      <c r="A2020" t="s">
        <v>806</v>
      </c>
      <c r="B2020" t="s">
        <v>832</v>
      </c>
      <c r="C2020" t="s">
        <v>20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</row>
    <row r="2021" spans="1:9" x14ac:dyDescent="0.2">
      <c r="A2021" t="s">
        <v>807</v>
      </c>
      <c r="B2021" t="s">
        <v>870</v>
      </c>
      <c r="C2021" t="s">
        <v>20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 spans="1:9" x14ac:dyDescent="0.2">
      <c r="A2022" t="s">
        <v>808</v>
      </c>
      <c r="B2022" t="s">
        <v>821</v>
      </c>
      <c r="C2022" t="s">
        <v>20</v>
      </c>
      <c r="D2022">
        <v>0</v>
      </c>
      <c r="E2022">
        <v>0</v>
      </c>
    </row>
    <row r="2023" spans="1:9" x14ac:dyDescent="0.2">
      <c r="A2023" t="s">
        <v>808</v>
      </c>
      <c r="B2023" t="s">
        <v>832</v>
      </c>
      <c r="C2023" t="s">
        <v>20</v>
      </c>
      <c r="D2023">
        <v>0</v>
      </c>
      <c r="E2023">
        <v>0</v>
      </c>
    </row>
    <row r="2024" spans="1:9" x14ac:dyDescent="0.2">
      <c r="A2024" t="s">
        <v>808</v>
      </c>
      <c r="B2024" t="s">
        <v>889</v>
      </c>
      <c r="C2024" t="s">
        <v>20</v>
      </c>
      <c r="D2024">
        <v>0</v>
      </c>
      <c r="E2024">
        <v>0</v>
      </c>
    </row>
    <row r="2025" spans="1:9" hidden="1" x14ac:dyDescent="0.2">
      <c r="A2025" t="s">
        <v>809</v>
      </c>
      <c r="B2025" t="s">
        <v>828</v>
      </c>
      <c r="C2025" t="s">
        <v>3</v>
      </c>
      <c r="D2025">
        <v>0.2040132908</v>
      </c>
      <c r="E2025">
        <v>0</v>
      </c>
      <c r="F2025">
        <v>0</v>
      </c>
      <c r="G2025">
        <v>0</v>
      </c>
      <c r="H2025">
        <v>0</v>
      </c>
      <c r="I2025">
        <v>0</v>
      </c>
    </row>
    <row r="2026" spans="1:9" hidden="1" x14ac:dyDescent="0.2">
      <c r="A2026" t="s">
        <v>809</v>
      </c>
      <c r="B2026" t="s">
        <v>821</v>
      </c>
      <c r="C2026" t="s">
        <v>3</v>
      </c>
      <c r="D2026">
        <v>0.3894798163</v>
      </c>
      <c r="E2026">
        <v>0</v>
      </c>
      <c r="F2026">
        <v>0</v>
      </c>
      <c r="G2026">
        <v>0</v>
      </c>
      <c r="H2026">
        <v>0</v>
      </c>
      <c r="I2026">
        <v>0</v>
      </c>
    </row>
    <row r="2027" spans="1:9" hidden="1" x14ac:dyDescent="0.2">
      <c r="A2027" t="s">
        <v>809</v>
      </c>
      <c r="B2027" t="s">
        <v>833</v>
      </c>
      <c r="C2027" t="s">
        <v>3</v>
      </c>
      <c r="D2027">
        <v>-0.35238651250000003</v>
      </c>
      <c r="E2027">
        <v>0</v>
      </c>
      <c r="F2027">
        <v>0</v>
      </c>
      <c r="G2027">
        <v>0</v>
      </c>
      <c r="H2027">
        <v>0</v>
      </c>
      <c r="I2027">
        <v>0</v>
      </c>
    </row>
    <row r="2028" spans="1:9" hidden="1" x14ac:dyDescent="0.2">
      <c r="A2028" t="s">
        <v>809</v>
      </c>
      <c r="B2028" t="s">
        <v>902</v>
      </c>
      <c r="C2028" t="s">
        <v>3</v>
      </c>
      <c r="D2028">
        <v>2.7449047040000001</v>
      </c>
      <c r="E2028">
        <v>0</v>
      </c>
      <c r="F2028">
        <v>0</v>
      </c>
      <c r="G2028">
        <v>0</v>
      </c>
      <c r="H2028">
        <v>0</v>
      </c>
      <c r="I2028">
        <v>0</v>
      </c>
    </row>
    <row r="2029" spans="1:9" hidden="1" x14ac:dyDescent="0.2">
      <c r="A2029" t="s">
        <v>809</v>
      </c>
      <c r="B2029" t="s">
        <v>900</v>
      </c>
      <c r="C2029" t="s">
        <v>3</v>
      </c>
      <c r="D2029">
        <v>-1.854665376</v>
      </c>
      <c r="E2029">
        <v>0</v>
      </c>
      <c r="F2029">
        <v>0</v>
      </c>
      <c r="G2029">
        <v>0</v>
      </c>
      <c r="H2029">
        <v>0</v>
      </c>
      <c r="I2029">
        <v>0</v>
      </c>
    </row>
    <row r="2030" spans="1:9" hidden="1" x14ac:dyDescent="0.2">
      <c r="A2030" t="s">
        <v>810</v>
      </c>
      <c r="B2030" t="s">
        <v>821</v>
      </c>
      <c r="C2030" t="s">
        <v>3</v>
      </c>
      <c r="D2030">
        <v>0.34828270279599999</v>
      </c>
      <c r="E2030">
        <v>0</v>
      </c>
      <c r="F2030">
        <v>0</v>
      </c>
      <c r="G2030">
        <v>0</v>
      </c>
      <c r="H2030">
        <v>0</v>
      </c>
      <c r="I2030">
        <v>0</v>
      </c>
    </row>
    <row r="2031" spans="1:9" hidden="1" x14ac:dyDescent="0.2">
      <c r="A2031" t="s">
        <v>810</v>
      </c>
      <c r="B2031" t="s">
        <v>910</v>
      </c>
      <c r="C2031" t="s">
        <v>3</v>
      </c>
      <c r="D2031">
        <v>9.1868080178099998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 spans="1:9" hidden="1" x14ac:dyDescent="0.2">
      <c r="A2032" t="s">
        <v>810</v>
      </c>
      <c r="B2032" t="s">
        <v>902</v>
      </c>
      <c r="C2032" t="s">
        <v>3</v>
      </c>
      <c r="D2032">
        <v>-2.7560423959399998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 spans="1:9" x14ac:dyDescent="0.2">
      <c r="A2033" t="s">
        <v>811</v>
      </c>
      <c r="B2033" t="s">
        <v>821</v>
      </c>
      <c r="C2033" t="s">
        <v>20</v>
      </c>
      <c r="D2033">
        <v>4.0953716008000001</v>
      </c>
      <c r="E2033">
        <v>1.8900353560000001</v>
      </c>
      <c r="F2033">
        <v>2.3301902640000001</v>
      </c>
      <c r="G2033">
        <v>2.327668445</v>
      </c>
      <c r="H2033">
        <v>2.6494470130000001</v>
      </c>
      <c r="I2033">
        <v>2.509581624</v>
      </c>
    </row>
    <row r="2034" spans="1:9" hidden="1" x14ac:dyDescent="0.2">
      <c r="A2034" t="s">
        <v>812</v>
      </c>
      <c r="B2034" t="s">
        <v>924</v>
      </c>
      <c r="C2034" t="s">
        <v>3</v>
      </c>
      <c r="E2034">
        <v>-1.431932461E-9</v>
      </c>
    </row>
    <row r="2035" spans="1:9" hidden="1" x14ac:dyDescent="0.2">
      <c r="A2035" t="s">
        <v>812</v>
      </c>
      <c r="B2035" t="s">
        <v>925</v>
      </c>
      <c r="C2035" t="s">
        <v>3</v>
      </c>
      <c r="E2035">
        <v>-0.87381001830000005</v>
      </c>
    </row>
    <row r="2036" spans="1:9" hidden="1" x14ac:dyDescent="0.2">
      <c r="A2036" t="s">
        <v>812</v>
      </c>
      <c r="B2036" t="s">
        <v>821</v>
      </c>
      <c r="C2036" t="s">
        <v>3</v>
      </c>
      <c r="D2036">
        <v>0.34928296609600001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 hidden="1" x14ac:dyDescent="0.2">
      <c r="A2037" t="s">
        <v>812</v>
      </c>
      <c r="B2037" t="s">
        <v>910</v>
      </c>
      <c r="C2037" t="s">
        <v>3</v>
      </c>
      <c r="D2037">
        <v>9.2131924128099989</v>
      </c>
      <c r="E2037">
        <v>1.2483000259999999</v>
      </c>
      <c r="F2037">
        <v>0</v>
      </c>
      <c r="G2037">
        <v>0</v>
      </c>
      <c r="H2037">
        <v>0</v>
      </c>
      <c r="I2037">
        <v>0</v>
      </c>
    </row>
    <row r="2038" spans="1:9" hidden="1" x14ac:dyDescent="0.2">
      <c r="A2038" t="s">
        <v>812</v>
      </c>
      <c r="B2038" t="s">
        <v>902</v>
      </c>
      <c r="C2038" t="s">
        <v>3</v>
      </c>
      <c r="D2038">
        <v>-2.76395771394</v>
      </c>
      <c r="E2038">
        <v>-0.37449000640000002</v>
      </c>
      <c r="F2038">
        <v>0</v>
      </c>
      <c r="G2038">
        <v>0</v>
      </c>
      <c r="H2038">
        <v>0</v>
      </c>
      <c r="I2038">
        <v>0</v>
      </c>
    </row>
    <row r="2039" spans="1:9" hidden="1" x14ac:dyDescent="0.2">
      <c r="A2039" t="s">
        <v>813</v>
      </c>
      <c r="B2039" t="s">
        <v>828</v>
      </c>
      <c r="C2039" t="s">
        <v>3</v>
      </c>
      <c r="D2039">
        <v>0.20624120951700001</v>
      </c>
      <c r="E2039">
        <v>2.4089693319E-6</v>
      </c>
      <c r="F2039">
        <v>2.039815821E-6</v>
      </c>
      <c r="G2039">
        <v>1.5842478110000001E-7</v>
      </c>
      <c r="H2039">
        <v>2.0427122149999999E-6</v>
      </c>
      <c r="I2039">
        <v>5.5582463050000001E-6</v>
      </c>
    </row>
    <row r="2040" spans="1:9" hidden="1" x14ac:dyDescent="0.2">
      <c r="A2040" t="s">
        <v>813</v>
      </c>
      <c r="B2040" t="s">
        <v>924</v>
      </c>
      <c r="C2040" t="s">
        <v>3</v>
      </c>
      <c r="E2040">
        <v>-1.1261708600000001E-6</v>
      </c>
    </row>
    <row r="2041" spans="1:9" hidden="1" x14ac:dyDescent="0.2">
      <c r="A2041" t="s">
        <v>813</v>
      </c>
      <c r="B2041" t="s">
        <v>821</v>
      </c>
      <c r="C2041" t="s">
        <v>3</v>
      </c>
      <c r="D2041">
        <v>0.39373305547699999</v>
      </c>
      <c r="E2041">
        <v>4.0480707030000004E-6</v>
      </c>
      <c r="F2041">
        <v>3.8553522170000002E-6</v>
      </c>
      <c r="G2041">
        <v>3.0244474770000001E-7</v>
      </c>
      <c r="H2041">
        <v>3.818335835E-6</v>
      </c>
      <c r="I2041">
        <v>1.0090649539999999E-5</v>
      </c>
    </row>
    <row r="2042" spans="1:9" hidden="1" x14ac:dyDescent="0.2">
      <c r="A2042" t="s">
        <v>813</v>
      </c>
      <c r="B2042" t="s">
        <v>833</v>
      </c>
      <c r="C2042" t="s">
        <v>3</v>
      </c>
      <c r="D2042">
        <v>-0.35623470944399999</v>
      </c>
      <c r="E2042">
        <v>-3.6872644329999999E-6</v>
      </c>
      <c r="F2042">
        <v>-3.4922449509999999E-6</v>
      </c>
      <c r="G2042">
        <v>-2.7364075540000003E-7</v>
      </c>
      <c r="H2042">
        <v>-3.4581363680000002E-6</v>
      </c>
      <c r="I2042">
        <v>-9.1561452669999994E-6</v>
      </c>
    </row>
    <row r="2043" spans="1:9" hidden="1" x14ac:dyDescent="0.2">
      <c r="A2043" t="s">
        <v>813</v>
      </c>
      <c r="B2043" t="s">
        <v>902</v>
      </c>
      <c r="C2043" t="s">
        <v>3</v>
      </c>
      <c r="D2043">
        <v>2.7748798854999999</v>
      </c>
      <c r="E2043">
        <v>2.9613148846000001E-5</v>
      </c>
      <c r="F2043">
        <v>2.6912664579999999E-5</v>
      </c>
      <c r="G2043">
        <v>2.131498333E-6</v>
      </c>
      <c r="H2043">
        <v>2.709066302E-5</v>
      </c>
      <c r="I2043">
        <v>7.1638663609999994E-5</v>
      </c>
    </row>
    <row r="2044" spans="1:9" hidden="1" x14ac:dyDescent="0.2">
      <c r="A2044" t="s">
        <v>813</v>
      </c>
      <c r="B2044" t="s">
        <v>900</v>
      </c>
      <c r="C2044" t="s">
        <v>3</v>
      </c>
      <c r="D2044">
        <v>-1.8749188881600001</v>
      </c>
      <c r="E2044">
        <v>-1.9992557197E-5</v>
      </c>
      <c r="F2044">
        <v>-1.819808982E-5</v>
      </c>
      <c r="G2044">
        <v>-1.440202489E-6</v>
      </c>
      <c r="H2044">
        <v>-1.9267675170000001E-5</v>
      </c>
      <c r="I2044">
        <v>-5.374867681E-5</v>
      </c>
    </row>
    <row r="2045" spans="1:9" hidden="1" x14ac:dyDescent="0.2">
      <c r="A2045" t="s">
        <v>814</v>
      </c>
      <c r="B2045" t="s">
        <v>924</v>
      </c>
      <c r="C2045" t="s">
        <v>3</v>
      </c>
      <c r="E2045">
        <v>-0.16620240059999999</v>
      </c>
    </row>
    <row r="2046" spans="1:9" hidden="1" x14ac:dyDescent="0.2">
      <c r="A2046" t="s">
        <v>814</v>
      </c>
      <c r="B2046" t="s">
        <v>821</v>
      </c>
      <c r="C2046" t="s">
        <v>3</v>
      </c>
      <c r="D2046">
        <v>2.3004130739999998E-6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 spans="1:9" hidden="1" x14ac:dyDescent="0.2">
      <c r="A2047" t="s">
        <v>814</v>
      </c>
      <c r="B2047" t="s">
        <v>901</v>
      </c>
      <c r="C2047" t="s">
        <v>3</v>
      </c>
      <c r="D2047">
        <v>-7.5897081199999993E-5</v>
      </c>
      <c r="E2047">
        <v>-0.34625501730000002</v>
      </c>
      <c r="F2047">
        <v>0</v>
      </c>
      <c r="G2047">
        <v>0</v>
      </c>
      <c r="H2047">
        <v>0</v>
      </c>
      <c r="I2047">
        <v>0</v>
      </c>
    </row>
    <row r="2048" spans="1:9" hidden="1" x14ac:dyDescent="0.2">
      <c r="A2048" t="s">
        <v>814</v>
      </c>
      <c r="B2048" t="s">
        <v>902</v>
      </c>
      <c r="C2048" t="s">
        <v>3</v>
      </c>
      <c r="D2048">
        <v>1.1227436043E-4</v>
      </c>
      <c r="E2048">
        <v>0.51245741789999999</v>
      </c>
      <c r="F2048">
        <v>0</v>
      </c>
      <c r="G2048">
        <v>0</v>
      </c>
      <c r="H2048">
        <v>0</v>
      </c>
      <c r="I2048">
        <v>0</v>
      </c>
    </row>
    <row r="2049" spans="1:9" hidden="1" x14ac:dyDescent="0.2">
      <c r="A2049" t="s">
        <v>814</v>
      </c>
      <c r="B2049" t="s">
        <v>825</v>
      </c>
      <c r="C2049" t="s">
        <v>3</v>
      </c>
      <c r="D2049">
        <v>-2.817920786E-5</v>
      </c>
      <c r="E2049">
        <v>0</v>
      </c>
      <c r="F2049">
        <v>0</v>
      </c>
      <c r="G2049">
        <v>0</v>
      </c>
      <c r="H2049">
        <v>0</v>
      </c>
      <c r="I2049">
        <v>0</v>
      </c>
    </row>
    <row r="2050" spans="1:9" hidden="1" x14ac:dyDescent="0.2">
      <c r="A2050" t="s">
        <v>814</v>
      </c>
      <c r="B2050" t="s">
        <v>824</v>
      </c>
      <c r="C2050" t="s">
        <v>3</v>
      </c>
      <c r="D2050">
        <v>5.4234827480000003E-6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 spans="1:9" hidden="1" x14ac:dyDescent="0.2">
      <c r="A2051" t="s">
        <v>815</v>
      </c>
      <c r="B2051" t="s">
        <v>899</v>
      </c>
      <c r="C2051" t="s">
        <v>7</v>
      </c>
      <c r="D2051">
        <v>0</v>
      </c>
      <c r="E2051">
        <v>-1.15404270879E-4</v>
      </c>
      <c r="F2051">
        <v>-2.0454701579999999E-5</v>
      </c>
      <c r="G2051">
        <v>-3.9305710229999998E-7</v>
      </c>
      <c r="H2051">
        <v>-1.241687121E-5</v>
      </c>
      <c r="I2051">
        <v>-3.0576705599999998E-5</v>
      </c>
    </row>
    <row r="2052" spans="1:9" hidden="1" x14ac:dyDescent="0.2">
      <c r="A2052" t="s">
        <v>815</v>
      </c>
      <c r="B2052" t="s">
        <v>820</v>
      </c>
      <c r="C2052" t="s">
        <v>7</v>
      </c>
      <c r="D2052">
        <v>3.9568022781999999E-5</v>
      </c>
      <c r="E2052">
        <v>2.4660420388E-4</v>
      </c>
      <c r="F2052">
        <v>1.191119883E-4</v>
      </c>
      <c r="G2052">
        <v>6.2961250549999997E-6</v>
      </c>
      <c r="H2052">
        <v>1.205657283E-4</v>
      </c>
      <c r="I2052">
        <v>1.6780670840000001E-4</v>
      </c>
    </row>
    <row r="2053" spans="1:9" hidden="1" x14ac:dyDescent="0.2">
      <c r="A2053" t="s">
        <v>815</v>
      </c>
      <c r="B2053" t="s">
        <v>898</v>
      </c>
      <c r="C2053" t="s">
        <v>7</v>
      </c>
      <c r="D2053">
        <v>-5.0329859805000003E-5</v>
      </c>
      <c r="E2053">
        <v>-1.9398104470900001E-4</v>
      </c>
      <c r="F2053">
        <v>-1.32228874E-4</v>
      </c>
      <c r="G2053">
        <v>-7.6788892860000006E-6</v>
      </c>
      <c r="H2053">
        <v>-1.4215429619999999E-4</v>
      </c>
      <c r="I2053">
        <v>-1.843138588E-4</v>
      </c>
    </row>
    <row r="2054" spans="1:9" hidden="1" x14ac:dyDescent="0.2">
      <c r="A2054" t="s">
        <v>815</v>
      </c>
      <c r="B2054" t="s">
        <v>924</v>
      </c>
      <c r="C2054" t="s">
        <v>7</v>
      </c>
      <c r="E2054">
        <v>-2.550236417E-6</v>
      </c>
    </row>
    <row r="2055" spans="1:9" hidden="1" x14ac:dyDescent="0.2">
      <c r="A2055" t="s">
        <v>815</v>
      </c>
      <c r="B2055" t="s">
        <v>821</v>
      </c>
      <c r="C2055" t="s">
        <v>7</v>
      </c>
      <c r="D2055">
        <v>1.002235018E-7</v>
      </c>
      <c r="E2055">
        <v>3.4700555839999998E-6</v>
      </c>
      <c r="F2055">
        <v>1.5687070099999999E-6</v>
      </c>
      <c r="G2055">
        <v>0</v>
      </c>
      <c r="H2055">
        <v>1.5457991009999999E-6</v>
      </c>
      <c r="I2055">
        <v>2.2260477880000001E-6</v>
      </c>
    </row>
    <row r="2056" spans="1:9" hidden="1" x14ac:dyDescent="0.2">
      <c r="A2056" t="s">
        <v>815</v>
      </c>
      <c r="B2056" t="s">
        <v>824</v>
      </c>
      <c r="C2056" t="s">
        <v>7</v>
      </c>
      <c r="D2056">
        <v>3.3037606514000003E-5</v>
      </c>
      <c r="E2056">
        <v>1.9503628598000001E-4</v>
      </c>
      <c r="F2056">
        <v>9.9274232169999993E-5</v>
      </c>
      <c r="G2056">
        <v>5.2467727569999996E-6</v>
      </c>
      <c r="H2056">
        <v>1.004714997E-4</v>
      </c>
      <c r="I2056">
        <v>1.3989140129999999E-4</v>
      </c>
    </row>
    <row r="2057" spans="1:9" hidden="1" x14ac:dyDescent="0.2">
      <c r="A2057" t="s">
        <v>911</v>
      </c>
      <c r="B2057" t="s">
        <v>892</v>
      </c>
      <c r="C2057">
        <v>0</v>
      </c>
      <c r="D2057">
        <v>0</v>
      </c>
    </row>
    <row r="2058" spans="1:9" hidden="1" x14ac:dyDescent="0.2">
      <c r="A2058" t="s">
        <v>911</v>
      </c>
      <c r="B2058" t="s">
        <v>857</v>
      </c>
      <c r="C2058">
        <v>0</v>
      </c>
      <c r="D2058">
        <v>123.517875</v>
      </c>
    </row>
    <row r="2059" spans="1:9" hidden="1" x14ac:dyDescent="0.2">
      <c r="A2059" t="s">
        <v>911</v>
      </c>
      <c r="B2059" t="s">
        <v>890</v>
      </c>
      <c r="C2059">
        <v>0</v>
      </c>
      <c r="D2059">
        <v>4.2336554339999999E-2</v>
      </c>
    </row>
    <row r="2060" spans="1:9" hidden="1" x14ac:dyDescent="0.2">
      <c r="A2060" t="s">
        <v>912</v>
      </c>
      <c r="B2060" t="s">
        <v>893</v>
      </c>
      <c r="C2060">
        <v>0</v>
      </c>
      <c r="D2060">
        <v>4.1635660730000003E-6</v>
      </c>
    </row>
    <row r="2061" spans="1:9" hidden="1" x14ac:dyDescent="0.2">
      <c r="A2061" t="s">
        <v>912</v>
      </c>
      <c r="B2061" t="s">
        <v>851</v>
      </c>
      <c r="C2061">
        <v>0</v>
      </c>
      <c r="D2061">
        <v>-5.6671508909999998E-7</v>
      </c>
    </row>
    <row r="2062" spans="1:9" hidden="1" x14ac:dyDescent="0.2">
      <c r="A2062" t="s">
        <v>912</v>
      </c>
      <c r="B2062" t="s">
        <v>856</v>
      </c>
      <c r="C2062">
        <v>0</v>
      </c>
      <c r="D2062">
        <v>208.7995052</v>
      </c>
    </row>
    <row r="2063" spans="1:9" hidden="1" x14ac:dyDescent="0.2">
      <c r="A2063" t="s">
        <v>912</v>
      </c>
      <c r="B2063" t="s">
        <v>852</v>
      </c>
      <c r="C2063">
        <v>0</v>
      </c>
      <c r="D2063">
        <v>5.0916453309999998E-2</v>
      </c>
    </row>
    <row r="2064" spans="1:9" hidden="1" x14ac:dyDescent="0.2">
      <c r="A2064" t="s">
        <v>914</v>
      </c>
      <c r="B2064" t="s">
        <v>906</v>
      </c>
      <c r="C2064">
        <v>0</v>
      </c>
      <c r="D2064">
        <v>4.9371466869999998E-2</v>
      </c>
    </row>
    <row r="2065" spans="1:9" hidden="1" x14ac:dyDescent="0.2">
      <c r="A2065" t="s">
        <v>914</v>
      </c>
      <c r="B2065" t="s">
        <v>905</v>
      </c>
      <c r="C2065">
        <v>0</v>
      </c>
      <c r="D2065">
        <v>5.0508916109999999</v>
      </c>
    </row>
    <row r="2066" spans="1:9" hidden="1" x14ac:dyDescent="0.2">
      <c r="A2066" t="s">
        <v>914</v>
      </c>
      <c r="B2066" t="s">
        <v>907</v>
      </c>
      <c r="C2066">
        <v>0</v>
      </c>
      <c r="D2066">
        <v>4.9738121080000003E-2</v>
      </c>
    </row>
    <row r="2067" spans="1:9" hidden="1" x14ac:dyDescent="0.2">
      <c r="A2067" t="s">
        <v>4</v>
      </c>
      <c r="B2067" t="s">
        <v>828</v>
      </c>
      <c r="C2067" t="s">
        <v>5</v>
      </c>
      <c r="E2067">
        <v>-8.7999650230000004</v>
      </c>
      <c r="F2067">
        <v>-14.99990867</v>
      </c>
      <c r="G2067">
        <v>-14.99999852</v>
      </c>
      <c r="H2067">
        <v>0</v>
      </c>
      <c r="I2067">
        <v>0</v>
      </c>
    </row>
    <row r="2068" spans="1:9" hidden="1" x14ac:dyDescent="0.2">
      <c r="A2068" t="s">
        <v>4</v>
      </c>
      <c r="B2068" t="s">
        <v>817</v>
      </c>
      <c r="C2068" t="s">
        <v>5</v>
      </c>
      <c r="D2068">
        <v>-4.8952365699999998E-7</v>
      </c>
      <c r="E2068">
        <v>0</v>
      </c>
      <c r="F2068">
        <v>0</v>
      </c>
      <c r="G2068">
        <v>0</v>
      </c>
      <c r="H2068">
        <v>-6.5428569059999999</v>
      </c>
      <c r="I2068">
        <v>-4.8343735859999999</v>
      </c>
    </row>
    <row r="2069" spans="1:9" hidden="1" x14ac:dyDescent="0.2">
      <c r="A2069" t="s">
        <v>4</v>
      </c>
      <c r="B2069" t="s">
        <v>818</v>
      </c>
      <c r="C2069" t="s">
        <v>5</v>
      </c>
      <c r="D2069">
        <v>6.9116041489999995E-7</v>
      </c>
      <c r="E2069">
        <v>8.7999650230000004</v>
      </c>
      <c r="F2069">
        <v>14.99990867</v>
      </c>
      <c r="G2069">
        <v>14.99999852</v>
      </c>
      <c r="H2069">
        <v>9.4544282289999995</v>
      </c>
      <c r="I2069">
        <v>6.9856697969999999</v>
      </c>
    </row>
    <row r="2070" spans="1:9" hidden="1" x14ac:dyDescent="0.2">
      <c r="A2070" t="s">
        <v>6</v>
      </c>
      <c r="B2070" t="s">
        <v>819</v>
      </c>
      <c r="C2070" t="s">
        <v>7</v>
      </c>
      <c r="D2070">
        <v>0</v>
      </c>
      <c r="E2070">
        <v>-1.8183707650000001E-5</v>
      </c>
      <c r="F2070">
        <v>-3.3420918889999998E-6</v>
      </c>
      <c r="G2070">
        <v>0</v>
      </c>
      <c r="H2070">
        <v>-1.0388776840000001E-6</v>
      </c>
      <c r="I2070">
        <v>-3.2157650010000002E-6</v>
      </c>
    </row>
    <row r="2071" spans="1:9" hidden="1" x14ac:dyDescent="0.2">
      <c r="A2071" t="s">
        <v>6</v>
      </c>
      <c r="B2071" t="s">
        <v>820</v>
      </c>
      <c r="C2071" t="s">
        <v>7</v>
      </c>
      <c r="D2071">
        <v>0</v>
      </c>
      <c r="E2071">
        <v>5.1953440200000002E-5</v>
      </c>
      <c r="F2071">
        <v>9.0994030450000004E-6</v>
      </c>
      <c r="G2071">
        <v>1.028007696E-7</v>
      </c>
      <c r="H2071">
        <v>2.5352780980000001E-6</v>
      </c>
      <c r="I2071">
        <v>7.3710592200000003E-6</v>
      </c>
    </row>
    <row r="2072" spans="1:9" hidden="1" x14ac:dyDescent="0.2">
      <c r="A2072" t="s">
        <v>6</v>
      </c>
      <c r="B2072" t="s">
        <v>821</v>
      </c>
      <c r="C2072" t="s">
        <v>7</v>
      </c>
      <c r="D2072">
        <v>0</v>
      </c>
      <c r="E2072">
        <v>-1.839006174E-6</v>
      </c>
      <c r="F2072">
        <v>-3.967928856E-7</v>
      </c>
      <c r="G2072">
        <v>0</v>
      </c>
      <c r="H2072">
        <v>-1.6170116250000001E-7</v>
      </c>
      <c r="I2072">
        <v>-5.6289131709999996E-7</v>
      </c>
    </row>
    <row r="2073" spans="1:9" hidden="1" x14ac:dyDescent="0.2">
      <c r="A2073" t="s">
        <v>8</v>
      </c>
      <c r="B2073" t="s">
        <v>819</v>
      </c>
      <c r="C2073" t="s">
        <v>7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 spans="1:9" hidden="1" x14ac:dyDescent="0.2">
      <c r="A2074" t="s">
        <v>8</v>
      </c>
      <c r="B2074" t="s">
        <v>822</v>
      </c>
      <c r="C2074" t="s">
        <v>7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</row>
    <row r="2075" spans="1:9" hidden="1" x14ac:dyDescent="0.2">
      <c r="A2075" t="s">
        <v>9</v>
      </c>
      <c r="B2075" t="s">
        <v>819</v>
      </c>
      <c r="C2075" t="s">
        <v>7</v>
      </c>
      <c r="D2075">
        <v>-1.849986036</v>
      </c>
      <c r="E2075">
        <v>-2.43044896E-5</v>
      </c>
      <c r="F2075">
        <v>-3.9487322750000003E-6</v>
      </c>
      <c r="G2075">
        <v>0</v>
      </c>
      <c r="H2075">
        <v>-6.4687013779999995E-7</v>
      </c>
      <c r="I2075">
        <v>-6.7209766529999996E-6</v>
      </c>
    </row>
    <row r="2076" spans="1:9" hidden="1" x14ac:dyDescent="0.2">
      <c r="A2076" t="s">
        <v>9</v>
      </c>
      <c r="B2076" t="s">
        <v>823</v>
      </c>
      <c r="C2076" t="s">
        <v>7</v>
      </c>
      <c r="D2076">
        <v>4.1386712130000003</v>
      </c>
      <c r="E2076">
        <v>5.4372459950000003E-5</v>
      </c>
      <c r="F2076">
        <v>8.8338529640000003E-6</v>
      </c>
      <c r="G2076">
        <v>0</v>
      </c>
      <c r="H2076">
        <v>1.4471367740000001E-6</v>
      </c>
      <c r="I2076">
        <v>1.503574195E-5</v>
      </c>
    </row>
    <row r="2077" spans="1:9" hidden="1" x14ac:dyDescent="0.2">
      <c r="A2077" t="s">
        <v>10</v>
      </c>
      <c r="B2077" t="s">
        <v>827</v>
      </c>
      <c r="C2077" t="s">
        <v>11</v>
      </c>
      <c r="E2077">
        <v>0</v>
      </c>
      <c r="F2077">
        <v>0</v>
      </c>
      <c r="G2077">
        <v>0</v>
      </c>
      <c r="H2077">
        <v>0</v>
      </c>
      <c r="I2077">
        <v>0</v>
      </c>
    </row>
    <row r="2078" spans="1:9" hidden="1" x14ac:dyDescent="0.2">
      <c r="A2078" t="s">
        <v>10</v>
      </c>
      <c r="B2078" t="s">
        <v>821</v>
      </c>
      <c r="C2078" t="s">
        <v>11</v>
      </c>
      <c r="E2078">
        <v>0</v>
      </c>
      <c r="F2078">
        <v>0</v>
      </c>
      <c r="G2078">
        <v>0</v>
      </c>
      <c r="H2078">
        <v>0</v>
      </c>
      <c r="I2078">
        <v>0</v>
      </c>
    </row>
    <row r="2079" spans="1:9" hidden="1" x14ac:dyDescent="0.2">
      <c r="A2079" t="s">
        <v>10</v>
      </c>
      <c r="B2079" t="s">
        <v>849</v>
      </c>
      <c r="C2079" t="s">
        <v>11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 spans="1:9" hidden="1" x14ac:dyDescent="0.2">
      <c r="A2080" t="s">
        <v>10</v>
      </c>
      <c r="B2080" t="s">
        <v>824</v>
      </c>
      <c r="C2080" t="s">
        <v>11</v>
      </c>
      <c r="E2080">
        <v>0</v>
      </c>
      <c r="F2080">
        <v>0</v>
      </c>
      <c r="G2080">
        <v>0</v>
      </c>
      <c r="H2080">
        <v>0</v>
      </c>
      <c r="I2080">
        <v>0</v>
      </c>
    </row>
    <row r="2081" spans="1:9" hidden="1" x14ac:dyDescent="0.2">
      <c r="A2081" t="s">
        <v>12</v>
      </c>
      <c r="B2081" t="s">
        <v>820</v>
      </c>
      <c r="C2081" t="s">
        <v>11</v>
      </c>
      <c r="E2081">
        <v>0</v>
      </c>
      <c r="F2081">
        <v>0</v>
      </c>
      <c r="G2081">
        <v>0</v>
      </c>
      <c r="H2081">
        <v>0</v>
      </c>
      <c r="I2081">
        <v>0</v>
      </c>
    </row>
    <row r="2082" spans="1:9" hidden="1" x14ac:dyDescent="0.2">
      <c r="A2082" t="s">
        <v>12</v>
      </c>
      <c r="B2082" t="s">
        <v>827</v>
      </c>
      <c r="C2082" t="s">
        <v>11</v>
      </c>
      <c r="E2082">
        <v>0</v>
      </c>
      <c r="F2082">
        <v>0</v>
      </c>
      <c r="G2082">
        <v>0</v>
      </c>
      <c r="H2082">
        <v>0</v>
      </c>
      <c r="I2082">
        <v>0</v>
      </c>
    </row>
    <row r="2083" spans="1:9" hidden="1" x14ac:dyDescent="0.2">
      <c r="A2083" t="s">
        <v>12</v>
      </c>
      <c r="B2083" t="s">
        <v>821</v>
      </c>
      <c r="C2083" t="s">
        <v>11</v>
      </c>
      <c r="E2083">
        <v>0</v>
      </c>
      <c r="F2083">
        <v>0</v>
      </c>
      <c r="G2083">
        <v>0</v>
      </c>
      <c r="H2083">
        <v>0</v>
      </c>
      <c r="I2083">
        <v>0</v>
      </c>
    </row>
    <row r="2084" spans="1:9" hidden="1" x14ac:dyDescent="0.2">
      <c r="A2084" t="s">
        <v>12</v>
      </c>
      <c r="B2084" t="s">
        <v>824</v>
      </c>
      <c r="C2084" t="s">
        <v>11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 spans="1:9" hidden="1" x14ac:dyDescent="0.2">
      <c r="A2085" t="s">
        <v>13</v>
      </c>
      <c r="B2085" t="s">
        <v>820</v>
      </c>
      <c r="C2085" t="s">
        <v>11</v>
      </c>
      <c r="D2085">
        <v>3.369647507E-6</v>
      </c>
      <c r="E2085">
        <v>3.8715019319999998E-5</v>
      </c>
      <c r="F2085">
        <v>1.8932092819999998E-5</v>
      </c>
      <c r="G2085">
        <v>6.023795641E-7</v>
      </c>
      <c r="H2085">
        <v>1.478234966E-5</v>
      </c>
      <c r="I2085">
        <v>2.744581432E-5</v>
      </c>
    </row>
    <row r="2086" spans="1:9" hidden="1" x14ac:dyDescent="0.2">
      <c r="A2086" t="s">
        <v>13</v>
      </c>
      <c r="B2086" t="s">
        <v>821</v>
      </c>
      <c r="C2086" t="s">
        <v>11</v>
      </c>
      <c r="D2086">
        <v>2.2077475199999999E-7</v>
      </c>
      <c r="E2086">
        <v>2.1704486809999999E-6</v>
      </c>
      <c r="F2086">
        <v>1.157629923E-6</v>
      </c>
      <c r="G2086">
        <v>0</v>
      </c>
      <c r="H2086">
        <v>9.3750293480000004E-7</v>
      </c>
      <c r="I2086">
        <v>6.5740920139999995E-7</v>
      </c>
    </row>
    <row r="2087" spans="1:9" hidden="1" x14ac:dyDescent="0.2">
      <c r="A2087" t="s">
        <v>13</v>
      </c>
      <c r="B2087" t="s">
        <v>824</v>
      </c>
      <c r="C2087" t="s">
        <v>11</v>
      </c>
      <c r="D2087">
        <v>-2.469429362E-6</v>
      </c>
      <c r="E2087">
        <v>-2.8259138189999999E-5</v>
      </c>
      <c r="F2087">
        <v>-1.3819045849999999E-5</v>
      </c>
      <c r="G2087">
        <v>-4.396931125E-7</v>
      </c>
      <c r="H2087">
        <v>-1.0790036249999999E-5</v>
      </c>
      <c r="I2087">
        <v>-2.0033441110000001E-5</v>
      </c>
    </row>
    <row r="2088" spans="1:9" hidden="1" x14ac:dyDescent="0.2">
      <c r="A2088" t="s">
        <v>14</v>
      </c>
      <c r="B2088" t="s">
        <v>828</v>
      </c>
      <c r="C2088" t="s">
        <v>11</v>
      </c>
      <c r="E2088">
        <v>0</v>
      </c>
      <c r="F2088">
        <v>0</v>
      </c>
      <c r="G2088">
        <v>0</v>
      </c>
      <c r="H2088">
        <v>0</v>
      </c>
      <c r="I2088">
        <v>0</v>
      </c>
    </row>
    <row r="2089" spans="1:9" hidden="1" x14ac:dyDescent="0.2">
      <c r="A2089" t="s">
        <v>14</v>
      </c>
      <c r="B2089" t="s">
        <v>827</v>
      </c>
      <c r="C2089" t="s">
        <v>11</v>
      </c>
      <c r="E2089">
        <v>0</v>
      </c>
      <c r="F2089">
        <v>0</v>
      </c>
      <c r="G2089">
        <v>0</v>
      </c>
      <c r="H2089">
        <v>0</v>
      </c>
      <c r="I2089">
        <v>0</v>
      </c>
    </row>
    <row r="2090" spans="1:9" hidden="1" x14ac:dyDescent="0.2">
      <c r="A2090" t="s">
        <v>14</v>
      </c>
      <c r="B2090" t="s">
        <v>824</v>
      </c>
      <c r="C2090" t="s">
        <v>11</v>
      </c>
      <c r="E2090">
        <v>0</v>
      </c>
      <c r="F2090">
        <v>0</v>
      </c>
      <c r="G2090">
        <v>0</v>
      </c>
      <c r="H2090">
        <v>0</v>
      </c>
      <c r="I2090">
        <v>0</v>
      </c>
    </row>
  </sheetData>
  <autoFilter ref="A1:I2090" xr:uid="{00000000-0009-0000-0000-000015000000}">
    <filterColumn colId="2">
      <filters>
        <filter val="Elektriciteitsopwekking"/>
      </filters>
    </filterColumn>
  </autoFilter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63"/>
  <sheetViews>
    <sheetView workbookViewId="0"/>
  </sheetViews>
  <sheetFormatPr baseColWidth="10" defaultColWidth="8.83203125" defaultRowHeight="16" x14ac:dyDescent="0.2"/>
  <cols>
    <col min="1" max="1" width="55.1640625" customWidth="1"/>
    <col min="2" max="2" width="35.83203125" customWidth="1"/>
  </cols>
  <sheetData>
    <row r="1" spans="1:8" x14ac:dyDescent="0.2">
      <c r="A1" s="1" t="s">
        <v>0</v>
      </c>
      <c r="B1" s="1" t="s">
        <v>816</v>
      </c>
      <c r="C1" s="1" t="s">
        <v>926</v>
      </c>
      <c r="D1" s="1" t="s">
        <v>927</v>
      </c>
      <c r="E1" s="1" t="s">
        <v>928</v>
      </c>
      <c r="F1" s="1" t="s">
        <v>929</v>
      </c>
      <c r="G1" s="1" t="s">
        <v>930</v>
      </c>
      <c r="H1" s="1" t="s">
        <v>931</v>
      </c>
    </row>
    <row r="2" spans="1:8" x14ac:dyDescent="0.2">
      <c r="A2" t="s">
        <v>18</v>
      </c>
      <c r="B2" t="s">
        <v>821</v>
      </c>
      <c r="C2">
        <v>-37.080362409999999</v>
      </c>
      <c r="D2">
        <v>-29.85976694</v>
      </c>
      <c r="E2">
        <v>-30.326279230000001</v>
      </c>
      <c r="F2">
        <v>-47.02514051</v>
      </c>
      <c r="G2">
        <v>-31.2593979</v>
      </c>
      <c r="H2">
        <v>-48.450140840000003</v>
      </c>
    </row>
    <row r="3" spans="1:8" x14ac:dyDescent="0.2">
      <c r="A3" t="s">
        <v>18</v>
      </c>
      <c r="B3" t="s">
        <v>826</v>
      </c>
      <c r="C3">
        <v>37.08036242</v>
      </c>
      <c r="D3">
        <v>29.85976694</v>
      </c>
      <c r="E3">
        <v>30.326279230000001</v>
      </c>
      <c r="F3">
        <v>47.02514051</v>
      </c>
      <c r="G3">
        <v>31.2593979</v>
      </c>
      <c r="H3">
        <v>48.450140840000003</v>
      </c>
    </row>
    <row r="4" spans="1:8" x14ac:dyDescent="0.2">
      <c r="A4" t="s">
        <v>34</v>
      </c>
      <c r="B4" t="s">
        <v>821</v>
      </c>
      <c r="C4">
        <v>-81.121541390000004</v>
      </c>
      <c r="D4">
        <v>-188.90011010000001</v>
      </c>
      <c r="E4">
        <v>-232.9828115</v>
      </c>
      <c r="F4">
        <v>-232.76681139999999</v>
      </c>
      <c r="G4">
        <v>-306.86544850000001</v>
      </c>
      <c r="H4">
        <v>-307.30750160000002</v>
      </c>
    </row>
    <row r="5" spans="1:8" x14ac:dyDescent="0.2">
      <c r="A5" t="s">
        <v>34</v>
      </c>
      <c r="B5" t="s">
        <v>831</v>
      </c>
      <c r="C5">
        <v>81.121541500000006</v>
      </c>
      <c r="D5">
        <v>188.90011010000001</v>
      </c>
      <c r="E5">
        <v>232.9828115</v>
      </c>
      <c r="F5">
        <v>232.76681139999999</v>
      </c>
      <c r="G5">
        <v>306.86544850000001</v>
      </c>
      <c r="H5">
        <v>307.30750160000002</v>
      </c>
    </row>
    <row r="6" spans="1:8" x14ac:dyDescent="0.2">
      <c r="A6" t="s">
        <v>66</v>
      </c>
      <c r="B6" t="s">
        <v>821</v>
      </c>
      <c r="C6">
        <v>-54.303553520000001</v>
      </c>
      <c r="D6">
        <v>-64.599915190000004</v>
      </c>
      <c r="E6">
        <v>-85.617192750000001</v>
      </c>
      <c r="F6">
        <v>-85.833188579999998</v>
      </c>
      <c r="G6">
        <v>-125.36605640000001</v>
      </c>
      <c r="H6">
        <v>-123.9394298</v>
      </c>
    </row>
    <row r="7" spans="1:8" x14ac:dyDescent="0.2">
      <c r="A7" t="s">
        <v>66</v>
      </c>
      <c r="B7" t="s">
        <v>831</v>
      </c>
      <c r="C7">
        <v>54.30355351</v>
      </c>
      <c r="D7">
        <v>64.599937249999996</v>
      </c>
      <c r="E7">
        <v>85.6171966</v>
      </c>
      <c r="F7">
        <v>85.833188579999998</v>
      </c>
      <c r="G7">
        <v>125.36605640000001</v>
      </c>
      <c r="H7">
        <v>123.9394369</v>
      </c>
    </row>
    <row r="8" spans="1:8" x14ac:dyDescent="0.2">
      <c r="A8" t="s">
        <v>74</v>
      </c>
      <c r="B8" t="s">
        <v>821</v>
      </c>
      <c r="C8">
        <v>-57.797463950000001</v>
      </c>
      <c r="D8">
        <v>-98.60717176</v>
      </c>
      <c r="E8">
        <v>-55.524564050000002</v>
      </c>
      <c r="F8">
        <v>-39.16231483</v>
      </c>
      <c r="G8">
        <v>-39.29729648</v>
      </c>
      <c r="H8">
        <v>-39.98681174</v>
      </c>
    </row>
    <row r="9" spans="1:8" x14ac:dyDescent="0.2">
      <c r="A9" t="s">
        <v>74</v>
      </c>
      <c r="B9" t="s">
        <v>828</v>
      </c>
      <c r="C9">
        <v>98.046953049999999</v>
      </c>
      <c r="D9">
        <v>161.6171545</v>
      </c>
      <c r="E9">
        <v>91.004760450000006</v>
      </c>
      <c r="F9">
        <v>64.187033999999997</v>
      </c>
      <c r="G9">
        <v>64.408268930000006</v>
      </c>
      <c r="H9">
        <v>65.538384399999998</v>
      </c>
    </row>
    <row r="10" spans="1:8" x14ac:dyDescent="0.2">
      <c r="A10" t="s">
        <v>111</v>
      </c>
      <c r="B10" t="s">
        <v>821</v>
      </c>
      <c r="C10">
        <v>-33.532452130000003</v>
      </c>
      <c r="D10">
        <v>-23.333479870000001</v>
      </c>
      <c r="E10">
        <v>-8.6327591080000001E-6</v>
      </c>
      <c r="F10">
        <v>-1.0904554970000001E-7</v>
      </c>
      <c r="G10">
        <v>-2.6269848640000002E-6</v>
      </c>
      <c r="H10">
        <v>-6.292799301E-6</v>
      </c>
    </row>
    <row r="11" spans="1:8" x14ac:dyDescent="0.2">
      <c r="A11" t="s">
        <v>111</v>
      </c>
      <c r="B11" t="s">
        <v>828</v>
      </c>
      <c r="C11">
        <v>82.317600999999996</v>
      </c>
      <c r="D11">
        <v>57.264511089999999</v>
      </c>
      <c r="E11">
        <v>2.129414326E-5</v>
      </c>
      <c r="F11">
        <v>2.6996017520000001E-7</v>
      </c>
      <c r="G11">
        <v>6.5065908719999996E-6</v>
      </c>
      <c r="H11">
        <v>1.547024533E-5</v>
      </c>
    </row>
    <row r="12" spans="1:8" x14ac:dyDescent="0.2">
      <c r="A12" t="s">
        <v>111</v>
      </c>
      <c r="B12" t="s">
        <v>825</v>
      </c>
      <c r="C12">
        <v>-39.395668860000001</v>
      </c>
      <c r="D12">
        <v>-27.401579219999999</v>
      </c>
      <c r="E12">
        <v>-1.013469496E-5</v>
      </c>
      <c r="F12">
        <v>-1.281831918E-7</v>
      </c>
      <c r="G12">
        <v>-3.0901080860000002E-6</v>
      </c>
      <c r="H12">
        <v>-7.3883456950000003E-6</v>
      </c>
    </row>
    <row r="13" spans="1:8" x14ac:dyDescent="0.2">
      <c r="A13" t="s">
        <v>238</v>
      </c>
      <c r="B13" t="s">
        <v>821</v>
      </c>
      <c r="C13">
        <v>0</v>
      </c>
      <c r="D13">
        <v>-1.2839199739999999E-4</v>
      </c>
      <c r="E13">
        <v>-6.1647548030000003E-5</v>
      </c>
      <c r="F13">
        <v>-10.76797434</v>
      </c>
      <c r="G13">
        <v>-11.305069530000001</v>
      </c>
      <c r="H13">
        <v>-11.473801010000001</v>
      </c>
    </row>
    <row r="14" spans="1:8" x14ac:dyDescent="0.2">
      <c r="A14" t="s">
        <v>238</v>
      </c>
      <c r="B14" t="s">
        <v>826</v>
      </c>
      <c r="C14">
        <v>0</v>
      </c>
      <c r="D14">
        <v>1.2839199739999999E-4</v>
      </c>
      <c r="E14">
        <v>6.1647548030000003E-5</v>
      </c>
      <c r="F14">
        <v>10.76797434</v>
      </c>
      <c r="G14">
        <v>11.305069530000001</v>
      </c>
      <c r="H14">
        <v>11.473801010000001</v>
      </c>
    </row>
    <row r="15" spans="1:8" x14ac:dyDescent="0.2">
      <c r="A15" t="s">
        <v>239</v>
      </c>
      <c r="B15" t="s">
        <v>821</v>
      </c>
      <c r="C15">
        <v>0</v>
      </c>
      <c r="D15">
        <v>-2.6537095049999999E-5</v>
      </c>
      <c r="E15">
        <v>-1.8205354550000002E-5</v>
      </c>
      <c r="F15">
        <v>-5.764927762E-7</v>
      </c>
      <c r="G15">
        <v>-1.311733671E-5</v>
      </c>
      <c r="H15">
        <v>-2.5018900579999999E-5</v>
      </c>
    </row>
    <row r="16" spans="1:8" x14ac:dyDescent="0.2">
      <c r="A16" t="s">
        <v>239</v>
      </c>
      <c r="B16" t="s">
        <v>826</v>
      </c>
      <c r="C16">
        <v>0</v>
      </c>
      <c r="D16">
        <v>2.6537095049999999E-5</v>
      </c>
      <c r="E16">
        <v>1.8205354550000002E-5</v>
      </c>
      <c r="F16">
        <v>5.764927762E-7</v>
      </c>
      <c r="G16">
        <v>1.311733671E-5</v>
      </c>
      <c r="H16">
        <v>2.5018900579999999E-5</v>
      </c>
    </row>
    <row r="17" spans="1:8" x14ac:dyDescent="0.2">
      <c r="A17" t="s">
        <v>240</v>
      </c>
      <c r="B17" t="s">
        <v>821</v>
      </c>
      <c r="C17">
        <v>-17.37865704</v>
      </c>
      <c r="D17">
        <v>-18.790764769999999</v>
      </c>
      <c r="E17">
        <v>-37.214521089999998</v>
      </c>
      <c r="F17">
        <v>-29.232025660000001</v>
      </c>
      <c r="G17">
        <v>-38.694930360000001</v>
      </c>
      <c r="H17">
        <v>-48.526198659999999</v>
      </c>
    </row>
    <row r="18" spans="1:8" x14ac:dyDescent="0.2">
      <c r="A18" t="s">
        <v>240</v>
      </c>
      <c r="B18" t="s">
        <v>826</v>
      </c>
      <c r="C18">
        <v>17.3786573</v>
      </c>
      <c r="D18">
        <v>18.790764769999999</v>
      </c>
      <c r="E18">
        <v>37.214521089999998</v>
      </c>
      <c r="F18">
        <v>29.232025660000001</v>
      </c>
      <c r="G18">
        <v>38.694930360000001</v>
      </c>
      <c r="H18">
        <v>48.526198659999999</v>
      </c>
    </row>
    <row r="19" spans="1:8" x14ac:dyDescent="0.2">
      <c r="A19" t="s">
        <v>241</v>
      </c>
      <c r="B19" t="s">
        <v>821</v>
      </c>
      <c r="C19">
        <v>-15.587855319999999</v>
      </c>
      <c r="D19">
        <v>-23.478189069999999</v>
      </c>
      <c r="E19">
        <v>-28.072641260000001</v>
      </c>
      <c r="F19">
        <v>-32.406934700000001</v>
      </c>
      <c r="G19">
        <v>-43.990240900000003</v>
      </c>
      <c r="H19">
        <v>-55.904658779999998</v>
      </c>
    </row>
    <row r="20" spans="1:8" x14ac:dyDescent="0.2">
      <c r="A20" t="s">
        <v>241</v>
      </c>
      <c r="B20" t="s">
        <v>826</v>
      </c>
      <c r="C20">
        <v>15.587855319999999</v>
      </c>
      <c r="D20">
        <v>23.47820828</v>
      </c>
      <c r="E20">
        <v>28.07264451</v>
      </c>
      <c r="F20">
        <v>32.406934700000001</v>
      </c>
      <c r="G20">
        <v>43.990240909999997</v>
      </c>
      <c r="H20">
        <v>55.904664920000002</v>
      </c>
    </row>
    <row r="21" spans="1:8" x14ac:dyDescent="0.2">
      <c r="A21" t="s">
        <v>257</v>
      </c>
      <c r="B21" t="s">
        <v>821</v>
      </c>
      <c r="C21">
        <v>0</v>
      </c>
      <c r="D21">
        <v>-3.9924442709999999E-5</v>
      </c>
      <c r="E21">
        <v>-3.6515239649999998E-5</v>
      </c>
      <c r="F21">
        <v>-2.221779026E-7</v>
      </c>
      <c r="G21">
        <v>0</v>
      </c>
      <c r="H21">
        <v>0</v>
      </c>
    </row>
    <row r="22" spans="1:8" x14ac:dyDescent="0.2">
      <c r="A22" t="s">
        <v>257</v>
      </c>
      <c r="B22" t="s">
        <v>824</v>
      </c>
      <c r="C22">
        <v>0</v>
      </c>
      <c r="D22">
        <v>8.9397182510000004E-5</v>
      </c>
      <c r="E22">
        <v>6.8509648120000001E-5</v>
      </c>
      <c r="F22">
        <v>3.9094113920000002E-7</v>
      </c>
      <c r="G22">
        <v>0</v>
      </c>
      <c r="H22">
        <v>0</v>
      </c>
    </row>
    <row r="23" spans="1:8" x14ac:dyDescent="0.2">
      <c r="A23" t="s">
        <v>267</v>
      </c>
      <c r="B23" t="s">
        <v>821</v>
      </c>
      <c r="C23">
        <v>-8.6135226369999996E-6</v>
      </c>
      <c r="D23">
        <v>-3.6933482169999999E-5</v>
      </c>
      <c r="E23">
        <v>-6.3358692230000005E-5</v>
      </c>
      <c r="F23">
        <v>-6.8660934980000001E-7</v>
      </c>
      <c r="G23">
        <v>-7.5711073670000004E-6</v>
      </c>
      <c r="H23">
        <v>-1.9701067710000001E-5</v>
      </c>
    </row>
    <row r="24" spans="1:8" x14ac:dyDescent="0.2">
      <c r="A24" t="s">
        <v>267</v>
      </c>
      <c r="B24" t="s">
        <v>828</v>
      </c>
      <c r="C24">
        <v>5.9811517570000002E-5</v>
      </c>
      <c r="D24">
        <v>1.6734028670000001E-4</v>
      </c>
      <c r="E24">
        <v>3.9512671849999999E-4</v>
      </c>
      <c r="F24">
        <v>3.840758963E-6</v>
      </c>
      <c r="G24">
        <v>4.4891801850000001E-5</v>
      </c>
      <c r="H24">
        <v>1.031327197E-4</v>
      </c>
    </row>
    <row r="25" spans="1:8" x14ac:dyDescent="0.2">
      <c r="A25" t="s">
        <v>267</v>
      </c>
      <c r="B25" t="s">
        <v>827</v>
      </c>
      <c r="C25">
        <v>-2.8622984949999998E-6</v>
      </c>
      <c r="D25">
        <v>-8.3597366339999995E-6</v>
      </c>
      <c r="E25">
        <v>-1.864199376E-5</v>
      </c>
      <c r="F25">
        <v>-1.8040214910000001E-7</v>
      </c>
      <c r="G25">
        <v>-2.1086975280000002E-6</v>
      </c>
      <c r="H25">
        <v>-4.997477336E-6</v>
      </c>
    </row>
    <row r="26" spans="1:8" x14ac:dyDescent="0.2">
      <c r="A26" t="s">
        <v>267</v>
      </c>
      <c r="B26" t="s">
        <v>832</v>
      </c>
      <c r="C26">
        <v>-3.8307373459999997E-5</v>
      </c>
      <c r="D26">
        <v>-9.4533363560000001E-5</v>
      </c>
      <c r="E26">
        <v>-2.4636946820000001E-4</v>
      </c>
      <c r="F26">
        <v>-2.3235464269999998E-6</v>
      </c>
      <c r="G26">
        <v>-2.761245425E-5</v>
      </c>
      <c r="H26">
        <v>-6.1223800259999997E-5</v>
      </c>
    </row>
    <row r="27" spans="1:8" x14ac:dyDescent="0.2">
      <c r="A27" t="s">
        <v>281</v>
      </c>
      <c r="B27" t="s">
        <v>821</v>
      </c>
      <c r="C27">
        <v>-4.1592172870000003E-5</v>
      </c>
      <c r="D27">
        <v>-7.1291361980000003E-5</v>
      </c>
      <c r="E27">
        <v>-1.5521466189999999E-4</v>
      </c>
      <c r="F27">
        <v>-7.0837427770000003E-7</v>
      </c>
      <c r="G27">
        <v>-2.0865195210000001E-5</v>
      </c>
      <c r="H27">
        <v>-9.2818404689999995E-5</v>
      </c>
    </row>
    <row r="28" spans="1:8" x14ac:dyDescent="0.2">
      <c r="A28" t="s">
        <v>281</v>
      </c>
      <c r="B28" t="s">
        <v>828</v>
      </c>
      <c r="C28">
        <v>7.7260255199999996E-5</v>
      </c>
      <c r="D28">
        <v>1.2584375160000001E-4</v>
      </c>
      <c r="E28">
        <v>2.7438670890000001E-4</v>
      </c>
      <c r="F28">
        <v>1.2524035600000001E-6</v>
      </c>
      <c r="G28">
        <v>3.6889596610000002E-5</v>
      </c>
      <c r="H28">
        <v>1.6404248520000001E-4</v>
      </c>
    </row>
    <row r="29" spans="1:8" x14ac:dyDescent="0.2">
      <c r="A29" t="s">
        <v>281</v>
      </c>
      <c r="B29" t="s">
        <v>827</v>
      </c>
      <c r="C29">
        <v>-3.9236131429999999E-6</v>
      </c>
      <c r="D29">
        <v>-7.9189293830000001E-6</v>
      </c>
      <c r="E29">
        <v>-1.3515104989999999E-5</v>
      </c>
      <c r="F29">
        <v>0</v>
      </c>
      <c r="G29">
        <v>-1.775446097E-6</v>
      </c>
      <c r="H29">
        <v>-8.2103428450000003E-6</v>
      </c>
    </row>
    <row r="30" spans="1:8" x14ac:dyDescent="0.2">
      <c r="A30" t="s">
        <v>321</v>
      </c>
      <c r="B30" t="s">
        <v>821</v>
      </c>
      <c r="C30">
        <v>-8.9366627239999996</v>
      </c>
      <c r="D30">
        <v>-8.936656524</v>
      </c>
      <c r="E30">
        <v>-0.39787758150000002</v>
      </c>
      <c r="F30">
        <v>-6.6979480349999996</v>
      </c>
      <c r="G30">
        <v>-4.6316462339999998</v>
      </c>
      <c r="H30">
        <v>-3.8300165480000001</v>
      </c>
    </row>
    <row r="31" spans="1:8" x14ac:dyDescent="0.2">
      <c r="A31" t="s">
        <v>321</v>
      </c>
      <c r="B31" t="s">
        <v>825</v>
      </c>
      <c r="C31">
        <v>-13.221228379999999</v>
      </c>
      <c r="D31">
        <v>-13.221236429999999</v>
      </c>
      <c r="E31">
        <v>-0.58863763979999995</v>
      </c>
      <c r="F31">
        <v>-9.9091913009999999</v>
      </c>
      <c r="G31">
        <v>-6.8522282309999998</v>
      </c>
      <c r="H31">
        <v>-5.6662729829999998</v>
      </c>
    </row>
    <row r="32" spans="1:8" x14ac:dyDescent="0.2">
      <c r="A32" t="s">
        <v>321</v>
      </c>
      <c r="B32" t="s">
        <v>879</v>
      </c>
      <c r="C32">
        <v>29.369084000000001</v>
      </c>
      <c r="D32">
        <v>29.36910189</v>
      </c>
      <c r="E32">
        <v>1.3075750450000001</v>
      </c>
      <c r="F32">
        <v>22.011863300000002</v>
      </c>
      <c r="G32">
        <v>15.22125333</v>
      </c>
      <c r="H32">
        <v>12.58682192</v>
      </c>
    </row>
    <row r="33" spans="1:8" x14ac:dyDescent="0.2">
      <c r="A33" t="s">
        <v>321</v>
      </c>
      <c r="B33" t="s">
        <v>851</v>
      </c>
      <c r="C33">
        <v>-5.327060619E-7</v>
      </c>
      <c r="D33">
        <v>8.5073017029999999E-5</v>
      </c>
      <c r="E33">
        <v>8.5223762759999998E-5</v>
      </c>
      <c r="F33">
        <v>5.8038104469999997E-2</v>
      </c>
      <c r="G33">
        <v>1.5931010570000001E-4</v>
      </c>
      <c r="H33">
        <v>2.7458006680000001E-2</v>
      </c>
    </row>
    <row r="34" spans="1:8" x14ac:dyDescent="0.2">
      <c r="A34" t="s">
        <v>321</v>
      </c>
      <c r="B34" t="s">
        <v>880</v>
      </c>
      <c r="C34">
        <v>33.118381829999997</v>
      </c>
      <c r="D34">
        <v>33.11840213</v>
      </c>
      <c r="E34">
        <v>1.474501887</v>
      </c>
      <c r="F34">
        <v>24.821928270000001</v>
      </c>
      <c r="G34">
        <v>17.16441962</v>
      </c>
      <c r="H34">
        <v>14.193673049999999</v>
      </c>
    </row>
    <row r="35" spans="1:8" x14ac:dyDescent="0.2">
      <c r="A35" t="s">
        <v>321</v>
      </c>
      <c r="B35" t="s">
        <v>848</v>
      </c>
      <c r="C35">
        <v>0.16714851929999999</v>
      </c>
      <c r="D35">
        <v>0.16703837799999999</v>
      </c>
      <c r="E35">
        <v>7.2760179530000002E-3</v>
      </c>
      <c r="F35">
        <v>5.9767704640000002E-2</v>
      </c>
      <c r="G35">
        <v>8.6310756609999997E-2</v>
      </c>
      <c r="H35">
        <v>2.9010889870000001E-2</v>
      </c>
    </row>
    <row r="36" spans="1:8" x14ac:dyDescent="0.2">
      <c r="A36" t="s">
        <v>321</v>
      </c>
      <c r="B36" t="s">
        <v>852</v>
      </c>
      <c r="C36">
        <v>2.0307332679999999E-6</v>
      </c>
      <c r="D36">
        <v>9.1752440840000001E-5</v>
      </c>
      <c r="E36">
        <v>9.1490337709999999E-5</v>
      </c>
      <c r="F36">
        <v>7.4715392449999996E-3</v>
      </c>
      <c r="G36">
        <v>1.5952562669999999E-4</v>
      </c>
      <c r="H36">
        <v>1.5187189199999999E-2</v>
      </c>
    </row>
    <row r="37" spans="1:8" x14ac:dyDescent="0.2">
      <c r="A37" t="s">
        <v>338</v>
      </c>
      <c r="B37" t="s">
        <v>821</v>
      </c>
      <c r="C37">
        <v>-5.4638979680000004</v>
      </c>
      <c r="D37">
        <v>-2.409913494</v>
      </c>
      <c r="E37">
        <v>-4.0741548090000004</v>
      </c>
      <c r="F37">
        <v>-5.7884478619999999</v>
      </c>
      <c r="G37">
        <v>-8.0069585889999999</v>
      </c>
      <c r="H37">
        <v>-10.289072770000001</v>
      </c>
    </row>
    <row r="38" spans="1:8" x14ac:dyDescent="0.2">
      <c r="A38" t="s">
        <v>338</v>
      </c>
      <c r="B38" t="s">
        <v>826</v>
      </c>
      <c r="C38">
        <v>5.4638979709999997</v>
      </c>
      <c r="D38">
        <v>2.409913494</v>
      </c>
      <c r="E38">
        <v>4.0741548090000004</v>
      </c>
      <c r="F38">
        <v>5.7884478619999999</v>
      </c>
      <c r="G38">
        <v>8.0069585889999999</v>
      </c>
      <c r="H38">
        <v>10.289072770000001</v>
      </c>
    </row>
    <row r="39" spans="1:8" x14ac:dyDescent="0.2">
      <c r="A39" t="s">
        <v>367</v>
      </c>
      <c r="B39" t="s">
        <v>821</v>
      </c>
      <c r="C39">
        <v>-3.054454623E-6</v>
      </c>
      <c r="D39">
        <v>-6.6091386269999996E-6</v>
      </c>
      <c r="E39">
        <v>-4.0626248130000002</v>
      </c>
      <c r="F39">
        <v>-2.4921196149999998E-3</v>
      </c>
      <c r="G39">
        <v>-0.52209201569999997</v>
      </c>
      <c r="H39">
        <v>-0.34941353380000001</v>
      </c>
    </row>
    <row r="40" spans="1:8" x14ac:dyDescent="0.2">
      <c r="A40" t="s">
        <v>367</v>
      </c>
      <c r="B40" t="s">
        <v>825</v>
      </c>
      <c r="C40">
        <v>-7.8235003379999999E-7</v>
      </c>
      <c r="D40">
        <v>-3.4383363460000001E-6</v>
      </c>
      <c r="E40">
        <v>-1.0731232550000001</v>
      </c>
      <c r="F40">
        <v>-6.582815515E-4</v>
      </c>
      <c r="G40">
        <v>-0.13790811720000001</v>
      </c>
      <c r="H40">
        <v>-9.2296438849999995E-2</v>
      </c>
    </row>
    <row r="41" spans="1:8" x14ac:dyDescent="0.2">
      <c r="A41" t="s">
        <v>367</v>
      </c>
      <c r="B41" t="s">
        <v>827</v>
      </c>
      <c r="C41">
        <v>-3.5014164329999998E-6</v>
      </c>
      <c r="D41">
        <v>-1.3160003189999999E-5</v>
      </c>
      <c r="E41">
        <v>-4.1073077319999998</v>
      </c>
      <c r="F41">
        <v>-2.519528762E-3</v>
      </c>
      <c r="G41">
        <v>-0.52783412649999994</v>
      </c>
      <c r="H41">
        <v>-0.35325846789999998</v>
      </c>
    </row>
    <row r="42" spans="1:8" x14ac:dyDescent="0.2">
      <c r="A42" t="s">
        <v>367</v>
      </c>
      <c r="B42" t="s">
        <v>879</v>
      </c>
      <c r="C42">
        <v>1.7032370930000002E-5</v>
      </c>
      <c r="D42">
        <v>7.8147967799999994E-5</v>
      </c>
      <c r="E42">
        <v>24.390400809999999</v>
      </c>
      <c r="F42">
        <v>1.49617025E-2</v>
      </c>
      <c r="G42">
        <v>3.1344342200000002</v>
      </c>
      <c r="H42">
        <v>2.0977526360000001</v>
      </c>
    </row>
    <row r="43" spans="1:8" x14ac:dyDescent="0.2">
      <c r="A43" t="s">
        <v>367</v>
      </c>
      <c r="B43" t="s">
        <v>851</v>
      </c>
      <c r="C43">
        <v>-5.5598440419999996E-7</v>
      </c>
      <c r="D43">
        <v>2.1188283210000002E-5</v>
      </c>
      <c r="E43">
        <v>1.109301294E-4</v>
      </c>
      <c r="F43">
        <v>2.977547433E-5</v>
      </c>
      <c r="G43">
        <v>5.9296705560000002E-5</v>
      </c>
      <c r="H43">
        <v>4.4078848020000002E-3</v>
      </c>
    </row>
    <row r="44" spans="1:8" x14ac:dyDescent="0.2">
      <c r="A44" t="s">
        <v>367</v>
      </c>
      <c r="B44" t="s">
        <v>880</v>
      </c>
      <c r="C44">
        <v>1.8076184119999999E-5</v>
      </c>
      <c r="D44">
        <v>8.8124445660000005E-5</v>
      </c>
      <c r="E44">
        <v>27.504113180000001</v>
      </c>
      <c r="F44">
        <v>1.687173417E-2</v>
      </c>
      <c r="G44">
        <v>3.5345804350000001</v>
      </c>
      <c r="H44">
        <v>2.3655546439999999</v>
      </c>
    </row>
    <row r="45" spans="1:8" x14ac:dyDescent="0.2">
      <c r="A45" t="s">
        <v>367</v>
      </c>
      <c r="B45" t="s">
        <v>848</v>
      </c>
      <c r="C45">
        <v>6.0853168060000004E-7</v>
      </c>
      <c r="D45">
        <v>2.3823315330000001E-5</v>
      </c>
      <c r="E45">
        <v>0.13856875909999999</v>
      </c>
      <c r="F45">
        <v>3.0075944240000001E-5</v>
      </c>
      <c r="G45">
        <v>1.7720600669999999E-2</v>
      </c>
      <c r="H45">
        <v>4.623795117E-3</v>
      </c>
    </row>
    <row r="46" spans="1:8" x14ac:dyDescent="0.2">
      <c r="A46" t="s">
        <v>367</v>
      </c>
      <c r="B46" t="s">
        <v>852</v>
      </c>
      <c r="C46">
        <v>3.0752030440000001E-7</v>
      </c>
      <c r="D46">
        <v>2.0625746770000001E-5</v>
      </c>
      <c r="E46">
        <v>1.456189732E-4</v>
      </c>
      <c r="F46">
        <v>2.5301668190000001E-5</v>
      </c>
      <c r="G46">
        <v>5.9305928389999997E-5</v>
      </c>
      <c r="H46">
        <v>2.9273796930000002E-3</v>
      </c>
    </row>
    <row r="47" spans="1:8" x14ac:dyDescent="0.2">
      <c r="A47" t="s">
        <v>385</v>
      </c>
      <c r="B47" t="s">
        <v>821</v>
      </c>
      <c r="C47">
        <v>-13.05493237</v>
      </c>
      <c r="D47">
        <v>-12.96000029</v>
      </c>
      <c r="E47">
        <v>-13.094999830000001</v>
      </c>
      <c r="F47">
        <v>-13.09499999</v>
      </c>
      <c r="G47">
        <v>0</v>
      </c>
      <c r="H47">
        <v>0</v>
      </c>
    </row>
    <row r="48" spans="1:8" x14ac:dyDescent="0.2">
      <c r="A48" t="s">
        <v>385</v>
      </c>
      <c r="B48" t="s">
        <v>889</v>
      </c>
      <c r="C48">
        <v>37.384387340000004</v>
      </c>
      <c r="D48">
        <v>37.112708720000001</v>
      </c>
      <c r="E48">
        <v>37.414295729999999</v>
      </c>
      <c r="F48">
        <v>37.414285679999999</v>
      </c>
      <c r="G48">
        <v>0</v>
      </c>
      <c r="H48">
        <v>0</v>
      </c>
    </row>
    <row r="49" spans="1:8" x14ac:dyDescent="0.2">
      <c r="A49" t="s">
        <v>455</v>
      </c>
      <c r="B49" t="s">
        <v>821</v>
      </c>
      <c r="C49">
        <v>-8.6906631189999998E-7</v>
      </c>
      <c r="D49">
        <v>-1.4112662250000001</v>
      </c>
      <c r="E49">
        <v>-0.62378281270000002</v>
      </c>
      <c r="F49">
        <v>-0.401250314</v>
      </c>
      <c r="G49">
        <v>-0.38772621019999998</v>
      </c>
      <c r="H49">
        <v>-0.46953779559999997</v>
      </c>
    </row>
    <row r="50" spans="1:8" x14ac:dyDescent="0.2">
      <c r="A50" t="s">
        <v>455</v>
      </c>
      <c r="B50" t="s">
        <v>832</v>
      </c>
      <c r="C50">
        <v>-2.0768453290000002E-6</v>
      </c>
      <c r="D50">
        <v>-3.384331113</v>
      </c>
      <c r="E50">
        <v>-1.495881985</v>
      </c>
      <c r="F50">
        <v>-0.96223096870000002</v>
      </c>
      <c r="G50">
        <v>-0.9297990652</v>
      </c>
      <c r="H50">
        <v>-1.1259898070000001</v>
      </c>
    </row>
    <row r="51" spans="1:8" x14ac:dyDescent="0.2">
      <c r="A51" t="s">
        <v>455</v>
      </c>
      <c r="B51" t="s">
        <v>867</v>
      </c>
      <c r="C51">
        <v>1.582493798E-6</v>
      </c>
      <c r="D51">
        <v>0.13121456510000001</v>
      </c>
      <c r="E51">
        <v>5.9088119799999998E-2</v>
      </c>
      <c r="F51">
        <v>2.6905601719999998E-2</v>
      </c>
      <c r="G51">
        <v>2.3280687550000002E-2</v>
      </c>
      <c r="H51">
        <v>0.4108270785</v>
      </c>
    </row>
    <row r="52" spans="1:8" x14ac:dyDescent="0.2">
      <c r="A52" t="s">
        <v>455</v>
      </c>
      <c r="B52" t="s">
        <v>858</v>
      </c>
      <c r="C52">
        <v>1.891731011E-6</v>
      </c>
      <c r="D52">
        <v>5.5104617429999996</v>
      </c>
      <c r="E52">
        <v>2.4345455669999998</v>
      </c>
      <c r="F52">
        <v>1.5771333380000001</v>
      </c>
      <c r="G52">
        <v>1.526684428</v>
      </c>
      <c r="H52">
        <v>1.448725472</v>
      </c>
    </row>
    <row r="53" spans="1:8" x14ac:dyDescent="0.2">
      <c r="A53" t="s">
        <v>455</v>
      </c>
      <c r="B53" t="s">
        <v>868</v>
      </c>
      <c r="C53">
        <v>0</v>
      </c>
      <c r="D53">
        <v>4.0029305130000003E-6</v>
      </c>
      <c r="E53">
        <v>1.6391242979999999E-6</v>
      </c>
      <c r="F53">
        <v>0</v>
      </c>
      <c r="G53">
        <v>9.9263140289999993E-6</v>
      </c>
      <c r="H53">
        <v>1.7472563069999999E-2</v>
      </c>
    </row>
    <row r="54" spans="1:8" x14ac:dyDescent="0.2">
      <c r="A54" t="s">
        <v>509</v>
      </c>
      <c r="B54" t="s">
        <v>821</v>
      </c>
      <c r="C54">
        <v>0</v>
      </c>
      <c r="D54">
        <v>-0.74037551889999997</v>
      </c>
      <c r="E54">
        <v>-1.7149626440000001</v>
      </c>
      <c r="F54">
        <v>-2.7191820280000001</v>
      </c>
      <c r="G54">
        <v>-4.043119237</v>
      </c>
      <c r="H54">
        <v>-5.4053438549999999</v>
      </c>
    </row>
    <row r="55" spans="1:8" x14ac:dyDescent="0.2">
      <c r="A55" t="s">
        <v>509</v>
      </c>
      <c r="B55" t="s">
        <v>826</v>
      </c>
      <c r="C55">
        <v>0</v>
      </c>
      <c r="D55">
        <v>0.74039395090000004</v>
      </c>
      <c r="E55">
        <v>1.714965804</v>
      </c>
      <c r="F55">
        <v>2.7191820280000001</v>
      </c>
      <c r="G55">
        <v>4.0431192439999997</v>
      </c>
      <c r="H55">
        <v>5.4053496799999996</v>
      </c>
    </row>
    <row r="56" spans="1:8" x14ac:dyDescent="0.2">
      <c r="A56" t="s">
        <v>518</v>
      </c>
      <c r="B56" t="s">
        <v>821</v>
      </c>
      <c r="C56">
        <v>-8.4790475930000007</v>
      </c>
      <c r="D56">
        <v>-9.0054607420000004</v>
      </c>
      <c r="E56">
        <v>-6.9197504309999998</v>
      </c>
      <c r="F56">
        <v>-14.999999409999999</v>
      </c>
      <c r="G56">
        <v>-10.014769510000001</v>
      </c>
      <c r="H56">
        <v>-48.583176280000004</v>
      </c>
    </row>
    <row r="57" spans="1:8" x14ac:dyDescent="0.2">
      <c r="A57" t="s">
        <v>518</v>
      </c>
      <c r="B57" t="s">
        <v>826</v>
      </c>
      <c r="C57">
        <v>8.4790475870000002</v>
      </c>
      <c r="D57">
        <v>9.0054607420000004</v>
      </c>
      <c r="E57">
        <v>6.9197504309999998</v>
      </c>
      <c r="F57">
        <v>14.999999409999999</v>
      </c>
      <c r="G57">
        <v>10.014769510000001</v>
      </c>
      <c r="H57">
        <v>48.583176280000004</v>
      </c>
    </row>
    <row r="58" spans="1:8" x14ac:dyDescent="0.2">
      <c r="A58" t="s">
        <v>589</v>
      </c>
      <c r="B58" t="s">
        <v>821</v>
      </c>
      <c r="C58">
        <v>-16.693565060000001</v>
      </c>
      <c r="D58">
        <v>-0.55993748929999998</v>
      </c>
      <c r="E58">
        <v>-2.2626819669999998</v>
      </c>
      <c r="F58">
        <v>-1.2380345699999999</v>
      </c>
      <c r="G58">
        <v>-0.67958162349999995</v>
      </c>
      <c r="H58">
        <v>-0.68458996029999997</v>
      </c>
    </row>
    <row r="59" spans="1:8" x14ac:dyDescent="0.2">
      <c r="A59" t="s">
        <v>589</v>
      </c>
      <c r="B59" t="s">
        <v>828</v>
      </c>
      <c r="C59">
        <v>46.73839332</v>
      </c>
      <c r="D59">
        <v>1.560740432</v>
      </c>
      <c r="E59">
        <v>6.2975763120000003</v>
      </c>
      <c r="F59">
        <v>4.325098605</v>
      </c>
      <c r="G59">
        <v>2.399033229</v>
      </c>
      <c r="H59">
        <v>2.444965646</v>
      </c>
    </row>
    <row r="60" spans="1:8" x14ac:dyDescent="0.2">
      <c r="A60" t="s">
        <v>589</v>
      </c>
      <c r="B60" t="s">
        <v>825</v>
      </c>
      <c r="C60">
        <v>-20.617492980000002</v>
      </c>
      <c r="D60">
        <v>-0.68849823050000003</v>
      </c>
      <c r="E60">
        <v>-2.7779358360000002</v>
      </c>
      <c r="F60">
        <v>-2.3947436459999998</v>
      </c>
      <c r="G60">
        <v>-1.392591001</v>
      </c>
      <c r="H60">
        <v>-1.491429313</v>
      </c>
    </row>
    <row r="61" spans="1:8" x14ac:dyDescent="0.2">
      <c r="A61" t="s">
        <v>666</v>
      </c>
      <c r="B61" t="s">
        <v>821</v>
      </c>
      <c r="C61">
        <v>-5.1361837935969497E-2</v>
      </c>
      <c r="D61">
        <v>-5.4963370389999999E-3</v>
      </c>
      <c r="E61">
        <v>-2.6997655700000001E-3</v>
      </c>
      <c r="F61">
        <v>-1.57474154E-3</v>
      </c>
      <c r="G61">
        <v>-3.2467666179999998E-5</v>
      </c>
      <c r="H61">
        <v>-7.3709300460000001E-5</v>
      </c>
    </row>
    <row r="62" spans="1:8" x14ac:dyDescent="0.2">
      <c r="A62" t="s">
        <v>666</v>
      </c>
      <c r="B62" t="s">
        <v>828</v>
      </c>
      <c r="C62">
        <v>0.10272362037193949</v>
      </c>
      <c r="D62">
        <v>1.099241447E-2</v>
      </c>
      <c r="E62">
        <v>5.3994884149999997E-3</v>
      </c>
      <c r="F62">
        <v>3.1494830769999999E-3</v>
      </c>
      <c r="G62">
        <v>6.4935243139999996E-5</v>
      </c>
      <c r="H62">
        <v>1.4733988450000001E-4</v>
      </c>
    </row>
    <row r="63" spans="1:8" x14ac:dyDescent="0.2">
      <c r="A63" t="s">
        <v>666</v>
      </c>
      <c r="B63" t="s">
        <v>825</v>
      </c>
      <c r="C63">
        <v>-4.1090147785979997E-2</v>
      </c>
      <c r="D63">
        <v>-4.4012233070000002E-3</v>
      </c>
      <c r="E63">
        <v>-2.1605046139999999E-3</v>
      </c>
      <c r="F63">
        <v>-1.2597932779999999E-3</v>
      </c>
      <c r="G63">
        <v>-2.597557816E-5</v>
      </c>
      <c r="H63">
        <v>-6.0242647249999999E-5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Energy input per carrier</vt:lpstr>
      <vt:lpstr>IND</vt:lpstr>
      <vt:lpstr>Tech, Carrier &amp; Sector by Year</vt:lpstr>
      <vt:lpstr>Electricity &amp; Heat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Elberry</dc:creator>
  <cp:lastModifiedBy>Ahmed Elberry</cp:lastModifiedBy>
  <dcterms:created xsi:type="dcterms:W3CDTF">2024-03-01T13:50:14Z</dcterms:created>
  <dcterms:modified xsi:type="dcterms:W3CDTF">2025-10-12T10:55:07Z</dcterms:modified>
</cp:coreProperties>
</file>