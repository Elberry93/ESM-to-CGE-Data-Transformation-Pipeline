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suni-my.sharepoint.com/personal/a_m_a_i_elberry_uva_nl/Documents/GEM-E3/Linking/"/>
    </mc:Choice>
  </mc:AlternateContent>
  <xr:revisionPtr revIDLastSave="412" documentId="11_F543E26BE806B8F8E14EC378962C0B79645979BC" xr6:coauthVersionLast="47" xr6:coauthVersionMax="47" xr10:uidLastSave="{9A723514-2CC0-944B-8D42-9F9CE8F0FD5D}"/>
  <bookViews>
    <workbookView xWindow="4320" yWindow="620" windowWidth="24460" windowHeight="15820" activeTab="2" xr2:uid="{00000000-000D-0000-FFFF-FFFF00000000}"/>
  </bookViews>
  <sheets>
    <sheet name="Final_Investments_Multiplied" sheetId="10" r:id="rId1"/>
    <sheet name="Aggregated_By_Sector" sheetId="11" r:id="rId2"/>
    <sheet name="IND" sheetId="12" r:id="rId3"/>
    <sheet name="info" sheetId="13" r:id="rId4"/>
  </sheets>
  <definedNames>
    <definedName name="_xlnm._FilterDatabase" localSheetId="1" hidden="1">Aggregated_By_Sector!$A$1:$B$381</definedName>
    <definedName name="_xlnm._FilterDatabase" localSheetId="0" hidden="1">Final_Investments_Multiplied!$A$1:$I$2230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8" i="12" l="1"/>
  <c r="G98" i="12"/>
  <c r="H98" i="12"/>
  <c r="I98" i="12"/>
  <c r="J98" i="12"/>
  <c r="E98" i="12"/>
  <c r="F86" i="12"/>
  <c r="G86" i="12"/>
  <c r="H86" i="12"/>
  <c r="I86" i="12"/>
  <c r="J86" i="12"/>
  <c r="E86" i="12"/>
  <c r="F74" i="12"/>
  <c r="G74" i="12"/>
  <c r="H74" i="12"/>
  <c r="I74" i="12"/>
  <c r="J74" i="12"/>
  <c r="E74" i="12"/>
  <c r="F27" i="12"/>
  <c r="G27" i="12"/>
  <c r="H27" i="12"/>
  <c r="I27" i="12"/>
  <c r="J27" i="12"/>
  <c r="E27" i="12"/>
  <c r="F63" i="12"/>
  <c r="G63" i="12"/>
  <c r="H63" i="12"/>
  <c r="I63" i="12"/>
  <c r="J63" i="12"/>
  <c r="E63" i="12"/>
  <c r="F64" i="12"/>
  <c r="G64" i="12"/>
  <c r="H64" i="12"/>
  <c r="I64" i="12"/>
  <c r="J64" i="12"/>
  <c r="E64" i="12"/>
  <c r="F155" i="12"/>
  <c r="G155" i="12"/>
  <c r="H155" i="12"/>
  <c r="I155" i="12"/>
  <c r="J155" i="12"/>
  <c r="E155" i="12"/>
  <c r="F151" i="12"/>
  <c r="G151" i="12"/>
  <c r="H151" i="12"/>
  <c r="I151" i="12"/>
  <c r="J151" i="12"/>
  <c r="E151" i="12"/>
  <c r="F115" i="12"/>
  <c r="G115" i="12"/>
  <c r="H115" i="12"/>
  <c r="I115" i="12"/>
  <c r="J115" i="12"/>
  <c r="F116" i="12"/>
  <c r="G116" i="12"/>
  <c r="H116" i="12"/>
  <c r="I116" i="12"/>
  <c r="J116" i="12"/>
  <c r="E115" i="12"/>
  <c r="F109" i="12"/>
  <c r="G109" i="12"/>
  <c r="H109" i="12"/>
  <c r="I109" i="12"/>
  <c r="J109" i="12"/>
  <c r="F108" i="12"/>
  <c r="G108" i="12"/>
  <c r="H108" i="12"/>
  <c r="I108" i="12"/>
  <c r="J108" i="12"/>
  <c r="E108" i="12"/>
  <c r="F51" i="12"/>
  <c r="G51" i="12"/>
  <c r="H51" i="12"/>
  <c r="I51" i="12"/>
  <c r="J51" i="12"/>
  <c r="E51" i="12"/>
  <c r="F107" i="12"/>
  <c r="G107" i="12"/>
  <c r="H107" i="12"/>
  <c r="I107" i="12"/>
  <c r="J107" i="12"/>
  <c r="E107" i="12"/>
  <c r="E109" i="12"/>
  <c r="F40" i="12"/>
  <c r="G40" i="12"/>
  <c r="H40" i="12"/>
  <c r="I40" i="12"/>
  <c r="J40" i="12"/>
  <c r="F41" i="12"/>
  <c r="G41" i="12"/>
  <c r="H41" i="12"/>
  <c r="I41" i="12"/>
  <c r="J41" i="12"/>
  <c r="F28" i="12"/>
  <c r="G28" i="12"/>
  <c r="H28" i="12"/>
  <c r="I28" i="12"/>
  <c r="J28" i="12"/>
  <c r="F35" i="12"/>
  <c r="G35" i="12"/>
  <c r="H35" i="12"/>
  <c r="I35" i="12"/>
  <c r="J35" i="12"/>
  <c r="E35" i="12"/>
  <c r="J58" i="12"/>
  <c r="F140" i="12"/>
  <c r="G140" i="12"/>
  <c r="H140" i="12"/>
  <c r="I140" i="12"/>
  <c r="J140" i="12"/>
  <c r="E140" i="12"/>
  <c r="F139" i="12"/>
  <c r="G139" i="12"/>
  <c r="H139" i="12"/>
  <c r="I139" i="12"/>
  <c r="J139" i="12"/>
  <c r="E139" i="12"/>
  <c r="J128" i="12"/>
  <c r="K128" i="12" s="1"/>
  <c r="F128" i="12"/>
  <c r="G128" i="12"/>
  <c r="H128" i="12"/>
  <c r="I128" i="12"/>
  <c r="E128" i="12"/>
  <c r="F110" i="12"/>
  <c r="G110" i="12"/>
  <c r="H110" i="12"/>
  <c r="I110" i="12"/>
  <c r="J110" i="12"/>
  <c r="E110" i="12"/>
  <c r="F120" i="12" l="1"/>
  <c r="G120" i="12"/>
  <c r="H120" i="12"/>
  <c r="I120" i="12"/>
  <c r="J120" i="12"/>
  <c r="E120" i="12"/>
  <c r="F117" i="12"/>
  <c r="G117" i="12"/>
  <c r="H117" i="12"/>
  <c r="I117" i="12"/>
  <c r="E117" i="12"/>
  <c r="F114" i="12"/>
  <c r="G114" i="12"/>
  <c r="H114" i="12"/>
  <c r="I114" i="12"/>
  <c r="J114" i="12"/>
  <c r="K114" i="12" s="1"/>
  <c r="E114" i="12"/>
  <c r="F123" i="12"/>
  <c r="G123" i="12"/>
  <c r="H123" i="12"/>
  <c r="I123" i="12"/>
  <c r="J123" i="12"/>
  <c r="E123" i="12"/>
  <c r="F122" i="12"/>
  <c r="G122" i="12"/>
  <c r="H122" i="12"/>
  <c r="I122" i="12"/>
  <c r="J122" i="12"/>
  <c r="E122" i="12"/>
  <c r="J119" i="12"/>
  <c r="F119" i="12"/>
  <c r="G119" i="12"/>
  <c r="H119" i="12"/>
  <c r="I119" i="12"/>
  <c r="E119" i="12"/>
  <c r="F118" i="12"/>
  <c r="G118" i="12"/>
  <c r="H118" i="12"/>
  <c r="I118" i="12"/>
  <c r="J118" i="12"/>
  <c r="E118" i="12"/>
  <c r="E116" i="12"/>
  <c r="F99" i="12" l="1"/>
  <c r="G99" i="12"/>
  <c r="H99" i="12"/>
  <c r="I99" i="12"/>
  <c r="J99" i="12"/>
  <c r="E99" i="12"/>
  <c r="K100" i="12" s="1"/>
  <c r="F87" i="12"/>
  <c r="G87" i="12"/>
  <c r="H87" i="12"/>
  <c r="I87" i="12"/>
  <c r="J87" i="12"/>
  <c r="E87" i="12"/>
  <c r="F75" i="12"/>
  <c r="G75" i="12"/>
  <c r="H75" i="12"/>
  <c r="I75" i="12"/>
  <c r="J75" i="12"/>
  <c r="E75" i="12"/>
  <c r="F58" i="12"/>
  <c r="G58" i="12"/>
  <c r="H58" i="12"/>
  <c r="I58" i="12"/>
  <c r="E58" i="12"/>
  <c r="F52" i="12"/>
  <c r="G52" i="12"/>
  <c r="H52" i="12"/>
  <c r="I52" i="12"/>
  <c r="J52" i="12"/>
  <c r="E52" i="12"/>
  <c r="E41" i="12"/>
  <c r="E40" i="12"/>
  <c r="E28" i="12"/>
  <c r="K28" i="12" s="1"/>
  <c r="F16" i="12"/>
  <c r="G16" i="12"/>
  <c r="H16" i="12"/>
  <c r="I16" i="12"/>
  <c r="J16" i="12"/>
  <c r="F17" i="12"/>
  <c r="G17" i="12"/>
  <c r="H17" i="12"/>
  <c r="I17" i="12"/>
  <c r="J17" i="12"/>
  <c r="E17" i="12"/>
  <c r="E16" i="12"/>
  <c r="F5" i="12"/>
  <c r="G5" i="12"/>
  <c r="H5" i="12"/>
  <c r="I5" i="12"/>
  <c r="J5" i="12"/>
  <c r="F6" i="12"/>
  <c r="G6" i="12"/>
  <c r="H6" i="12"/>
  <c r="I6" i="12"/>
  <c r="J6" i="12"/>
  <c r="E6" i="12"/>
  <c r="E5" i="12"/>
  <c r="K87" i="12" l="1"/>
  <c r="K51" i="12"/>
  <c r="K40" i="12"/>
  <c r="M123" i="12" l="1"/>
  <c r="K122" i="12"/>
  <c r="K121" i="12"/>
  <c r="K120" i="12"/>
  <c r="K119" i="12"/>
  <c r="K118" i="12"/>
  <c r="M118" i="12"/>
  <c r="O116" i="12"/>
  <c r="K116" i="12"/>
  <c r="K115" i="12"/>
  <c r="N113" i="12"/>
  <c r="L113" i="12"/>
  <c r="K112" i="12"/>
  <c r="N109" i="12"/>
  <c r="K75" i="12"/>
  <c r="L120" i="12" l="1"/>
  <c r="Q113" i="12"/>
  <c r="Q114" i="12"/>
  <c r="L123" i="12"/>
  <c r="M116" i="12"/>
  <c r="M113" i="12"/>
  <c r="M114" i="12"/>
  <c r="N120" i="12"/>
  <c r="O115" i="12"/>
  <c r="P117" i="12"/>
  <c r="O114" i="12"/>
  <c r="O120" i="12"/>
  <c r="P116" i="12"/>
  <c r="Q117" i="12"/>
  <c r="M122" i="12"/>
  <c r="O123" i="12"/>
  <c r="P114" i="12"/>
  <c r="L118" i="12"/>
  <c r="N122" i="12"/>
  <c r="P123" i="12"/>
  <c r="N116" i="12"/>
  <c r="Q123" i="12"/>
  <c r="L114" i="12"/>
  <c r="L121" i="12"/>
  <c r="N119" i="12"/>
  <c r="O122" i="12"/>
  <c r="L112" i="12"/>
  <c r="L115" i="12"/>
  <c r="N118" i="12"/>
  <c r="O119" i="12"/>
  <c r="Q120" i="12"/>
  <c r="P122" i="12"/>
  <c r="K123" i="12"/>
  <c r="P119" i="12"/>
  <c r="M112" i="12"/>
  <c r="O113" i="12"/>
  <c r="M115" i="12"/>
  <c r="K117" i="12"/>
  <c r="Q119" i="12"/>
  <c r="M121" i="12"/>
  <c r="P112" i="12"/>
  <c r="N117" i="12"/>
  <c r="L119" i="12"/>
  <c r="P121" i="12"/>
  <c r="N123" i="12"/>
  <c r="P113" i="12"/>
  <c r="N115" i="12"/>
  <c r="Q116" i="12"/>
  <c r="M120" i="12"/>
  <c r="M117" i="12"/>
  <c r="O121" i="12"/>
  <c r="Q112" i="12"/>
  <c r="N114" i="12"/>
  <c r="Q115" i="12"/>
  <c r="L116" i="12"/>
  <c r="O117" i="12"/>
  <c r="M119" i="12"/>
  <c r="P120" i="12"/>
  <c r="Q121" i="12"/>
  <c r="L122" i="12"/>
  <c r="N121" i="12"/>
  <c r="O112" i="12"/>
  <c r="P118" i="12"/>
  <c r="Q118" i="12"/>
  <c r="N112" i="12"/>
  <c r="L117" i="12"/>
  <c r="O118" i="12"/>
  <c r="Q122" i="12"/>
  <c r="P115" i="12"/>
</calcChain>
</file>

<file path=xl/sharedStrings.xml><?xml version="1.0" encoding="utf-8"?>
<sst xmlns="http://schemas.openxmlformats.org/spreadsheetml/2006/main" count="8282" uniqueCount="1029">
  <si>
    <t>Technology</t>
  </si>
  <si>
    <t>Investments</t>
  </si>
  <si>
    <t>913 Mono manure AD Green gas</t>
  </si>
  <si>
    <t>985 Lignocellulosic ethanol production</t>
  </si>
  <si>
    <t>986 Ethanol uit biomassa (starch) 2011</t>
  </si>
  <si>
    <t>987 Ethanol uit biomassa (suiker) 2011</t>
  </si>
  <si>
    <t>993 H2 uit olievergassing met CCS 2011</t>
  </si>
  <si>
    <t>996 H2 uit biomassavergassing CCS 2011</t>
  </si>
  <si>
    <t>998 H2 uit biomassavergassing 2011</t>
  </si>
  <si>
    <t>999 H2 uit SMR met CCS 2011</t>
  </si>
  <si>
    <t>1003 Micro-WKK Brandstofcel 2011 (WB nieuwbouw)</t>
  </si>
  <si>
    <t>1010 Micro-WKK Brandstofcel 2011 (WB bestaande bouw)</t>
  </si>
  <si>
    <t>1012 Solar-PV Residential</t>
  </si>
  <si>
    <t>1013 Biomassavergassing met CCS 7000u 2011</t>
  </si>
  <si>
    <t>1016 ATR with CC</t>
  </si>
  <si>
    <t>1017 Kolenvergassing CCS 7000u eDesign 2011</t>
  </si>
  <si>
    <t>1020 Solar thermal - Services</t>
  </si>
  <si>
    <t>1021 Micro WKK brandstofcel Utiliteitsbouw eDesign 2011</t>
  </si>
  <si>
    <t>1022 Soil heat pump - Services</t>
  </si>
  <si>
    <t>1023 Ground water heat pump - Services</t>
  </si>
  <si>
    <t>1024 Hybride WP ketel Utiliteitsbouw eDesign 2011</t>
  </si>
  <si>
    <t>1027 REF HR-107 - Services</t>
  </si>
  <si>
    <t>1029 Solar thermal - Newly built - Residential</t>
  </si>
  <si>
    <t>1035 REF HR-107 - Existing - Residential</t>
  </si>
  <si>
    <t>1037 REF HR-107 - Newly built - Residential</t>
  </si>
  <si>
    <t>1039 Solar thermal - Existing - Residential</t>
  </si>
  <si>
    <t>1042 Wind op Zee band 1</t>
  </si>
  <si>
    <t>1043 REF H2 uit SMR 2011</t>
  </si>
  <si>
    <t>1044 Ketels SHT kolen eDesign 2011</t>
  </si>
  <si>
    <t>1045 Hydrogen Medium Temp Boilers - Industry</t>
  </si>
  <si>
    <t>1046 Hot water electric boiler - Industry</t>
  </si>
  <si>
    <t>1047 Electric Industrial Heat Pump - Industry</t>
  </si>
  <si>
    <t>1048 Natural Gas Industrial Heat Pump - Industry</t>
  </si>
  <si>
    <t>1049 WKK biomassa (vloeibaar) eDesign 2011</t>
  </si>
  <si>
    <t>1050 WKK biomassa (vloeibaar) CCS eDesign 2011</t>
  </si>
  <si>
    <t>1051 WKK biomassa (vast) CCS eDesign 2011</t>
  </si>
  <si>
    <t>1052 WKK gas CCS eDesign 2011</t>
  </si>
  <si>
    <t>1053 WKK biomassa (vast) Industrie</t>
  </si>
  <si>
    <t>1054 WKK gas eDesign 2011</t>
  </si>
  <si>
    <t>1055 Ketels LT biomassa CCS eDesign 2011</t>
  </si>
  <si>
    <t>1056 Coal boiler 100-200C - Industry</t>
  </si>
  <si>
    <t>1057 Ketels LT aardgas CCS eDesign 2011</t>
  </si>
  <si>
    <t>1059 Ketels LT kolen eDesign 2011</t>
  </si>
  <si>
    <t>1060 Natural Gas Low Temp Boilers - Industry</t>
  </si>
  <si>
    <t>1061 Boilers HT biomass CCS eDesign 2011</t>
  </si>
  <si>
    <t>1062 Ketels HT kolen CCS eDesign 2011</t>
  </si>
  <si>
    <t>1063 NG DF 200-400C - Industry</t>
  </si>
  <si>
    <t>1064 Biomass Medium Temp Boilers - Industry</t>
  </si>
  <si>
    <t>1065 Natural Gas Medium Temp Boilers - Industry</t>
  </si>
  <si>
    <t>1066 Ketels HT kolen eDesign 2011</t>
  </si>
  <si>
    <t>1067 Ketels SHT biomassa CCS eDesign 2011</t>
  </si>
  <si>
    <t>1068 Ketels SHT kolen CCS eDesign 2011</t>
  </si>
  <si>
    <t>1069 NG DF 200-400C  - Industrie</t>
  </si>
  <si>
    <t>1070 Natural Gas DF &gt; 400 C - Industry</t>
  </si>
  <si>
    <t>1071 Biomass High Temp Boilers - Industry</t>
  </si>
  <si>
    <t>1072 REF Ketels aardgas industrie eDesign 2011</t>
  </si>
  <si>
    <t>1073 REF WKK gas eDesign 2011</t>
  </si>
  <si>
    <t>1083 REF Steam Cracking (conventional)</t>
  </si>
  <si>
    <t>1090 Wind op Land band 1</t>
  </si>
  <si>
    <t>1094 Poederkool verbranding 7000u eDesign 2011</t>
  </si>
  <si>
    <t>1096 Gasverbranding STEG CCS 7000u eDesign 2011</t>
  </si>
  <si>
    <t>1098 Biomassavergassing 7000u eDesign 2011</t>
  </si>
  <si>
    <t>1099 REF Poederkool verbranding 7000u eDesign 2011</t>
  </si>
  <si>
    <t>1101 REF natural gas CCGT</t>
  </si>
  <si>
    <t>1102 REF Biomassameestook 7000u eDesign 2011</t>
  </si>
  <si>
    <t>1107 Biomassameestook 7000u eDesign 2011</t>
  </si>
  <si>
    <t>1108 Natural gas CCGT</t>
  </si>
  <si>
    <t>1110 Biomassameestook CCS 7000u eDesign 2011</t>
  </si>
  <si>
    <t>1111 Landbouw Geothermie eDesign 2011</t>
  </si>
  <si>
    <t>1113 Landbouw Biomassaketel eDesign 2011</t>
  </si>
  <si>
    <t>1114 Landbouw WKO met warmtepomp eDesign 2011</t>
  </si>
  <si>
    <t>1117 Kleinschalige biomassaverbranding 7000u eDesign 2011</t>
  </si>
  <si>
    <t>1118 Gasturbine 250u eDesign 2011</t>
  </si>
  <si>
    <t>1133 Groen aardgas Huishoudens</t>
  </si>
  <si>
    <t>1134 Groen aardgas industrie</t>
  </si>
  <si>
    <t>1135 Groen aardgas HDO</t>
  </si>
  <si>
    <t>1136 Groen aardgas landbouw</t>
  </si>
  <si>
    <t>1137 Groen aardgas elektriciteitsopwekking</t>
  </si>
  <si>
    <t>1138 Groen aardgas verkeer</t>
  </si>
  <si>
    <t>1156 REF Final Electricity Demand  - Industry</t>
  </si>
  <si>
    <t>1157 REF Final  Heat Demand - Industry</t>
  </si>
  <si>
    <t>1159 REF Ketels rest industrie ebalans</t>
  </si>
  <si>
    <t>1161 REF NonEn industrie ebalans</t>
  </si>
  <si>
    <t>1212 REF Elektricteit HT transmissielijn</t>
  </si>
  <si>
    <t>1213 REF Elektriciteit MT transmissielijn</t>
  </si>
  <si>
    <t>1214 REF Elektricteit HT to MT transformator</t>
  </si>
  <si>
    <t>1215 REF Elektricteit MT to HT transformator</t>
  </si>
  <si>
    <t>1216 REF finale electriciteitsvraag huishoudens</t>
  </si>
  <si>
    <t>1217 REF finale warmtevraag huishoudens</t>
  </si>
  <si>
    <t>1219 REF Ketels rest huishoudens ebalans</t>
  </si>
  <si>
    <t>1220 REF Ketels aardgas huishoudens ebalans</t>
  </si>
  <si>
    <t>1222 REF finale electriciteitsvraag HDO</t>
  </si>
  <si>
    <t>1223 REF finale warmtevraag HDO</t>
  </si>
  <si>
    <t>1225 REF Ketels rest HDO ebalans</t>
  </si>
  <si>
    <t>1226 REF Ketels aardgas HDO ebalans</t>
  </si>
  <si>
    <t>1228 REF finale electriciteitsvraag Landbouw</t>
  </si>
  <si>
    <t>1229 REF finale warmtevraag Landbouw</t>
  </si>
  <si>
    <t>1231 REF Ketels rest Landbouw ebalans</t>
  </si>
  <si>
    <t>1232 REF Ketels aardgas Landbouw ebalans</t>
  </si>
  <si>
    <t>1244 REF Elektricteit LT distributienet</t>
  </si>
  <si>
    <t>1245 REF Elektricteit MT to LT transformator</t>
  </si>
  <si>
    <t>1246 REF Elektricteit LT to MT transformator</t>
  </si>
  <si>
    <t>1248 REF WKK gas Landbouw ebalans</t>
  </si>
  <si>
    <t>1261 REF Aardgas MD to HD connector</t>
  </si>
  <si>
    <t>1262 REF Aardgas HD to MD connector</t>
  </si>
  <si>
    <t>1263 REF Aardgas MD pijplijn</t>
  </si>
  <si>
    <t>1264 REF Aardgas HD pijplijn</t>
  </si>
  <si>
    <t>1265 REF Aardgas LD to MD connector</t>
  </si>
  <si>
    <t>1266 REF Aardgas MD to LD connector</t>
  </si>
  <si>
    <t>1267 REF Aardgas LD distributienet</t>
  </si>
  <si>
    <t>1268 CAES Opslag</t>
  </si>
  <si>
    <t>1269 CAES lader</t>
  </si>
  <si>
    <t>1270 CAES ontlader</t>
  </si>
  <si>
    <t>1271 REF Finale vraag verkeer th</t>
  </si>
  <si>
    <t>1272 REF Finale vraag verkeer el</t>
  </si>
  <si>
    <t>1273 REF diesel</t>
  </si>
  <si>
    <t>1274 REF benzine</t>
  </si>
  <si>
    <t>1284 REF OvOmz raffinaderijen ebalans</t>
  </si>
  <si>
    <t>1285 REF WKK gas raffinaderijen ebalans</t>
  </si>
  <si>
    <t>1286 REF Ketels aardgas raffinaderijen ebalans</t>
  </si>
  <si>
    <t>1289 REF Ketels rest raffinaderijen ebalans</t>
  </si>
  <si>
    <t>1290 REF WKK rest raffinaderijen ebalans</t>
  </si>
  <si>
    <t>1291 Bijmenging waterstof  in aardgasnet</t>
  </si>
  <si>
    <t>1293 REF Centrale Ketel E-opwekking</t>
  </si>
  <si>
    <t>1294 H2 vessels on pipeline charge</t>
  </si>
  <si>
    <t>1295 H2 vessels on pipeline discharge</t>
  </si>
  <si>
    <t>1296 H2 vessels on pipeline</t>
  </si>
  <si>
    <t>1297 H2 vessels on distribution net charge</t>
  </si>
  <si>
    <t>1298 H2 vessels on distribution net discharge</t>
  </si>
  <si>
    <t>1299 H2 vessels on distribution net</t>
  </si>
  <si>
    <t>1300 A-CAES ontlader</t>
  </si>
  <si>
    <t>1301 A-CAES lader</t>
  </si>
  <si>
    <t>1302 A-CAES Opslag</t>
  </si>
  <si>
    <t>1303 Pb batterij ontlader</t>
  </si>
  <si>
    <t>1304 Pb batterij lader</t>
  </si>
  <si>
    <t>1305 Pb batterij Opslag</t>
  </si>
  <si>
    <t>1306 NiCd batterij ontlader</t>
  </si>
  <si>
    <t>1307 NiCd batterij lader</t>
  </si>
  <si>
    <t>1308 NiCd batterij Opslag</t>
  </si>
  <si>
    <t>1309 NaS batterij ontlader</t>
  </si>
  <si>
    <t>1310 NaS batterij lader</t>
  </si>
  <si>
    <t>1311 NaS batterij Opslag</t>
  </si>
  <si>
    <t>1312 Li ion batterij ontlader</t>
  </si>
  <si>
    <t>1313 Li ion batterij lader</t>
  </si>
  <si>
    <t>1314 Li ion batterij Opslag</t>
  </si>
  <si>
    <t>1315 VRB batterij ontlader</t>
  </si>
  <si>
    <t>1316 VRB batterij lader</t>
  </si>
  <si>
    <t>1317 VRB batterij Opslag</t>
  </si>
  <si>
    <t>1318 ZnBr batterij ontlader</t>
  </si>
  <si>
    <t>1319 ZnBr batterij lader</t>
  </si>
  <si>
    <t>1320 ZnBr batterij Opslag</t>
  </si>
  <si>
    <t>1321 H2 ondergronds laden</t>
  </si>
  <si>
    <t>1322 H2 ondergronds ontladen</t>
  </si>
  <si>
    <t>1323 H2 ondergronds opslag</t>
  </si>
  <si>
    <t>1327 H2 Methanation process</t>
  </si>
  <si>
    <t>1328 H2 distributienetwerk</t>
  </si>
  <si>
    <t>1329 H2 filling station</t>
  </si>
  <si>
    <t>1330 H2 pipeline</t>
  </si>
  <si>
    <t>1335 H2 solar reformer</t>
  </si>
  <si>
    <t>1339 H2 connector pipeline naar distributienetwerk</t>
  </si>
  <si>
    <t>1340 H2 connector distributienetwerk naar filling station</t>
  </si>
  <si>
    <t>1351 REF ICE personenauto</t>
  </si>
  <si>
    <t>1352 REF PI hybride auto</t>
  </si>
  <si>
    <t>1353 REF elektrische auto</t>
  </si>
  <si>
    <t>1354 CNG auto</t>
  </si>
  <si>
    <t>1355 Elektrische auto</t>
  </si>
  <si>
    <t>1356 REF H2 auto</t>
  </si>
  <si>
    <t>1357 Diesel hybrid car with high fuel reduction</t>
  </si>
  <si>
    <t>1358 PI auto</t>
  </si>
  <si>
    <t>1359 Flex ketel restgassen</t>
  </si>
  <si>
    <t>1360 Flex WKK restgassen</t>
  </si>
  <si>
    <t>1361 Flex fakkel restgassen</t>
  </si>
  <si>
    <t>1363 E85 flex-fuel car</t>
  </si>
  <si>
    <t>1364 REF HDV vracht</t>
  </si>
  <si>
    <t>1365 LNG truck</t>
  </si>
  <si>
    <t>1366 H2 HDV vracht</t>
  </si>
  <si>
    <t>1370 Heat transmission grid</t>
  </si>
  <si>
    <t>1371 Natural Gas Medium Temp Boilers - Chemical</t>
  </si>
  <si>
    <t>1372 Natural Gas Medium Temp Boilers - Refineries</t>
  </si>
  <si>
    <t>1373 Natural Gas CHP - Chemical</t>
  </si>
  <si>
    <t>1374 Natural Gas CHP - Refineries</t>
  </si>
  <si>
    <t>1375 REF ammoniak productie</t>
  </si>
  <si>
    <t>1376 SSAS ammoniak productie</t>
  </si>
  <si>
    <t>1377 REF Aardgas naar feedstock NH3</t>
  </si>
  <si>
    <t>1378 REF Final Heat Demand Not Covered By Processes - Chemical</t>
  </si>
  <si>
    <t>1379 REF Final Heat Demand Not Covered By Processes - Basic Metals ferro</t>
  </si>
  <si>
    <t>1382 REF Final Electricity Demand Not Covered By Processes - Chemical</t>
  </si>
  <si>
    <t>1383 REF Final Electricity Demand Not Covered By Processes - Basic Metals ferro</t>
  </si>
  <si>
    <t>1387 REF Natural Gas CHP - Basic metals</t>
  </si>
  <si>
    <t>1388 Natural Gas Medium Temp Boilers - Basic Metals</t>
  </si>
  <si>
    <t>1391 REF WKK rest chemie ebalans</t>
  </si>
  <si>
    <t>1392 REF Ketels rest chemie ebalans</t>
  </si>
  <si>
    <t>1395 REF WKK rest Basismetaal ebalans</t>
  </si>
  <si>
    <t>1421 Flex fakkel restgassen raffinaderijen</t>
  </si>
  <si>
    <t>1422 Flex WKK restgassen raffinaderijen</t>
  </si>
  <si>
    <t>1423 Flex ketel restgassen raffinaderijen</t>
  </si>
  <si>
    <t>1424 Flex fakkel restgassen chemie</t>
  </si>
  <si>
    <t>1425 Flex WKK restgassen chemie</t>
  </si>
  <si>
    <t>1426 Flex ketel restgassen chemie</t>
  </si>
  <si>
    <t>1427 Flex fakkel restgassen basismetaal</t>
  </si>
  <si>
    <t>1428 Flex WKK restgassen basismetaal</t>
  </si>
  <si>
    <t>1429 Flex ketel restgassen basismetaal</t>
  </si>
  <si>
    <t>1430 Hydrogen Medium Temp Boilers - Basic Metals</t>
  </si>
  <si>
    <t>1431 WKK biomassa (vast) CCS basismetaal</t>
  </si>
  <si>
    <t>1432 WKK gas CCS basismetaal</t>
  </si>
  <si>
    <t>1434 Biomass Medium Temp Boilers with CCS - Basic Metals</t>
  </si>
  <si>
    <t>1435 Ketels HT biomassa basismetaal</t>
  </si>
  <si>
    <t>1436 Hydrogen Medium Temp Boilers - Chemical</t>
  </si>
  <si>
    <t>1437 WKK biomassa (vast) CCS chemie</t>
  </si>
  <si>
    <t>1438 WKK gas CCS chemie</t>
  </si>
  <si>
    <t>1439 WKK biomassa (vast) chemie</t>
  </si>
  <si>
    <t>1440 Biomass DF 200-400C - Chemical</t>
  </si>
  <si>
    <t>1441 Biomass Medium Temp Boilers - Chemical</t>
  </si>
  <si>
    <t>1442 Hydrogen Medium Temp Boilers - Refineries</t>
  </si>
  <si>
    <t>1443 WKK biomassa (vast) CCS Raffinaderijen</t>
  </si>
  <si>
    <t>1444 WKK gas CCS Raffinaderijen</t>
  </si>
  <si>
    <t>1446 Biomass DF 200-400C - Raffinaderijen</t>
  </si>
  <si>
    <t>1447 Biomass Medium Temp Boilers - Refineries</t>
  </si>
  <si>
    <t>1448 WKK biomassa (vast) basismetaal</t>
  </si>
  <si>
    <t>1449 WKK biomassa (vast) raffinaderijen</t>
  </si>
  <si>
    <t>1456 Offshore HVDC grid</t>
  </si>
  <si>
    <t>1459 Kolenvergassing IGCC centrale</t>
  </si>
  <si>
    <t>1460 Poederkool verbranding met CCS</t>
  </si>
  <si>
    <t>1461 Onshore substation and trafo offshore to onshore grid</t>
  </si>
  <si>
    <t>1462 Solar-PV Vertical (incl. bif noise barriers)</t>
  </si>
  <si>
    <t>1463 Solar-PV Bifacial vertical</t>
  </si>
  <si>
    <t>1464 Solar-PV Services</t>
  </si>
  <si>
    <t>1465 Solar-PV large scale utilities</t>
  </si>
  <si>
    <t>1466 CCS add on to Haber-Bosch NH3 production</t>
  </si>
  <si>
    <t>1467 NG DF 200-400C raffinaderijen</t>
  </si>
  <si>
    <t>1468 NG DF 200-400C - Basic Metals Ferro</t>
  </si>
  <si>
    <t>1469 NG DF 200-400C - Chemical</t>
  </si>
  <si>
    <t>1470 H2 tank PI FCEV auto laden</t>
  </si>
  <si>
    <t>1471 H2 tank PI FCEV auto opslag</t>
  </si>
  <si>
    <t>1472 H2 tank PI FCEV ontladen</t>
  </si>
  <si>
    <t>1473 H2 opslag Filling Station laden</t>
  </si>
  <si>
    <t>1474 H2 opslag filling station</t>
  </si>
  <si>
    <t>1478 E batt PI FCEV ontladen</t>
  </si>
  <si>
    <t>1479 E batt PI FCEV opslag</t>
  </si>
  <si>
    <t>1480 E batt PI FCEV laden home</t>
  </si>
  <si>
    <t>1481 E batt PI FCEV laden office</t>
  </si>
  <si>
    <t>1482 E batt PI FCEV laden car park</t>
  </si>
  <si>
    <t>1483 E batt PI FCEV laden FS</t>
  </si>
  <si>
    <t>1497 STEG H2</t>
  </si>
  <si>
    <t>1509 E85 flex-fuel car with high efficiency</t>
  </si>
  <si>
    <t>1511 CO2 from air capture</t>
  </si>
  <si>
    <t>1512 CO2 opslag after capture</t>
  </si>
  <si>
    <t>1556 Green natural gas base metal</t>
  </si>
  <si>
    <t>1557 Green natural gas chemistry</t>
  </si>
  <si>
    <t>1558 Green natural gas refineries</t>
  </si>
  <si>
    <t>1561 H2 uit olievergassing met CCS plus</t>
  </si>
  <si>
    <t>1581 WKK biomassa (vloeibaar) industrie CCS plus</t>
  </si>
  <si>
    <t>1582 Biomass CHP with CCS - Industry</t>
  </si>
  <si>
    <t>1583 Natural Gas CHP with CCS - Industry</t>
  </si>
  <si>
    <t>1584 Biomass Low Temp Boilers with CCS - Industry</t>
  </si>
  <si>
    <t>1585 Ketels LT kolen industrie CCS plus</t>
  </si>
  <si>
    <t>1586 Natural Gas Low Temp Boilers with CCS - Industry</t>
  </si>
  <si>
    <t>1587 Biomass Medium Temp Boilers with CCS - Industry</t>
  </si>
  <si>
    <t>1588 Boilers HT coal industry CCS plus</t>
  </si>
  <si>
    <t>1589 Natural Gas Medium Temp Boilers with CCS - Industry</t>
  </si>
  <si>
    <t>1590 Biomass High Temp Boilers with CCS - Industry</t>
  </si>
  <si>
    <t>1591 Ketels SHT kolen industrie CCS plus</t>
  </si>
  <si>
    <t>1592 NG DF 200-400C- Industry</t>
  </si>
  <si>
    <t>1594 H2 uit SMR met CCS plus</t>
  </si>
  <si>
    <t>1595 Biomassavergassing BVSTEG met CCS plus</t>
  </si>
  <si>
    <t>1596 Kolenvergassing KVSTEG met CCS plus</t>
  </si>
  <si>
    <t>1597 Steam Cracking w/CCS</t>
  </si>
  <si>
    <t>1599 Natural gas CCGT wCCS</t>
  </si>
  <si>
    <t>1600 Biomassameestook CCS plus</t>
  </si>
  <si>
    <t>1607 H2 uit biomassavergassing CCS plus</t>
  </si>
  <si>
    <t>1611 Biomass CHP with CCS - Basic metals</t>
  </si>
  <si>
    <t>1612 Natural Gas CHP with CCS - Basic metals</t>
  </si>
  <si>
    <t>1613 Biomass boiler 200-400C - Basic Metals Ferro</t>
  </si>
  <si>
    <t>1614 Biomass CHP with CCS - Chemical</t>
  </si>
  <si>
    <t>1615 Natural Gas CHP with CCS - Chemical</t>
  </si>
  <si>
    <t>1616 Biomass Medium Temp Boilers with CCS - Chemical</t>
  </si>
  <si>
    <t>1619 Natural Gas CHP with CCS - Refineries</t>
  </si>
  <si>
    <t>1620 Biomass Medium Temp Boilers with CCS - Refineries</t>
  </si>
  <si>
    <t>1621 Poederkool verbranding met CCS plus</t>
  </si>
  <si>
    <t>1622 Natural Gas Medium Temp Boilers with CCS - Refineries</t>
  </si>
  <si>
    <t>1623 Natural Gas Medium Temp Boilers with CCS - Basic Metals</t>
  </si>
  <si>
    <t>1624 Natural Gas Medium Temp Boilers with CCS - Chemical</t>
  </si>
  <si>
    <t>1626 Biomass CHP with CCS - Refineries</t>
  </si>
  <si>
    <t>1627 Hydropower</t>
  </si>
  <si>
    <t>1629 Heat savings level 1 - Chemical</t>
  </si>
  <si>
    <t>1630 Heat savings - Basic metals ferro</t>
  </si>
  <si>
    <t>1631 Heat savings level 1 - Other industry</t>
  </si>
  <si>
    <t>1632 Heat savings - Fertilizer</t>
  </si>
  <si>
    <t>1633 Electricity savings level 1 - Basic metals ferro</t>
  </si>
  <si>
    <t>1634 Electricity savings level 1 - Refinery</t>
  </si>
  <si>
    <t>1635 Electricity savings level 1 - Chemical</t>
  </si>
  <si>
    <t>1636 Electricity savings level 1 - Other industry</t>
  </si>
  <si>
    <t>1637 Electricity savings level 1 - Fertilizer</t>
  </si>
  <si>
    <t>1648 Diesel truck with 5% fuel consumption reduction</t>
  </si>
  <si>
    <t>1650 Hybrid bus</t>
  </si>
  <si>
    <t>1651 REF Fuel cell bus</t>
  </si>
  <si>
    <t>1652 CNG bus</t>
  </si>
  <si>
    <t>1653 REF BEV bus</t>
  </si>
  <si>
    <t>1654 ICE hybrid diesel van</t>
  </si>
  <si>
    <t>1656 Gasoline hybrid car with high fuel reduction</t>
  </si>
  <si>
    <t>1694 REF Non-Energetic use Food and Beverage Industry</t>
  </si>
  <si>
    <t>1698 REF Final Heat demand Waste</t>
  </si>
  <si>
    <t>1699 REF Final Electricity demand Waste</t>
  </si>
  <si>
    <t>1705 Biomass DF &gt; 400 C Boilers - Industry</t>
  </si>
  <si>
    <t>1721 REF AVI</t>
  </si>
  <si>
    <t>1722 Natural Gas Industrial Heat Pump - Chemical</t>
  </si>
  <si>
    <t>1723 Natural Gas Industrial Heat Pump - Basic Metals</t>
  </si>
  <si>
    <t>1724 Geothermal Industrial Heat Pump - Industry</t>
  </si>
  <si>
    <t>1725 REF WP HDO</t>
  </si>
  <si>
    <t>1726 REF WP Huishoudens</t>
  </si>
  <si>
    <t>1741 REF Ketels aardgas gasvoorziening</t>
  </si>
  <si>
    <t>1742 REF WKK gas gasvoorziening</t>
  </si>
  <si>
    <t>1743 Mono manure CHP</t>
  </si>
  <si>
    <t>1744 REF AD of waste and sewage water - CHP</t>
  </si>
  <si>
    <t>1745 Groen gas uit allesvergister (GFT)</t>
  </si>
  <si>
    <t>1747 Biomass CHP - Refineries</t>
  </si>
  <si>
    <t>1748 Biomass CHP - Basic metals</t>
  </si>
  <si>
    <t>1749 Biomass CHP - Chemical</t>
  </si>
  <si>
    <t>1750 Biomass CHP - Industry</t>
  </si>
  <si>
    <t>1751 Biogas naar aardgas niet ETS</t>
  </si>
  <si>
    <t>1754 WKK biomassa (vast) HDO</t>
  </si>
  <si>
    <t>1756 Solar -PV industry</t>
  </si>
  <si>
    <t>1757 Geothermal HP - LT Heat for FB Industry   &lt; 100C</t>
  </si>
  <si>
    <t>1758 REF AD of waste and sewage water - Green gas</t>
  </si>
  <si>
    <t>1759 REF Gaswinning en -import</t>
  </si>
  <si>
    <t>1760  H2 auto</t>
  </si>
  <si>
    <t>1761 REF E import Flexnet</t>
  </si>
  <si>
    <t>1762 REF E export Flexnet</t>
  </si>
  <si>
    <t>1763 REF BOF steel making 2017</t>
  </si>
  <si>
    <t>1764 Steel making TGR-BF wCCS</t>
  </si>
  <si>
    <t>1765 Steelmaking DR with natural gas</t>
  </si>
  <si>
    <t>1766 Steelmaking DR with ext. H2</t>
  </si>
  <si>
    <t>1767 Hisarna 2017</t>
  </si>
  <si>
    <t>1768 Hisarna wCCS</t>
  </si>
  <si>
    <t>1769 REF MWT landbouw 2017</t>
  </si>
  <si>
    <t>1770 REF MWT HDO 2017</t>
  </si>
  <si>
    <t>1771 REF MWT Industrie 2017</t>
  </si>
  <si>
    <t>1772 Hybride MWT landbouw</t>
  </si>
  <si>
    <t>1773 Hybride MWT HDO</t>
  </si>
  <si>
    <t>1774 Electric MWT HDO</t>
  </si>
  <si>
    <t>1775 REF houtkachel HH</t>
  </si>
  <si>
    <t>1778 REF  Heat Demand Not Covered By Processes - Fertilizers</t>
  </si>
  <si>
    <t>1779 Final Electricity Demand Not Covered By Processes - Fertilizers</t>
  </si>
  <si>
    <t>1780 REF non energetisch en ovg omz chemie</t>
  </si>
  <si>
    <t>1781 Hybride MWT industrie</t>
  </si>
  <si>
    <t>1782 Electric MWT industrie</t>
  </si>
  <si>
    <t>1783 ULCOWIN</t>
  </si>
  <si>
    <t>1784 ULCOLYSIS</t>
  </si>
  <si>
    <t>1795 Electric Medium Temp Boilers</t>
  </si>
  <si>
    <t>1798 AVI CCS</t>
  </si>
  <si>
    <t>1799 Post-Combustion CCS in Refineries</t>
  </si>
  <si>
    <t>1800 CO2-afvang chemie add-on</t>
  </si>
  <si>
    <t>1801 CO2-afvang basismetaal add-on</t>
  </si>
  <si>
    <t>1818 Hybride WP ketel (keteldeel, WB bestaande bouw)</t>
  </si>
  <si>
    <t>1819 Hybride WP ketel (WP-deel, WB bestaande bouw)</t>
  </si>
  <si>
    <t>1834 CNG van</t>
  </si>
  <si>
    <t>1835 H2 van</t>
  </si>
  <si>
    <t>1836 BEV van</t>
  </si>
  <si>
    <t>1837 PI van</t>
  </si>
  <si>
    <t>1838 LNG inland navigation freight</t>
  </si>
  <si>
    <t>1841 REF ICE van</t>
  </si>
  <si>
    <t>1845 Bio-restgassen naar restgassen</t>
  </si>
  <si>
    <t>1849 Stalluchtzuivering</t>
  </si>
  <si>
    <t>1850 Hout binnenland naar hout</t>
  </si>
  <si>
    <t>1851 Hout buitenland naar hout</t>
  </si>
  <si>
    <t>1852 REF Nuclear power plant</t>
  </si>
  <si>
    <t>1853 Nuclear energy Gen IV - Electricity production</t>
  </si>
  <si>
    <t>1855 SNG from lignocellulosics</t>
  </si>
  <si>
    <t>1859 SNG from lignocellulosics with CC</t>
  </si>
  <si>
    <t>1860 Bio-DME production</t>
  </si>
  <si>
    <t>1862 Biomass gasification + FT towards diesel</t>
  </si>
  <si>
    <t>1864 Biobenzine uit biomassa</t>
  </si>
  <si>
    <t>1865 Biobenzine uit biomassa met warmte</t>
  </si>
  <si>
    <t>1879 Biobenzine uit biomassa LP</t>
  </si>
  <si>
    <t>1880 Biobenzine uit biomassa HP</t>
  </si>
  <si>
    <t>1881 H2 uit SMR CC  from shifted syngas low</t>
  </si>
  <si>
    <t>1882 H2 uit SMR CC  from shifted syngas high</t>
  </si>
  <si>
    <t>1883 H2 uit SMR CC  from PSA tail gas low</t>
  </si>
  <si>
    <t>1884 H2 uit SMR CC  from PSA tail gas high</t>
  </si>
  <si>
    <t>1885 H2 uit SMR CC  from flue gas</t>
  </si>
  <si>
    <t>1888 H2 uit biomassavergassing  Fast Internally Circulating Fluidized Bed’ (FICFB) gasifier centraal</t>
  </si>
  <si>
    <t>1891 H2 uit thermochemical water splitting centraal</t>
  </si>
  <si>
    <t>1892 H2 uit photocatalysis PEC centraal</t>
  </si>
  <si>
    <t>1893 H2 uit supercritical waterelktrolysis of biomass lokaal</t>
  </si>
  <si>
    <t>1914 Synthetische FT naar brandstof omzetten</t>
  </si>
  <si>
    <t>1939 P2L FT pathway, external H2, incl direct air capture</t>
  </si>
  <si>
    <t>1940 P2L FT pathway, external H2, external CO2</t>
  </si>
  <si>
    <t>1956 P2L FT pathway, low temp electrolysis, direct air capture</t>
  </si>
  <si>
    <t>1957 P2L FT pathway, low temp electrolysis, external CO2</t>
  </si>
  <si>
    <t>1960 P2L FT pathway, high temp electrolysis, direct air capture</t>
  </si>
  <si>
    <t>1961 P2L FT pathway, high temp electrolysis, external CO2</t>
  </si>
  <si>
    <t>1962 Connector Point - Landbouw Elektriciteit</t>
  </si>
  <si>
    <t>1964 Connector Point - Landbouw gas</t>
  </si>
  <si>
    <t>1965 Connector Point - Huishoudens elektriciteit</t>
  </si>
  <si>
    <t>1966 Connector Point - Basismetaal elektriciteit</t>
  </si>
  <si>
    <t>1967 Connector Point - HDO elektriciteit</t>
  </si>
  <si>
    <t>1968 Connector Point - Chemie elektriciteit</t>
  </si>
  <si>
    <t>1969 Connector Point - Waste, elektriciteit</t>
  </si>
  <si>
    <t>1970 Connector Point - Waste, warmte</t>
  </si>
  <si>
    <t>1971 Connector Point - Landbouw, warmte</t>
  </si>
  <si>
    <t>1972 Connector Point - Chemie warmte</t>
  </si>
  <si>
    <t>1973 Connector Point - Industrie elektriciteit</t>
  </si>
  <si>
    <t>1974 Connector Point - Raffinaderijen elektriciteit</t>
  </si>
  <si>
    <t>1975 Connector Point - kunstmest elektriciteit</t>
  </si>
  <si>
    <t>1976 Connector Point - Huishoudens warmte</t>
  </si>
  <si>
    <t>1977 Connector Point - HDO warmte</t>
  </si>
  <si>
    <t>1978 Connector Point - Raffinaderijen warmte</t>
  </si>
  <si>
    <t>1979 Connector Point - kunstmest warmte</t>
  </si>
  <si>
    <t>1980 Connector Point - Basismetaal warmte</t>
  </si>
  <si>
    <t>1981 Connector Point - Industrie warmte</t>
  </si>
  <si>
    <t>1983 Connector Point - Chemie gas</t>
  </si>
  <si>
    <t>1984 Connector Point - Basismetaal gas</t>
  </si>
  <si>
    <t>1985 Connector Point - Raffinaderijen gas</t>
  </si>
  <si>
    <t>1986 Connector Point - kunstmest gas</t>
  </si>
  <si>
    <t>1987 Connector Point - industrie gas</t>
  </si>
  <si>
    <t>1988 Connector Point - Waste gas</t>
  </si>
  <si>
    <t>1989 Connector Point - HDO gas</t>
  </si>
  <si>
    <t>1990 Connector Point - Huishoudens gas</t>
  </si>
  <si>
    <t>1991 Groen aardgas generiek (gasvoorziening)</t>
  </si>
  <si>
    <t>1995 Luchtvaart kerosine consumptie</t>
  </si>
  <si>
    <t>1996 Marine fuel vessel</t>
  </si>
  <si>
    <t>2004 Biomass gasification + FT towards kerosene</t>
  </si>
  <si>
    <t>2005 Pyrolysis fuel production</t>
  </si>
  <si>
    <t>2006 Alcohol-to-jet</t>
  </si>
  <si>
    <t>2007 HEFA</t>
  </si>
  <si>
    <t>2010 Natural Gas Direct Firing HT400 - Ferro</t>
  </si>
  <si>
    <t>2011 Electric Direct Firing HT400 - Ferro</t>
  </si>
  <si>
    <t>2012 Hydrogen DF &gt; 400 C  - Basic Metals Ferro</t>
  </si>
  <si>
    <t>2013 Biomass DF 200-400C - Basic Metals Ferro</t>
  </si>
  <si>
    <t>2014 Biomass DF &gt; 400C - Basic Metals</t>
  </si>
  <si>
    <t>2015 Electric High Temp Boilers - Basic Metals</t>
  </si>
  <si>
    <t>2016 Electric Medium Temp Boilers - Basic Metals</t>
  </si>
  <si>
    <t>2020 Electrification of Steam Crackers</t>
  </si>
  <si>
    <t>2023 Waste Gas CHP - Chemical</t>
  </si>
  <si>
    <t>2024 Waste Gas CHP with CCS - Chemical</t>
  </si>
  <si>
    <t>2025 Natural Gas DF &gt; 400 C - Chemical</t>
  </si>
  <si>
    <t>2026 NG DF 100-200C- Chemie</t>
  </si>
  <si>
    <t>2027 Hydrogen High Temp Boilers - Chemical</t>
  </si>
  <si>
    <t>2028 Biomass DF &gt; 400 C - Chemical</t>
  </si>
  <si>
    <t>2029 Biomass DF &gt; 400C - Chemical</t>
  </si>
  <si>
    <t>2030 Waste Gas High Temp Boilers - Chemical</t>
  </si>
  <si>
    <t>2031 Waste Gas Medium Temp Boilers - Chemical</t>
  </si>
  <si>
    <t>2032 Waste Gas High Temp Boilers with CCS - Chemical</t>
  </si>
  <si>
    <t>2033 Waste Gas Medium Temp Boilers with CCS - Chemical</t>
  </si>
  <si>
    <t>2034 Electric High Temp Boilers - Chemical</t>
  </si>
  <si>
    <t>2035 Electric Medium Temp Boilers - Chemical</t>
  </si>
  <si>
    <t>2036 Electric Industrial Heat Pump - Chemical</t>
  </si>
  <si>
    <t>2037 Mechanical Vapour Recompression - Chemical</t>
  </si>
  <si>
    <t>2040 Natural Gas CHP - Fertilizers</t>
  </si>
  <si>
    <t>2041 Natural Gas CHP with CCS - Fertilizers</t>
  </si>
  <si>
    <t>2042 Biomass CHP - Fertilizers</t>
  </si>
  <si>
    <t>2043 Biomass CHP with CCS - Fertilizers</t>
  </si>
  <si>
    <t>2044 REF NG Steam 200-400 boiler - Fertilizer</t>
  </si>
  <si>
    <t>2045 REF NG Steam 100-200 boiler - Fertilizer</t>
  </si>
  <si>
    <t>2046 Natural Gas High Temp Boilers with CCS - Fertilizers</t>
  </si>
  <si>
    <t>2047 Natural Gas Medium Temp Boilers with CCS - Fertilizers</t>
  </si>
  <si>
    <t>2048 Hydrogen High Temp Boilers - Fertilizers</t>
  </si>
  <si>
    <t>2049 Hydrogen Medium Temp Boilers - Fertilizers</t>
  </si>
  <si>
    <t>2050 Biomass High Temp Boilers - Fertilizers</t>
  </si>
  <si>
    <t>2051 Biomass Medium Temp Boilers - Fertilizers</t>
  </si>
  <si>
    <t>2052 Biomass High Temp Boilers with CCS - Fertilizers</t>
  </si>
  <si>
    <t>2053 Biomass Medium Temp Boilers with CCS - Fertilizers</t>
  </si>
  <si>
    <t>2054 Electric High Temp Boilers - Fertilizers</t>
  </si>
  <si>
    <t>2055 Electric Medium Temp Boilers - Fertilizers</t>
  </si>
  <si>
    <t>2056 Natural Gas Industrial Heat Pump - Fertilizers</t>
  </si>
  <si>
    <t>2057 Electric Industrial Heat Pump - Fertilizers</t>
  </si>
  <si>
    <t>2058 Mechanical Vapour Recompression - Fertilizers</t>
  </si>
  <si>
    <t>2059 Hydrogen DF &gt; 400 C  - Industry</t>
  </si>
  <si>
    <t>2060 Hydrogen Low Temp Boilers - Industry</t>
  </si>
  <si>
    <t>2061 Electric High Temp Boilers - Industry</t>
  </si>
  <si>
    <t>2062 Mechanical Vapour Recompression - Industry</t>
  </si>
  <si>
    <t>2067 NG DF 200-400C - Industrie</t>
  </si>
  <si>
    <t>2072 Biomass DF &gt; 400C  - Industry</t>
  </si>
  <si>
    <t>2081 Naphtha from pyrolysis biooil gasification and FT process</t>
  </si>
  <si>
    <t>2086 10% Co-processing in Conventional Refinery</t>
  </si>
  <si>
    <t>2089 Fast Pirolysis with upgrading</t>
  </si>
  <si>
    <t>2090 Electrification of Refineries</t>
  </si>
  <si>
    <t>2091 Natural Gas DF &gt; 400 C- Refineries</t>
  </si>
  <si>
    <t>2092 NG DF 200-400C - Refineries</t>
  </si>
  <si>
    <t>2093 Hydrogen DF &gt; 400 C - Refineries</t>
  </si>
  <si>
    <t>2094 Biomass DF &gt; 400 C - Refineries</t>
  </si>
  <si>
    <t>2095 Biomass DF &gt; 400C - Refineries</t>
  </si>
  <si>
    <t>2097 Electric Medium Temp Boilers - Refinery</t>
  </si>
  <si>
    <t>2100 Mechanical Vapour Recompression - Refinery</t>
  </si>
  <si>
    <t>2104 Electric High Temp Boilers - Refinery</t>
  </si>
  <si>
    <t>2114 Aquathermal</t>
  </si>
  <si>
    <t>2115 Solar thermal for district heating without storage (all sectors)</t>
  </si>
  <si>
    <t>2117 Solar PV floating &gt; 1 MWp</t>
  </si>
  <si>
    <t>2118 SOEC small-scale</t>
  </si>
  <si>
    <t>2119 H2 Alkaline small-scale</t>
  </si>
  <si>
    <t>2120 H2 Large-scale electrolyser</t>
  </si>
  <si>
    <t>2121 REF AD of waste and sewage water - Heat</t>
  </si>
  <si>
    <t>2122 Geothermal heat production, ultradeep, baseload</t>
  </si>
  <si>
    <t>2124 Solar thermal for process hot water without storage</t>
  </si>
  <si>
    <t>2125 Biomass boiler for built environment &gt; 5MWth</t>
  </si>
  <si>
    <t>2126 Air source heat pumps - households</t>
  </si>
  <si>
    <t>2127 Rooftop PV agriculture</t>
  </si>
  <si>
    <t>2128 H2 PEM small-scale</t>
  </si>
  <si>
    <t>2130 Heat savings level 1 - FBI</t>
  </si>
  <si>
    <t>2131 Heat savings level 2 - Chemical</t>
  </si>
  <si>
    <t>2132 Heat savings level 2 - Other industry</t>
  </si>
  <si>
    <t>2133 Electricity savings level 2 - Other industry</t>
  </si>
  <si>
    <t>2143 Pyrolysis Oil Production from biomass</t>
  </si>
  <si>
    <t>2145 Electric truck with 600 km range</t>
  </si>
  <si>
    <t>2146 SMR with cryogenic membrane PSA CC</t>
  </si>
  <si>
    <t>2148 Mono manure AD for heat</t>
  </si>
  <si>
    <t>2149 H2 Boilers - Households</t>
  </si>
  <si>
    <t>2150 H2 Low Temp Boilers - HDO</t>
  </si>
  <si>
    <t>2151 E batt truck ontladen</t>
  </si>
  <si>
    <t>2152 E batt truck opslag</t>
  </si>
  <si>
    <t>2153 E batt truck laden car park</t>
  </si>
  <si>
    <t>2154 E batt truck laden FS</t>
  </si>
  <si>
    <t>2155 Import H2 to H2 domestic</t>
  </si>
  <si>
    <t>2156 H2 domestic to export</t>
  </si>
  <si>
    <t>2162 Geothermie diep stadsverwarming</t>
  </si>
  <si>
    <t>2163 Geothermie shallow stadsverwarming</t>
  </si>
  <si>
    <t>2165 H-B NH3 with external H2</t>
  </si>
  <si>
    <t>2169 HVO from UCO</t>
  </si>
  <si>
    <t>2170 Terraced houses - startlabel B or DC retrofitted to B</t>
  </si>
  <si>
    <t>2171 Terraced houses - startlabel A+</t>
  </si>
  <si>
    <t>2172 Apartments - startlabel B or DC retrofitted to B</t>
  </si>
  <si>
    <t>2173 Other dwelllings - startlabel B or DC retrofitted to B</t>
  </si>
  <si>
    <t>2174 Terraced houses - startlabel GFE</t>
  </si>
  <si>
    <t>2175 Terraced houses - startlabel DC</t>
  </si>
  <si>
    <t>2176 Terraced houses - startlabel A</t>
  </si>
  <si>
    <t>2177 Apartments - startlabel GFE</t>
  </si>
  <si>
    <t>2178 Apartments - startlabel DC</t>
  </si>
  <si>
    <t>2179 Apartments - startlabel DC/B retrofitted to A</t>
  </si>
  <si>
    <t>2180 Apartments - startlabel A/A+</t>
  </si>
  <si>
    <t>2181 Other dwelllings - startlabel GFE</t>
  </si>
  <si>
    <t>2182 Other dwelllings - startlabel DC</t>
  </si>
  <si>
    <t>2183 Other dwelllings - startlabel A</t>
  </si>
  <si>
    <t>2184 Other dwelllings - startlabel A+</t>
  </si>
  <si>
    <t>2185 Offices - B label</t>
  </si>
  <si>
    <t>2186 Offices - GFE label</t>
  </si>
  <si>
    <t>2187 Offices - DC label</t>
  </si>
  <si>
    <t>2188 Offices - A label</t>
  </si>
  <si>
    <t>2189 Offices - A+ label</t>
  </si>
  <si>
    <t>2190 Energy in education - GFE label</t>
  </si>
  <si>
    <t>2191 Energy in education - DC label</t>
  </si>
  <si>
    <t>2192 Energy in education - B label</t>
  </si>
  <si>
    <t>2193 Energy in education - A label</t>
  </si>
  <si>
    <t>2194 Energy in education - A+ label</t>
  </si>
  <si>
    <t>2195 Energy in industrial halls - GFE label</t>
  </si>
  <si>
    <t>2196 Energy in industrial halls - DC label</t>
  </si>
  <si>
    <t>2197 Energy in industrial halls - B label</t>
  </si>
  <si>
    <t>2198 Energy in industrial halls - A label</t>
  </si>
  <si>
    <t>2199 Energy in industrial halls - A+ label</t>
  </si>
  <si>
    <t>2200 Energy in hospitals - GFE label</t>
  </si>
  <si>
    <t>2201 Energy in hospitals - DC label</t>
  </si>
  <si>
    <t>2202 Energy in hospitals - B label</t>
  </si>
  <si>
    <t>2203 Energy in hospitals - A label</t>
  </si>
  <si>
    <t>2204 Energy in hospitals - A+ label</t>
  </si>
  <si>
    <t>2205 Energy in rest services - GFE label</t>
  </si>
  <si>
    <t>2206 Energy in rest services - DC label</t>
  </si>
  <si>
    <t>2207 Energy in rest services - B label</t>
  </si>
  <si>
    <t>2208 Energy in rest services - A label</t>
  </si>
  <si>
    <t>2209 Energy in rest services - A+ label</t>
  </si>
  <si>
    <t>2218 CCS add on to Hall-Héroult process</t>
  </si>
  <si>
    <t>2219 REF Natural gas boilers - Low Temp - FBI</t>
  </si>
  <si>
    <t>2220 REF Natural gas CHP - Low Temp - FBI</t>
  </si>
  <si>
    <t>2221 REF rest boilers - Low Temp - FBI</t>
  </si>
  <si>
    <t>2222 REF Anaerobic Digestion to Green Gas - FBI</t>
  </si>
  <si>
    <t>2223 Dummy Green Gas to NG</t>
  </si>
  <si>
    <t>2224 Deep geothermal heat - FBI</t>
  </si>
  <si>
    <t>2227 REF Final Electricity Demand  - FBI</t>
  </si>
  <si>
    <t>2228 REF Final  Heat Demand - FBI</t>
  </si>
  <si>
    <t>2229 Connector Point - FBI electricity</t>
  </si>
  <si>
    <t>2230 Connector Point - FBI heat</t>
  </si>
  <si>
    <t>2231 Electric boiler - Low Temp - FBI</t>
  </si>
  <si>
    <t>2232 Electric Heat Pump - Low Temp - FBI</t>
  </si>
  <si>
    <t>2233 Biomass boilers - Low Temp - FBI</t>
  </si>
  <si>
    <t>2234 Natural Gas boilers - Low Temp - FBI</t>
  </si>
  <si>
    <t>2235 Hydrogen boilers - Low Temp - FBI</t>
  </si>
  <si>
    <t>2236 Anaerobic Digestion boilers - Low Temp - FBI</t>
  </si>
  <si>
    <t>2237 REF process_salt</t>
  </si>
  <si>
    <t>2238 MVR brine vaporization_salt</t>
  </si>
  <si>
    <t>2239 REF Natural Gas Medium Temp Boilers - Salt</t>
  </si>
  <si>
    <t>2240 Hydrogen Medium Temp Boilers - Salt</t>
  </si>
  <si>
    <t>2241 Electric Medium Temp Boilers - Salt</t>
  </si>
  <si>
    <t>2242 Connector Point - Salt Heat100to200</t>
  </si>
  <si>
    <t>2243 REF Membrane Electrolysis_chlorine</t>
  </si>
  <si>
    <t>2244 Zero gap membrane electrolyser_chlorine</t>
  </si>
  <si>
    <t>2245 REF Natural Gas Medium Temp Boilers - Chlorine</t>
  </si>
  <si>
    <t>2246 Electric Medium Temp Boilers - Chlorine</t>
  </si>
  <si>
    <t>2247 Biomass Medium Temp Boilers - Chlorine</t>
  </si>
  <si>
    <t>2248 Deep geothermal heat - Chlorine</t>
  </si>
  <si>
    <t>2250 Connector Point - Basismetaal HeatDir200to400</t>
  </si>
  <si>
    <t>2251 Connector Point - Basismetaal Heat100to200</t>
  </si>
  <si>
    <t>2252 Connector Point - Basismetaal Heat200to400</t>
  </si>
  <si>
    <t>2253 Connector Point - Basismetaal HeatHT400</t>
  </si>
  <si>
    <t>2254 Connector Point - Chemie HeatDir200to400</t>
  </si>
  <si>
    <t>2255 Connector Point - Chemie Heat100to200</t>
  </si>
  <si>
    <t>2256 Connector Point - Chemie Heat200to400</t>
  </si>
  <si>
    <t>2257 Connector Point - Chemie  HeatHT400</t>
  </si>
  <si>
    <t>2260 Connector Point - Chlorine Heat100to200</t>
  </si>
  <si>
    <t>2261 Connector Point - Industrie HeatDir200to400</t>
  </si>
  <si>
    <t>2262 Connector Point - Industrie Heat100to200</t>
  </si>
  <si>
    <t>2270 Connector Point - Industrie Heat200to400</t>
  </si>
  <si>
    <t>2271 Connector Point - Industrie HeatHT400</t>
  </si>
  <si>
    <t>2273 Connector Point -  Waste Heat100to200</t>
  </si>
  <si>
    <t>2277 Connector Point - F&amp;B Industry Heat100to200</t>
  </si>
  <si>
    <t>2278 Connector Point - F&amp;B Industry Heat200to400</t>
  </si>
  <si>
    <t>2280 Connector Point - Refineries HeatDir200to400</t>
  </si>
  <si>
    <t>2281 Connector Point - Refineries HeatLT100to200</t>
  </si>
  <si>
    <t>2282 Connector Point - Refineries Heat200to400</t>
  </si>
  <si>
    <t>2283 Connector Point - Refineries HeatHT400</t>
  </si>
  <si>
    <t>2284 Connector Point - Fertilizers HeatDir200to400</t>
  </si>
  <si>
    <t>2285 Connector Point - Fertilizers  HeatLT100to200</t>
  </si>
  <si>
    <t>2286 Connector Point - Fertilizers  Heat200to400</t>
  </si>
  <si>
    <t>2288 Electric boiler - 200-400C - FBI</t>
  </si>
  <si>
    <t>2289 Biomass boiler - 200-400C - FBI</t>
  </si>
  <si>
    <t>2290 Natural Gas boiler - 200-400C - FBI</t>
  </si>
  <si>
    <t>2291 Hydrogen boiler - 200-400C - FBI</t>
  </si>
  <si>
    <t>2293 Waste Heat Industrial Heat Pump - Industry</t>
  </si>
  <si>
    <t>2294 Waste Heat Industrial Heat Pump - Chemie</t>
  </si>
  <si>
    <t>2295 Waste Heat Industrial Heat Pump - Kunstmestindustrie</t>
  </si>
  <si>
    <t>2296 Waste Heat Industrial Heat Pump - FBI</t>
  </si>
  <si>
    <t>2297 Hot water electric boiler - Industrie</t>
  </si>
  <si>
    <t>2298 Hot water electric boiler - FBI</t>
  </si>
  <si>
    <t>2299 Hot water NG boiler - Industrie</t>
  </si>
  <si>
    <t>2300 Hot water Biomass boiler - Industrie</t>
  </si>
  <si>
    <t>2301 Hot water H2 boiler - Industrie</t>
  </si>
  <si>
    <t>2302 Hot water restgassen boiler - Chemical</t>
  </si>
  <si>
    <t>2307 Electric boiler HT100to200 - Waste</t>
  </si>
  <si>
    <t>2308 NG boiler HT100to200- Waste</t>
  </si>
  <si>
    <t>2309 Biomass boiler HT100to200 - Waste</t>
  </si>
  <si>
    <t>2310 H2 boiler HT100to200 - Waste</t>
  </si>
  <si>
    <t>2312 REF remaining Final heat demand - Basic Metals non-ferro</t>
  </si>
  <si>
    <t>2313 Connector Point - Basic metals non-ferro HeatHT400</t>
  </si>
  <si>
    <t>2314 NG Direct Firing - Basic metal non-ferro</t>
  </si>
  <si>
    <t>2315 Electric Direct Firing - Basic metal non-ferro</t>
  </si>
  <si>
    <t>2316 Hydrogen DF &gt; 400 C - Basic metal non-ferro</t>
  </si>
  <si>
    <t>2319 Biomass Hotwater Boiler - HDO</t>
  </si>
  <si>
    <t>2320 H2 boiler - District heating</t>
  </si>
  <si>
    <t>2321 NG boiler - District heating</t>
  </si>
  <si>
    <t>2322 e - boiler - District heating</t>
  </si>
  <si>
    <t>2323 NG CHP - District heating</t>
  </si>
  <si>
    <t>2324 Ground source heat pumps - households</t>
  </si>
  <si>
    <t>2325 Hybrid heat pumps (boiler part) households</t>
  </si>
  <si>
    <t>2328 Hybrid heat pumps (HP part) households</t>
  </si>
  <si>
    <t>2329 REF NG Direct Firing - High Temp - Fertilizer</t>
  </si>
  <si>
    <t>2330 Direct Firing NG 200-400 C - Chemicals</t>
  </si>
  <si>
    <t>2331 Direct Firing Elec 200-400 C - Chemicals</t>
  </si>
  <si>
    <t>2332 Direct Firing NG 200-400 C - Ferro</t>
  </si>
  <si>
    <t>2333 Direct Firing Elec 200-400 C - Ferro</t>
  </si>
  <si>
    <t>2334 Connector Point - Basic metals non-ferro warmte</t>
  </si>
  <si>
    <t>2335 Connector Point - Basic metals non-ferro Heat100to200</t>
  </si>
  <si>
    <t>2336 Connector Point - Basic metals non-ferro Heat200to400</t>
  </si>
  <si>
    <t>2337 Connector Point - Basic metals non-ferro HeatDir200to400</t>
  </si>
  <si>
    <t>2338 Direct Firing NG 200-400 C - non ferro</t>
  </si>
  <si>
    <t>2339 Direct Firing Elec 200-400 C - non ferro</t>
  </si>
  <si>
    <t>2340 Natural Gas Boilers 200-400 C - non ferro</t>
  </si>
  <si>
    <t>2341 Electric Boilers  200-400 C- non ferro</t>
  </si>
  <si>
    <t>2342 Hydrogen Boilers 200-400 C- non ferro</t>
  </si>
  <si>
    <t>2343 Electric Boilers 100-200C - non ferro</t>
  </si>
  <si>
    <t>2344 Electric HP &lt; 100 C non ferro</t>
  </si>
  <si>
    <t>2346 Post-Combustion CCS Add on - Fertilizer</t>
  </si>
  <si>
    <t>2349 Direct Firing NG 200-400 C - Industry</t>
  </si>
  <si>
    <t>2350 Direct Firing Elec 200-400 C -Industry</t>
  </si>
  <si>
    <t>2351 Direct Firing NG 200-400 C - Refinery</t>
  </si>
  <si>
    <t>2352 Direct Firing Elec 200-400 C - Refinery</t>
  </si>
  <si>
    <t>2353 Direct Firing WG 200-400 C - Chemicals</t>
  </si>
  <si>
    <t>2354 Direct Firing WG &gt; 400 C - Chemicals</t>
  </si>
  <si>
    <t>2355 REF Naphta from oilproducts</t>
  </si>
  <si>
    <t>2356 REF methanol from NG</t>
  </si>
  <si>
    <t>2357 Methanol from lignocellulosics</t>
  </si>
  <si>
    <t>2358 REF methanol conventional applications</t>
  </si>
  <si>
    <t>2359 Methanol to olefins</t>
  </si>
  <si>
    <t>2360 Methanol from ext. H2 and ext. CO2</t>
  </si>
  <si>
    <t>2361 Methanol from ext. H2 and direct air capture</t>
  </si>
  <si>
    <t>2362 Methanol to Gasoline</t>
  </si>
  <si>
    <t>2363 Natural Gas boilers - Low Temp - Chemie</t>
  </si>
  <si>
    <t>2364 REF Glass production conventional furnaces</t>
  </si>
  <si>
    <t>2365 Glass production with electric cold-top furnaces</t>
  </si>
  <si>
    <t>2366 Glass production with efficient furnaces</t>
  </si>
  <si>
    <t>2367 REF Ceramics production in conventional kilns</t>
  </si>
  <si>
    <t>2368 Ceramics production in electric kilns</t>
  </si>
  <si>
    <t>2371 LNG truck with 13% energy consumption reduction</t>
  </si>
  <si>
    <t>2372 H2 truck with energy consumption reduction</t>
  </si>
  <si>
    <t>2374 Pyrolysis of plastic waste with hydrotreating</t>
  </si>
  <si>
    <t>2375 Waste Gas 200-400C Boilers - Refineries</t>
  </si>
  <si>
    <t>2376 Waste Gas 200-400C Boilers CCS- Refineries</t>
  </si>
  <si>
    <t>2377 Waste Gas 100-200C Boilers - Refineries</t>
  </si>
  <si>
    <t>2378 Waste Gas 100-200C Boilers CCS - Refineries</t>
  </si>
  <si>
    <t>2380 DME truck</t>
  </si>
  <si>
    <t>2381 DME truck with 18% energy consumption reduction</t>
  </si>
  <si>
    <t>2382 Methanol for shipping from NG</t>
  </si>
  <si>
    <t>2383 Methanol vessel</t>
  </si>
  <si>
    <t>2384 NG to LNG for shipping</t>
  </si>
  <si>
    <t>2385 LNG vessel</t>
  </si>
  <si>
    <t>2386 Biogas to Bio-LNG for shipping</t>
  </si>
  <si>
    <t>2387 Synthetic LNG production from ext. H2 and CO2</t>
  </si>
  <si>
    <t>2388 Methanol from lignocellulosics with CC</t>
  </si>
  <si>
    <t>2389 Methanol from biogas</t>
  </si>
  <si>
    <t>2392 Lignocellulosic ethanol production with CC</t>
  </si>
  <si>
    <t>2393 Bio-DME production with CC</t>
  </si>
  <si>
    <t>2394 Biomass gasification + FT towards kerosene with CC</t>
  </si>
  <si>
    <t>2395 Conversion of expensive part woody biomass import to woody biomass</t>
  </si>
  <si>
    <t>2396 Other dwelllings - startlabel A retrofitted to A+</t>
  </si>
  <si>
    <t>2397 Terraced houses - startlabel A retrofitted to A+</t>
  </si>
  <si>
    <t>2398 Other dwelllings - startlabel DC/B retrofitted to A</t>
  </si>
  <si>
    <t>2399 Terraced houses - startlabel DC/B retrofitted to A</t>
  </si>
  <si>
    <t>2400 Apartments - startlabel GFE retrofitted to DC</t>
  </si>
  <si>
    <t>2401 Apartments - startlabel GFE retrofitted to B</t>
  </si>
  <si>
    <t>2402 Other dwelllings - startlabel GFE retrofitted to DC</t>
  </si>
  <si>
    <t>2403 Other dwelllings - startlabel GFE retrofitted to B</t>
  </si>
  <si>
    <t>2404 Terraced houses - startlabel GFE retrofitted to DC</t>
  </si>
  <si>
    <t>2405 Terraced houses - startlabel GFE retrofitted to B</t>
  </si>
  <si>
    <t>2406 Conversion synthetic FT to kerosene</t>
  </si>
  <si>
    <t>2407 Bioethylene via bioethanol</t>
  </si>
  <si>
    <t>2408 Biomass gasification + FT towards diesel with CC</t>
  </si>
  <si>
    <t>2409 H2 from waste gas steam reforming with  CC  from flue gas</t>
  </si>
  <si>
    <t>2410 Steam Cracking (adapted) for co-processing III (more pyoil)</t>
  </si>
  <si>
    <t>2412 Nuclear energy EPR (Gen III+)  - Electricity production</t>
  </si>
  <si>
    <t>2415 Heat distribution grid</t>
  </si>
  <si>
    <t>2416 Heat transformer station transmission type 1 - District heating</t>
  </si>
  <si>
    <t>2418 Compression HP, air source, large 10MWth - District heating</t>
  </si>
  <si>
    <t>2419 Biomass (wood chips) CHP, small ~19 MWth - District heating</t>
  </si>
  <si>
    <t>2422 Compression HP, air source, IWH, medium 3 MW - Distict heating</t>
  </si>
  <si>
    <t>2423 Biomass (straw) CHP small ~16 MWth - District heating</t>
  </si>
  <si>
    <t>2424 Biomass (wood chips) Boiler, small ~7 MWth - District heating</t>
  </si>
  <si>
    <t>2425 Biomass (straw) Boiler, small ~6 MWth - District heating</t>
  </si>
  <si>
    <t>2427 Keep IWH unused - Basic metal non-ferro</t>
  </si>
  <si>
    <t>2428 REF BEV van</t>
  </si>
  <si>
    <t>2429 REF electric truck</t>
  </si>
  <si>
    <t>2430 REF ICE bus</t>
  </si>
  <si>
    <t>2431 REF ICE inland navigation freight</t>
  </si>
  <si>
    <t>2432 ICE inland navigation freight - 15% fuel reduction</t>
  </si>
  <si>
    <t>2433 Battery electric inland navigation freight</t>
  </si>
  <si>
    <t>2434 Fuel cell inland navigation freight</t>
  </si>
  <si>
    <t>2435 Electricity savings level 1 - FBI</t>
  </si>
  <si>
    <t>2438 Heat savings level 2 - FBI</t>
  </si>
  <si>
    <t>2439 Electricity savings level 2 - Chemical</t>
  </si>
  <si>
    <t>2440 Electricity savings level 3 - Chemical</t>
  </si>
  <si>
    <t>2442 Electricity savings level 2 - Fertilizer</t>
  </si>
  <si>
    <t>2443 Electricity savings level 2 - Refinery</t>
  </si>
  <si>
    <t>2444 Electricity savings level 2 - Basic metals ferro</t>
  </si>
  <si>
    <t>2445 Electricity savings level 3 - Fertilizer</t>
  </si>
  <si>
    <t>2446 Electricity savings level 3 - Refinery</t>
  </si>
  <si>
    <t>2447 Electricity savings level 3 - Basic metals ferro</t>
  </si>
  <si>
    <t>2448 Heat savings - Het Nieuwe Telen - Agriculture</t>
  </si>
  <si>
    <t>2449 Heat savings - Insulation package - Agriculture</t>
  </si>
  <si>
    <t>2450 Heat savings - 2e scherm - Agriculture</t>
  </si>
  <si>
    <t>2451 Heat savings - 3e scherm - Agriculture</t>
  </si>
  <si>
    <t>2452 Heat savings - selective ventilation - Agriculture</t>
  </si>
  <si>
    <t>2453 Heat savings - nieuwbouwkassen - Agriculture</t>
  </si>
  <si>
    <t>2454 Heat saving - Low temperature heating - Agriculture</t>
  </si>
  <si>
    <t>2455 Electricity savings - meet en regeltechniek - Agriculture</t>
  </si>
  <si>
    <t>2456 Electricity savings - distribution &amp; feeding - Agriculture</t>
  </si>
  <si>
    <t>2457 Electricity savings - bevochtiging - Agriculture</t>
  </si>
  <si>
    <t>2458 Electricity savings - selective cooling - Agriculture</t>
  </si>
  <si>
    <t>2459 Electricity savings - LED lightning - Agriculture</t>
  </si>
  <si>
    <t>2461 External NH3 for fertilizer industry</t>
  </si>
  <si>
    <t>2462 Import ammonia to domestic</t>
  </si>
  <si>
    <t>2463 Export ammonia</t>
  </si>
  <si>
    <t>2464 Ammonia vessel</t>
  </si>
  <si>
    <t>2465 Ammoniak productie (energy carrier)</t>
  </si>
  <si>
    <t>2467 H-B NH3 with external H2 (energy carrier)</t>
  </si>
  <si>
    <t>2468 Electrolyse H-B NH3 (energy carrier)</t>
  </si>
  <si>
    <t>2472 Flexdiesel to naphta and ethylene</t>
  </si>
  <si>
    <t>2473 Flexkerosine to naphta and ethylene</t>
  </si>
  <si>
    <t>2477 CO2 venting</t>
  </si>
  <si>
    <t>2478 Keep IWH unused - Refinery</t>
  </si>
  <si>
    <t>2480 REF data center</t>
  </si>
  <si>
    <t>2482 H2 from NH3 cracking</t>
  </si>
  <si>
    <t>2485 Waste heat  - Heat Pump - Refinery</t>
  </si>
  <si>
    <t>2486 Heat&lt;100C  - Heat Pump - Refinery</t>
  </si>
  <si>
    <t>2501 Steam network (100-200 degC)</t>
  </si>
  <si>
    <t>2502 Steam network (200-400 degC)</t>
  </si>
  <si>
    <t>2505 Convert CO2flow to CO2flow for storage</t>
  </si>
  <si>
    <t>2506 CO2 network for CO2 storage</t>
  </si>
  <si>
    <t>2507 REF overall aromatics demand</t>
  </si>
  <si>
    <t>2508 Aromatics production via biomass</t>
  </si>
  <si>
    <t>2509 Methanol to aromatics</t>
  </si>
  <si>
    <t>2510 REF lubricant use mobility</t>
  </si>
  <si>
    <t>2511 Small Modular Reactor - electricity only modus</t>
  </si>
  <si>
    <t>2512 Connector Point - Electricity Genration Heat200to400</t>
  </si>
  <si>
    <t>2513 Keep IWH unused - Electricity production</t>
  </si>
  <si>
    <t>2514 Small Modular Reactor - max heat modus</t>
  </si>
  <si>
    <t>2515 Gasification of mixed plastic waste to methanol</t>
  </si>
  <si>
    <t>2516 Mechanical recycling of plastic waste</t>
  </si>
  <si>
    <t>2517 Offshore platform including converter</t>
  </si>
  <si>
    <t>2518 Mechanical recycling of plastic waste with high yield</t>
  </si>
  <si>
    <t>2519 Gasification of mixed plastic waste to methanol with high yield</t>
  </si>
  <si>
    <t>2520 Pyrolysis of plastic waste with hydrotreating with high yield</t>
  </si>
  <si>
    <t>2521 Biomethanol via direct gasification with ext H2</t>
  </si>
  <si>
    <t>Sector</t>
  </si>
  <si>
    <t>Industrie</t>
  </si>
  <si>
    <t>Chemie</t>
  </si>
  <si>
    <t>Landbouw</t>
  </si>
  <si>
    <t>Biofuel</t>
  </si>
  <si>
    <t>H2 voorziening</t>
  </si>
  <si>
    <t>Huishoudens</t>
  </si>
  <si>
    <t>Elektriciteitsopwekking</t>
  </si>
  <si>
    <t>HDO</t>
  </si>
  <si>
    <t>Verkeer</t>
  </si>
  <si>
    <t>Gasvoorziening</t>
  </si>
  <si>
    <t>Raffinaderijen</t>
  </si>
  <si>
    <t>Warmteopwekking (centraal)</t>
  </si>
  <si>
    <t>Kunstmestindustrie</t>
  </si>
  <si>
    <t>Basismetaal ferro</t>
  </si>
  <si>
    <t>Food and Beverage Industry</t>
  </si>
  <si>
    <t>Waste</t>
  </si>
  <si>
    <t>MWT</t>
  </si>
  <si>
    <t>dummy</t>
  </si>
  <si>
    <t>Clean gas</t>
  </si>
  <si>
    <t>Bunkers</t>
  </si>
  <si>
    <t>Basic metal non-ferro</t>
  </si>
  <si>
    <t>Energy Carrier</t>
  </si>
  <si>
    <t>Elektriciteit</t>
  </si>
  <si>
    <t>Warmte</t>
  </si>
  <si>
    <t>Waterstof</t>
  </si>
  <si>
    <t>Zon</t>
  </si>
  <si>
    <t>Biomassa (hout)</t>
  </si>
  <si>
    <t>CO2Flow</t>
  </si>
  <si>
    <t>Aardgas</t>
  </si>
  <si>
    <t>Kolen</t>
  </si>
  <si>
    <t>Zon thermisch</t>
  </si>
  <si>
    <t>Omgevingswarmte</t>
  </si>
  <si>
    <t>Wind</t>
  </si>
  <si>
    <t>HeatHT400</t>
  </si>
  <si>
    <t>Heat200to400</t>
  </si>
  <si>
    <t>Biomassa (natte stromen)</t>
  </si>
  <si>
    <t>Heat100to200</t>
  </si>
  <si>
    <t>HeatDir200to400</t>
  </si>
  <si>
    <t>Aromatics</t>
  </si>
  <si>
    <t>Bio-aromatics</t>
  </si>
  <si>
    <t>Bionaphta</t>
  </si>
  <si>
    <t>Naphta</t>
  </si>
  <si>
    <t>Other synthetic oil products</t>
  </si>
  <si>
    <t>Overige bio-olieproducten</t>
  </si>
  <si>
    <t>Overige olieproducten</t>
  </si>
  <si>
    <t>Synthetic aromatics</t>
  </si>
  <si>
    <t>Synthetic naphtha</t>
  </si>
  <si>
    <t>Aardwarmte</t>
  </si>
  <si>
    <t>Biogas</t>
  </si>
  <si>
    <t>Cokes</t>
  </si>
  <si>
    <t>Diesel</t>
  </si>
  <si>
    <t>Olie</t>
  </si>
  <si>
    <t>LPG</t>
  </si>
  <si>
    <t>Biodiesel</t>
  </si>
  <si>
    <t>Synthetic diesel</t>
  </si>
  <si>
    <t>Benzine</t>
  </si>
  <si>
    <t>Bio-ethanol</t>
  </si>
  <si>
    <t>Biobenzine</t>
  </si>
  <si>
    <t>Synthetic benzine</t>
  </si>
  <si>
    <t>HFO</t>
  </si>
  <si>
    <t>Kerosine</t>
  </si>
  <si>
    <t>Restgassen</t>
  </si>
  <si>
    <t>Cokesovengas</t>
  </si>
  <si>
    <t>Hoogovengas</t>
  </si>
  <si>
    <t>SNG</t>
  </si>
  <si>
    <t>Bio-LPG</t>
  </si>
  <si>
    <t>Synthetic LPG</t>
  </si>
  <si>
    <t>Bio-restgassen</t>
  </si>
  <si>
    <t>Synthetic waste gasses</t>
  </si>
  <si>
    <t>Aardgas feedstock</t>
  </si>
  <si>
    <t>Industrial Waste Heat</t>
  </si>
  <si>
    <t>CO2flow for storage</t>
  </si>
  <si>
    <t>Oliegrondstoffen</t>
  </si>
  <si>
    <t>Waterkracht</t>
  </si>
  <si>
    <t>Afval (niet-biogeen)</t>
  </si>
  <si>
    <t>Biomassa (afval biogeen)</t>
  </si>
  <si>
    <t>E-inhoud mest</t>
  </si>
  <si>
    <t>Biomassa (AWZ, RWZ en STRT)</t>
  </si>
  <si>
    <t>Biomassa (GFT &amp; VGI)</t>
  </si>
  <si>
    <t>Gas transport</t>
  </si>
  <si>
    <t>Gas winning</t>
  </si>
  <si>
    <t>Import elektriciteit</t>
  </si>
  <si>
    <t>Export elektriciteit</t>
  </si>
  <si>
    <t>Biomassa (hout binnenland)</t>
  </si>
  <si>
    <t>Biomassa (hout buitenland)</t>
  </si>
  <si>
    <t>Uranium</t>
  </si>
  <si>
    <t>Bio-DME</t>
  </si>
  <si>
    <t>Biokerosine</t>
  </si>
  <si>
    <t>Synthetic kerosine</t>
  </si>
  <si>
    <t>Synthetische brandstoffen uit FT</t>
  </si>
  <si>
    <t>BioHFO</t>
  </si>
  <si>
    <t>Biomassa (UCO buitenland)</t>
  </si>
  <si>
    <t>Biomass Pyrolysis Oil</t>
  </si>
  <si>
    <t>Hydrogen import</t>
  </si>
  <si>
    <t>Hydrogen export</t>
  </si>
  <si>
    <t>Methanol</t>
  </si>
  <si>
    <t>Bio-Methanol for shipping</t>
  </si>
  <si>
    <t>Biomethanol</t>
  </si>
  <si>
    <t>Synthetic methanol</t>
  </si>
  <si>
    <t>Synthetic methanol for shipping</t>
  </si>
  <si>
    <t>Plastic pyrolysis oil</t>
  </si>
  <si>
    <t>Rejected plastic waste</t>
  </si>
  <si>
    <t>Methanol for shipping</t>
  </si>
  <si>
    <t>LNG for shipping</t>
  </si>
  <si>
    <t>Bio-LNG for shipping</t>
  </si>
  <si>
    <t>CO2, emission</t>
  </si>
  <si>
    <t>CO2, product</t>
  </si>
  <si>
    <t>Synthetic LNG for shipping</t>
  </si>
  <si>
    <t>Biomassa (hout buitenland), expensive part</t>
  </si>
  <si>
    <t>Biomass Local Wood chips</t>
  </si>
  <si>
    <t>Biomass Straw</t>
  </si>
  <si>
    <t>Ammonia</t>
  </si>
  <si>
    <t>Ammonia import</t>
  </si>
  <si>
    <t>Ammonia export</t>
  </si>
  <si>
    <t>Ethylene</t>
  </si>
  <si>
    <t>Plastic waste</t>
  </si>
  <si>
    <t>Biomassa (zetmeel)</t>
  </si>
  <si>
    <t>Biomassa (suikers)</t>
  </si>
  <si>
    <t>2025_investment_multiplied</t>
  </si>
  <si>
    <t>2030_investment_multiplied</t>
  </si>
  <si>
    <t>2035_investment_multiplied</t>
  </si>
  <si>
    <t>2040_investment_multiplied</t>
  </si>
  <si>
    <t>2045_investment_multiplied</t>
  </si>
  <si>
    <t>2050_investment_multiplied</t>
  </si>
  <si>
    <t>Variable</t>
  </si>
  <si>
    <t>Unit</t>
  </si>
  <si>
    <t>IND01</t>
  </si>
  <si>
    <t>th_euro</t>
  </si>
  <si>
    <t>ENE01</t>
  </si>
  <si>
    <t>AGR01</t>
  </si>
  <si>
    <t>ENE02</t>
  </si>
  <si>
    <t>PGT09</t>
  </si>
  <si>
    <t>ENE03</t>
  </si>
  <si>
    <t>Energy Use</t>
  </si>
  <si>
    <t>TJ</t>
  </si>
  <si>
    <t>ENE04</t>
  </si>
  <si>
    <t>ENE05</t>
  </si>
  <si>
    <t>ENE06</t>
  </si>
  <si>
    <t>ENE07</t>
  </si>
  <si>
    <t>ENE08</t>
  </si>
  <si>
    <t>ENE09</t>
  </si>
  <si>
    <t>ENE10</t>
  </si>
  <si>
    <t>ENE11</t>
  </si>
  <si>
    <t>IND02</t>
  </si>
  <si>
    <t>Residential</t>
  </si>
  <si>
    <t>Equipments</t>
  </si>
  <si>
    <t>PV</t>
  </si>
  <si>
    <t>CCS</t>
  </si>
  <si>
    <t>Geothermal</t>
  </si>
  <si>
    <t>IND04</t>
  </si>
  <si>
    <t>IND08</t>
  </si>
  <si>
    <t>IND12</t>
  </si>
  <si>
    <t>Food</t>
  </si>
  <si>
    <t>IND22</t>
  </si>
  <si>
    <t>Ferrous metals</t>
  </si>
  <si>
    <t>Electricity</t>
  </si>
  <si>
    <t>2050x</t>
  </si>
  <si>
    <t>Coal fired</t>
  </si>
  <si>
    <t>PGT01</t>
  </si>
  <si>
    <t>Oil fired</t>
  </si>
  <si>
    <t>PGT02</t>
  </si>
  <si>
    <t>Gas fired</t>
  </si>
  <si>
    <t>PGT03</t>
  </si>
  <si>
    <t>Nuclear</t>
  </si>
  <si>
    <t>PGT04</t>
  </si>
  <si>
    <t>Biomass</t>
  </si>
  <si>
    <t>PGT05</t>
  </si>
  <si>
    <t>Hydro electric</t>
  </si>
  <si>
    <t>PGT06</t>
  </si>
  <si>
    <t>PGT07</t>
  </si>
  <si>
    <t>PGT08</t>
  </si>
  <si>
    <t>CCS coal</t>
  </si>
  <si>
    <t>PGT10</t>
  </si>
  <si>
    <t>CCS Gas</t>
  </si>
  <si>
    <t>PGT11</t>
  </si>
  <si>
    <t>CCS Bio</t>
  </si>
  <si>
    <t>PGT12</t>
  </si>
  <si>
    <t>Coal</t>
  </si>
  <si>
    <t>Crude Oil</t>
  </si>
  <si>
    <t>Oil</t>
  </si>
  <si>
    <t>Gas</t>
  </si>
  <si>
    <t>Power Supply</t>
  </si>
  <si>
    <t>Biomass Solid</t>
  </si>
  <si>
    <t>Biofuels</t>
  </si>
  <si>
    <t>Clean Gas</t>
  </si>
  <si>
    <t>Green Hydrogen</t>
  </si>
  <si>
    <t>Blue Hydrogen</t>
  </si>
  <si>
    <t>Storage of Green Hydrogen</t>
  </si>
  <si>
    <t>Non-ferrous metals</t>
  </si>
  <si>
    <t>IND03</t>
  </si>
  <si>
    <t>Fabricated Metal products</t>
  </si>
  <si>
    <t>Chemical Products</t>
  </si>
  <si>
    <t>IND05</t>
  </si>
  <si>
    <t>Basic pharmaceutical products</t>
  </si>
  <si>
    <t>IND06</t>
  </si>
  <si>
    <t>Rubber and plastic products</t>
  </si>
  <si>
    <t>IND07</t>
  </si>
  <si>
    <t>Paper products, publishing</t>
  </si>
  <si>
    <t>Non-metallic minerals</t>
  </si>
  <si>
    <t>IND09</t>
  </si>
  <si>
    <t>Computer, electronic and optical products</t>
  </si>
  <si>
    <t>IND10</t>
  </si>
  <si>
    <t>Transport equipment (excluding EV)</t>
  </si>
  <si>
    <t>IND11</t>
  </si>
  <si>
    <t>Other Equipment Goods</t>
  </si>
  <si>
    <t>Consumer Goods Industries</t>
  </si>
  <si>
    <t>IND13</t>
  </si>
  <si>
    <t>Construction</t>
  </si>
  <si>
    <t>IND14</t>
  </si>
  <si>
    <t>Batteries</t>
  </si>
  <si>
    <t>IND15</t>
  </si>
  <si>
    <t>EV Transport Equipment</t>
  </si>
  <si>
    <t>IND16</t>
  </si>
  <si>
    <t>Advanced Electric Appliances</t>
  </si>
  <si>
    <t>IND17</t>
  </si>
  <si>
    <t>Advanced Heating and Cooking Appliances</t>
  </si>
  <si>
    <t>IND18</t>
  </si>
  <si>
    <t>Equipment for wind power technology</t>
  </si>
  <si>
    <t>IND19</t>
  </si>
  <si>
    <t>Equipment for PV panels</t>
  </si>
  <si>
    <t>IND20</t>
  </si>
  <si>
    <t>Equipment for CCS power technology</t>
  </si>
  <si>
    <t>IND21</t>
  </si>
  <si>
    <t>CO2 Capture</t>
  </si>
  <si>
    <t>Pipeline network of Hydrogen</t>
  </si>
  <si>
    <t>retro</t>
  </si>
  <si>
    <t>Vehicle</t>
  </si>
  <si>
    <t>Electric vehicle</t>
  </si>
  <si>
    <t>ICE</t>
  </si>
  <si>
    <t>Hybrid</t>
  </si>
  <si>
    <t>Hydrogen</t>
  </si>
  <si>
    <t>2050X</t>
  </si>
  <si>
    <t>TRA01</t>
  </si>
  <si>
    <t>Air transport</t>
  </si>
  <si>
    <t>TRA02</t>
  </si>
  <si>
    <t>Land transport</t>
  </si>
  <si>
    <t>TRA03</t>
  </si>
  <si>
    <t>Water transport</t>
  </si>
  <si>
    <t>total</t>
  </si>
  <si>
    <t>Households-Equipment</t>
  </si>
  <si>
    <t>Housholds-Retrofitting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</si>
</sst>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charset val="161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1F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E1F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6" fillId="0" borderId="0"/>
    <xf numFmtId="0" fontId="8" fillId="0" borderId="0"/>
  </cellStyleXfs>
  <cellXfs count="98">
    <xf numFmtId="0" fontId="0" fillId="0" borderId="0" xfId="0"/>
    <xf numFmtId="0" fontId="2" fillId="0" borderId="1" xfId="0" applyFont="1" applyBorder="1" applyAlignment="1">
      <alignment horizontal="center" vertical="top"/>
    </xf>
    <xf numFmtId="0" fontId="7" fillId="2" borderId="2" xfId="2" applyFont="1" applyFill="1" applyBorder="1"/>
    <xf numFmtId="0" fontId="7" fillId="2" borderId="2" xfId="2" applyFont="1" applyFill="1" applyBorder="1" applyAlignment="1">
      <alignment horizontal="center"/>
    </xf>
    <xf numFmtId="0" fontId="6" fillId="0" borderId="0" xfId="2"/>
    <xf numFmtId="0" fontId="7" fillId="0" borderId="2" xfId="2" applyFont="1" applyBorder="1"/>
    <xf numFmtId="0" fontId="6" fillId="4" borderId="3" xfId="2" applyFill="1" applyBorder="1"/>
    <xf numFmtId="1" fontId="6" fillId="5" borderId="0" xfId="2" applyNumberFormat="1" applyFill="1"/>
    <xf numFmtId="0" fontId="6" fillId="2" borderId="4" xfId="2" applyFill="1" applyBorder="1" applyAlignment="1">
      <alignment horizontal="left"/>
    </xf>
    <xf numFmtId="0" fontId="6" fillId="2" borderId="4" xfId="2" applyFill="1" applyBorder="1"/>
    <xf numFmtId="1" fontId="6" fillId="2" borderId="0" xfId="2" applyNumberFormat="1" applyFill="1"/>
    <xf numFmtId="0" fontId="8" fillId="0" borderId="0" xfId="3"/>
    <xf numFmtId="0" fontId="8" fillId="6" borderId="0" xfId="3" applyFill="1"/>
    <xf numFmtId="0" fontId="0" fillId="4" borderId="5" xfId="0" applyFill="1" applyBorder="1"/>
    <xf numFmtId="0" fontId="0" fillId="7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1" fontId="0" fillId="2" borderId="0" xfId="0" applyNumberFormat="1" applyFill="1"/>
    <xf numFmtId="0" fontId="6" fillId="4" borderId="5" xfId="2" applyFill="1" applyBorder="1"/>
    <xf numFmtId="0" fontId="6" fillId="2" borderId="0" xfId="2" applyFill="1" applyAlignment="1">
      <alignment horizontal="left"/>
    </xf>
    <xf numFmtId="0" fontId="6" fillId="2" borderId="0" xfId="2" applyFill="1"/>
    <xf numFmtId="0" fontId="0" fillId="7" borderId="2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1" fontId="0" fillId="2" borderId="2" xfId="0" applyNumberFormat="1" applyFill="1" applyBorder="1"/>
    <xf numFmtId="0" fontId="0" fillId="8" borderId="3" xfId="0" applyFill="1" applyBorder="1"/>
    <xf numFmtId="0" fontId="0" fillId="5" borderId="0" xfId="0" applyFill="1" applyAlignment="1">
      <alignment horizontal="left"/>
    </xf>
    <xf numFmtId="1" fontId="0" fillId="2" borderId="6" xfId="0" applyNumberFormat="1" applyFill="1" applyBorder="1"/>
    <xf numFmtId="0" fontId="0" fillId="8" borderId="5" xfId="0" applyFill="1" applyBorder="1"/>
    <xf numFmtId="1" fontId="0" fillId="2" borderId="7" xfId="0" applyNumberFormat="1" applyFill="1" applyBorder="1"/>
    <xf numFmtId="1" fontId="6" fillId="5" borderId="2" xfId="2" applyNumberFormat="1" applyFill="1" applyBorder="1"/>
    <xf numFmtId="0" fontId="6" fillId="2" borderId="2" xfId="2" applyFill="1" applyBorder="1" applyAlignment="1">
      <alignment horizontal="left"/>
    </xf>
    <xf numFmtId="0" fontId="6" fillId="2" borderId="2" xfId="2" applyFill="1" applyBorder="1"/>
    <xf numFmtId="1" fontId="6" fillId="2" borderId="2" xfId="2" applyNumberFormat="1" applyFill="1" applyBorder="1"/>
    <xf numFmtId="1" fontId="6" fillId="2" borderId="4" xfId="2" applyNumberFormat="1" applyFill="1" applyBorder="1"/>
    <xf numFmtId="1" fontId="6" fillId="2" borderId="6" xfId="2" applyNumberFormat="1" applyFill="1" applyBorder="1"/>
    <xf numFmtId="1" fontId="6" fillId="2" borderId="7" xfId="2" applyNumberFormat="1" applyFill="1" applyBorder="1"/>
    <xf numFmtId="0" fontId="0" fillId="8" borderId="8" xfId="0" applyFill="1" applyBorder="1"/>
    <xf numFmtId="0" fontId="0" fillId="5" borderId="2" xfId="0" applyFill="1" applyBorder="1" applyAlignment="1">
      <alignment horizontal="left"/>
    </xf>
    <xf numFmtId="1" fontId="0" fillId="2" borderId="9" xfId="0" applyNumberFormat="1" applyFill="1" applyBorder="1"/>
    <xf numFmtId="0" fontId="7" fillId="0" borderId="3" xfId="3" applyFont="1" applyBorder="1"/>
    <xf numFmtId="0" fontId="7" fillId="0" borderId="4" xfId="3" applyFont="1" applyBorder="1"/>
    <xf numFmtId="0" fontId="7" fillId="0" borderId="6" xfId="3" applyFont="1" applyBorder="1"/>
    <xf numFmtId="0" fontId="8" fillId="4" borderId="5" xfId="3" applyFill="1" applyBorder="1"/>
    <xf numFmtId="0" fontId="8" fillId="7" borderId="0" xfId="3" applyFill="1"/>
    <xf numFmtId="0" fontId="8" fillId="0" borderId="8" xfId="3" applyBorder="1"/>
    <xf numFmtId="0" fontId="8" fillId="0" borderId="2" xfId="3" applyBorder="1"/>
    <xf numFmtId="0" fontId="8" fillId="0" borderId="9" xfId="3" applyBorder="1"/>
    <xf numFmtId="0" fontId="8" fillId="8" borderId="3" xfId="3" applyFill="1" applyBorder="1"/>
    <xf numFmtId="0" fontId="8" fillId="5" borderId="4" xfId="3" applyFill="1" applyBorder="1"/>
    <xf numFmtId="0" fontId="8" fillId="0" borderId="4" xfId="3" applyBorder="1"/>
    <xf numFmtId="0" fontId="8" fillId="0" borderId="6" xfId="3" applyBorder="1"/>
    <xf numFmtId="0" fontId="7" fillId="2" borderId="2" xfId="0" applyFont="1" applyFill="1" applyBorder="1" applyAlignment="1">
      <alignment horizontal="center"/>
    </xf>
    <xf numFmtId="0" fontId="8" fillId="8" borderId="5" xfId="3" applyFill="1" applyBorder="1"/>
    <xf numFmtId="0" fontId="8" fillId="5" borderId="0" xfId="3" applyFill="1"/>
    <xf numFmtId="0" fontId="8" fillId="0" borderId="7" xfId="3" applyBorder="1"/>
    <xf numFmtId="1" fontId="6" fillId="2" borderId="9" xfId="2" applyNumberFormat="1" applyFill="1" applyBorder="1"/>
    <xf numFmtId="0" fontId="8" fillId="8" borderId="8" xfId="3" applyFill="1" applyBorder="1"/>
    <xf numFmtId="0" fontId="8" fillId="5" borderId="2" xfId="3" applyFill="1" applyBorder="1"/>
    <xf numFmtId="1" fontId="6" fillId="2" borderId="11" xfId="2" applyNumberFormat="1" applyFill="1" applyBorder="1"/>
    <xf numFmtId="1" fontId="6" fillId="2" borderId="12" xfId="2" applyNumberFormat="1" applyFill="1" applyBorder="1"/>
    <xf numFmtId="0" fontId="6" fillId="5" borderId="0" xfId="2" applyFill="1"/>
    <xf numFmtId="0" fontId="6" fillId="2" borderId="7" xfId="2" applyFill="1" applyBorder="1"/>
    <xf numFmtId="0" fontId="6" fillId="5" borderId="2" xfId="2" applyFill="1" applyBorder="1"/>
    <xf numFmtId="0" fontId="6" fillId="2" borderId="9" xfId="2" applyFill="1" applyBorder="1"/>
    <xf numFmtId="0" fontId="0" fillId="4" borderId="3" xfId="0" applyFill="1" applyBorder="1"/>
    <xf numFmtId="1" fontId="0" fillId="5" borderId="0" xfId="0" applyNumberFormat="1" applyFill="1"/>
    <xf numFmtId="0" fontId="0" fillId="2" borderId="4" xfId="0" applyFill="1" applyBorder="1" applyAlignment="1">
      <alignment horizontal="left"/>
    </xf>
    <xf numFmtId="0" fontId="0" fillId="2" borderId="4" xfId="0" applyFill="1" applyBorder="1"/>
    <xf numFmtId="1" fontId="0" fillId="5" borderId="2" xfId="0" applyNumberFormat="1" applyFill="1" applyBorder="1"/>
    <xf numFmtId="9" fontId="6" fillId="0" borderId="0" xfId="1" applyFont="1"/>
    <xf numFmtId="2" fontId="6" fillId="0" borderId="0" xfId="2" applyNumberFormat="1"/>
    <xf numFmtId="0" fontId="6" fillId="9" borderId="0" xfId="2" applyFill="1"/>
    <xf numFmtId="9" fontId="6" fillId="3" borderId="0" xfId="1" applyFont="1" applyFill="1"/>
    <xf numFmtId="0" fontId="6" fillId="9" borderId="2" xfId="2" applyFill="1" applyBorder="1"/>
    <xf numFmtId="0" fontId="9" fillId="6" borderId="0" xfId="3" applyFont="1" applyFill="1"/>
    <xf numFmtId="0" fontId="10" fillId="6" borderId="0" xfId="3" applyFont="1" applyFill="1"/>
    <xf numFmtId="0" fontId="5" fillId="6" borderId="0" xfId="0" applyFont="1" applyFill="1"/>
    <xf numFmtId="0" fontId="9" fillId="3" borderId="0" xfId="2" applyFont="1" applyFill="1"/>
    <xf numFmtId="0" fontId="9" fillId="0" borderId="0" xfId="2" applyFont="1"/>
    <xf numFmtId="0" fontId="0" fillId="10" borderId="0" xfId="0" applyFill="1"/>
    <xf numFmtId="0" fontId="1" fillId="0" borderId="1" xfId="0" applyFont="1" applyBorder="1" applyAlignment="1">
      <alignment horizontal="center" vertical="top"/>
    </xf>
    <xf numFmtId="0" fontId="9" fillId="6" borderId="0" xfId="2" applyFont="1" applyFill="1"/>
    <xf numFmtId="9" fontId="9" fillId="6" borderId="0" xfId="1" applyFont="1" applyFill="1"/>
    <xf numFmtId="0" fontId="7" fillId="0" borderId="4" xfId="3" applyFont="1" applyBorder="1" applyAlignment="1">
      <alignment horizontal="center"/>
    </xf>
    <xf numFmtId="0" fontId="7" fillId="0" borderId="6" xfId="3" applyFont="1" applyBorder="1" applyAlignment="1">
      <alignment horizontal="center"/>
    </xf>
    <xf numFmtId="0" fontId="6" fillId="2" borderId="0" xfId="2" applyFill="1" applyAlignment="1">
      <alignment horizontal="center"/>
    </xf>
    <xf numFmtId="0" fontId="6" fillId="2" borderId="2" xfId="2" applyFill="1" applyBorder="1" applyAlignment="1">
      <alignment horizontal="center"/>
    </xf>
    <xf numFmtId="0" fontId="8" fillId="0" borderId="0" xfId="3" applyAlignment="1">
      <alignment horizontal="center"/>
    </xf>
    <xf numFmtId="0" fontId="0" fillId="8" borderId="0" xfId="0" applyFill="1"/>
    <xf numFmtId="0" fontId="0" fillId="4" borderId="0" xfId="0" applyFill="1"/>
    <xf numFmtId="0" fontId="0" fillId="11" borderId="0" xfId="0" applyFill="1"/>
    <xf numFmtId="0" fontId="6" fillId="0" borderId="0" xfId="0" applyFont="1"/>
    <xf numFmtId="0" fontId="4" fillId="0" borderId="10" xfId="3" applyFont="1" applyBorder="1" applyAlignment="1">
      <alignment horizontal="center"/>
    </xf>
    <xf numFmtId="0" fontId="4" fillId="0" borderId="11" xfId="3" applyFont="1" applyBorder="1" applyAlignment="1">
      <alignment horizontal="center"/>
    </xf>
    <xf numFmtId="0" fontId="4" fillId="0" borderId="12" xfId="3" applyFont="1" applyBorder="1" applyAlignment="1">
      <alignment horizontal="center"/>
    </xf>
    <xf numFmtId="0" fontId="4" fillId="0" borderId="2" xfId="2" applyFont="1" applyBorder="1" applyAlignment="1">
      <alignment horizontal="center"/>
    </xf>
    <xf numFmtId="0" fontId="11" fillId="6" borderId="0" xfId="3" applyFont="1" applyFill="1" applyAlignment="1">
      <alignment horizontal="center" vertical="center"/>
    </xf>
  </cellXfs>
  <cellStyles count="4">
    <cellStyle name="Normal" xfId="0" builtinId="0"/>
    <cellStyle name="Normal 2" xfId="2" xr:uid="{20EBAE25-F43F-1C42-A590-96608C62E66A}"/>
    <cellStyle name="Normal 2 2" xfId="3" xr:uid="{60C634CB-DC89-6E4B-BFAE-607CE8E2CD64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I2230"/>
  <sheetViews>
    <sheetView topLeftCell="A177" workbookViewId="0">
      <selection activeCell="I1901" sqref="I1901"/>
    </sheetView>
  </sheetViews>
  <sheetFormatPr baseColWidth="10" defaultColWidth="8.83203125" defaultRowHeight="16" x14ac:dyDescent="0.2"/>
  <cols>
    <col min="1" max="1" width="60.6640625" customWidth="1"/>
    <col min="2" max="2" width="14.83203125" customWidth="1"/>
  </cols>
  <sheetData>
    <row r="1" spans="1:9" x14ac:dyDescent="0.2">
      <c r="A1" s="1" t="s">
        <v>0</v>
      </c>
      <c r="B1" s="1" t="s">
        <v>809</v>
      </c>
      <c r="C1" s="1" t="s">
        <v>906</v>
      </c>
      <c r="D1" s="1" t="s">
        <v>907</v>
      </c>
      <c r="E1" s="1" t="s">
        <v>908</v>
      </c>
      <c r="F1" s="1" t="s">
        <v>909</v>
      </c>
      <c r="G1" s="1" t="s">
        <v>910</v>
      </c>
      <c r="H1" s="1" t="s">
        <v>911</v>
      </c>
      <c r="I1" s="81" t="s">
        <v>787</v>
      </c>
    </row>
    <row r="2" spans="1:9" hidden="1" x14ac:dyDescent="0.2">
      <c r="A2" t="s">
        <v>10</v>
      </c>
      <c r="B2" t="s">
        <v>810</v>
      </c>
      <c r="C2">
        <v>0</v>
      </c>
      <c r="F2">
        <v>0</v>
      </c>
      <c r="H2">
        <v>0</v>
      </c>
      <c r="I2" t="s">
        <v>793</v>
      </c>
    </row>
    <row r="3" spans="1:9" hidden="1" x14ac:dyDescent="0.2">
      <c r="A3" t="s">
        <v>10</v>
      </c>
      <c r="B3" t="s">
        <v>811</v>
      </c>
      <c r="C3">
        <v>0</v>
      </c>
      <c r="F3">
        <v>0</v>
      </c>
      <c r="H3">
        <v>0</v>
      </c>
      <c r="I3" t="s">
        <v>793</v>
      </c>
    </row>
    <row r="4" spans="1:9" hidden="1" x14ac:dyDescent="0.2">
      <c r="A4" t="s">
        <v>10</v>
      </c>
      <c r="B4" t="s">
        <v>812</v>
      </c>
      <c r="C4">
        <v>7.4583781691386873E-5</v>
      </c>
      <c r="F4">
        <v>0</v>
      </c>
      <c r="H4">
        <v>0</v>
      </c>
      <c r="I4" t="s">
        <v>793</v>
      </c>
    </row>
    <row r="5" spans="1:9" hidden="1" x14ac:dyDescent="0.2">
      <c r="A5" t="s">
        <v>11</v>
      </c>
      <c r="B5" t="s">
        <v>810</v>
      </c>
      <c r="I5" t="s">
        <v>793</v>
      </c>
    </row>
    <row r="6" spans="1:9" hidden="1" x14ac:dyDescent="0.2">
      <c r="A6" t="s">
        <v>11</v>
      </c>
      <c r="B6" t="s">
        <v>811</v>
      </c>
      <c r="I6" t="s">
        <v>793</v>
      </c>
    </row>
    <row r="7" spans="1:9" hidden="1" x14ac:dyDescent="0.2">
      <c r="A7" t="s">
        <v>11</v>
      </c>
      <c r="B7" t="s">
        <v>812</v>
      </c>
      <c r="I7" t="s">
        <v>793</v>
      </c>
    </row>
    <row r="8" spans="1:9" hidden="1" x14ac:dyDescent="0.2">
      <c r="A8" t="s">
        <v>12</v>
      </c>
      <c r="B8" t="s">
        <v>810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">
        <v>793</v>
      </c>
    </row>
    <row r="9" spans="1:9" hidden="1" x14ac:dyDescent="0.2">
      <c r="A9" t="s">
        <v>12</v>
      </c>
      <c r="B9" t="s">
        <v>813</v>
      </c>
      <c r="C9">
        <v>10844.67942999212</v>
      </c>
      <c r="D9">
        <v>0</v>
      </c>
      <c r="E9">
        <v>0</v>
      </c>
      <c r="F9">
        <v>0</v>
      </c>
      <c r="G9">
        <v>0</v>
      </c>
      <c r="H9">
        <v>0</v>
      </c>
      <c r="I9" t="s">
        <v>793</v>
      </c>
    </row>
    <row r="10" spans="1:9" x14ac:dyDescent="0.2">
      <c r="A10" t="s">
        <v>13</v>
      </c>
      <c r="B10" t="s">
        <v>814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794</v>
      </c>
    </row>
    <row r="11" spans="1:9" x14ac:dyDescent="0.2">
      <c r="A11" t="s">
        <v>13</v>
      </c>
      <c r="B11" t="s">
        <v>815</v>
      </c>
      <c r="D11">
        <v>0</v>
      </c>
      <c r="E11">
        <v>0</v>
      </c>
      <c r="F11">
        <v>0</v>
      </c>
      <c r="G11">
        <v>0</v>
      </c>
      <c r="H11">
        <v>0</v>
      </c>
      <c r="I11" t="s">
        <v>794</v>
      </c>
    </row>
    <row r="12" spans="1:9" x14ac:dyDescent="0.2">
      <c r="A12" t="s">
        <v>13</v>
      </c>
      <c r="B12" t="s">
        <v>810</v>
      </c>
      <c r="D12">
        <v>0</v>
      </c>
      <c r="E12">
        <v>0</v>
      </c>
      <c r="F12">
        <v>0</v>
      </c>
      <c r="G12">
        <v>0</v>
      </c>
      <c r="H12">
        <v>0</v>
      </c>
      <c r="I12" t="s">
        <v>794</v>
      </c>
    </row>
    <row r="13" spans="1:9" hidden="1" x14ac:dyDescent="0.2">
      <c r="A13" s="89" t="s">
        <v>14</v>
      </c>
      <c r="B13" t="s">
        <v>816</v>
      </c>
      <c r="C13">
        <v>0</v>
      </c>
      <c r="D13">
        <v>4.8504449410672148E-4</v>
      </c>
      <c r="E13">
        <v>14.63419222797193</v>
      </c>
      <c r="F13">
        <v>13.819751558486409</v>
      </c>
      <c r="G13">
        <v>0</v>
      </c>
      <c r="H13">
        <v>0</v>
      </c>
      <c r="I13" t="s">
        <v>792</v>
      </c>
    </row>
    <row r="14" spans="1:9" hidden="1" x14ac:dyDescent="0.2">
      <c r="A14" s="89" t="s">
        <v>14</v>
      </c>
      <c r="B14" t="s">
        <v>815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792</v>
      </c>
    </row>
    <row r="15" spans="1:9" hidden="1" x14ac:dyDescent="0.2">
      <c r="A15" s="89" t="s">
        <v>14</v>
      </c>
      <c r="B15" t="s">
        <v>810</v>
      </c>
      <c r="C15">
        <v>0</v>
      </c>
      <c r="D15">
        <v>2.021107412713625E-5</v>
      </c>
      <c r="E15">
        <v>0.60979531059237302</v>
      </c>
      <c r="F15">
        <v>0.64054695881013435</v>
      </c>
      <c r="G15">
        <v>0</v>
      </c>
      <c r="H15">
        <v>0</v>
      </c>
      <c r="I15" t="s">
        <v>792</v>
      </c>
    </row>
    <row r="16" spans="1:9" hidden="1" x14ac:dyDescent="0.2">
      <c r="A16" s="89" t="s">
        <v>14</v>
      </c>
      <c r="B16" t="s">
        <v>812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">
        <v>792</v>
      </c>
    </row>
    <row r="17" spans="1:9" x14ac:dyDescent="0.2">
      <c r="A17" t="s">
        <v>15</v>
      </c>
      <c r="B17" t="s">
        <v>815</v>
      </c>
      <c r="I17" t="s">
        <v>794</v>
      </c>
    </row>
    <row r="18" spans="1:9" x14ac:dyDescent="0.2">
      <c r="A18" t="s">
        <v>15</v>
      </c>
      <c r="B18" t="s">
        <v>810</v>
      </c>
      <c r="I18" t="s">
        <v>794</v>
      </c>
    </row>
    <row r="19" spans="1:9" x14ac:dyDescent="0.2">
      <c r="A19" t="s">
        <v>15</v>
      </c>
      <c r="B19" t="s">
        <v>817</v>
      </c>
      <c r="I19" t="s">
        <v>794</v>
      </c>
    </row>
    <row r="20" spans="1:9" hidden="1" x14ac:dyDescent="0.2">
      <c r="A20" t="s">
        <v>16</v>
      </c>
      <c r="B20" t="s">
        <v>811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s">
        <v>795</v>
      </c>
    </row>
    <row r="21" spans="1:9" hidden="1" x14ac:dyDescent="0.2">
      <c r="A21" t="s">
        <v>16</v>
      </c>
      <c r="B21" t="s">
        <v>818</v>
      </c>
      <c r="C21">
        <v>9.3235958628026163E-3</v>
      </c>
      <c r="D21">
        <v>0</v>
      </c>
      <c r="E21">
        <v>0</v>
      </c>
      <c r="F21">
        <v>6.5201601766499477</v>
      </c>
      <c r="G21">
        <v>3.2823256426009739</v>
      </c>
      <c r="H21">
        <v>1.693591553469695</v>
      </c>
      <c r="I21" t="s">
        <v>795</v>
      </c>
    </row>
    <row r="22" spans="1:9" hidden="1" x14ac:dyDescent="0.2">
      <c r="A22" t="s">
        <v>17</v>
      </c>
      <c r="B22" t="s">
        <v>810</v>
      </c>
      <c r="C22">
        <v>0</v>
      </c>
      <c r="F22">
        <v>0</v>
      </c>
      <c r="H22">
        <v>0</v>
      </c>
      <c r="I22" t="s">
        <v>795</v>
      </c>
    </row>
    <row r="23" spans="1:9" hidden="1" x14ac:dyDescent="0.2">
      <c r="A23" t="s">
        <v>17</v>
      </c>
      <c r="B23" t="s">
        <v>811</v>
      </c>
      <c r="C23">
        <v>0</v>
      </c>
      <c r="F23">
        <v>0</v>
      </c>
      <c r="H23">
        <v>0</v>
      </c>
      <c r="I23" t="s">
        <v>795</v>
      </c>
    </row>
    <row r="24" spans="1:9" hidden="1" x14ac:dyDescent="0.2">
      <c r="A24" t="s">
        <v>17</v>
      </c>
      <c r="B24" t="s">
        <v>812</v>
      </c>
      <c r="C24">
        <v>5.7360762791493577E-5</v>
      </c>
      <c r="F24">
        <v>0</v>
      </c>
      <c r="H24">
        <v>0</v>
      </c>
      <c r="I24" t="s">
        <v>795</v>
      </c>
    </row>
    <row r="25" spans="1:9" hidden="1" x14ac:dyDescent="0.2">
      <c r="A25" t="s">
        <v>18</v>
      </c>
      <c r="B25" t="s">
        <v>810</v>
      </c>
      <c r="C25">
        <v>2.1375818110514191E-3</v>
      </c>
      <c r="D25">
        <v>0</v>
      </c>
      <c r="E25">
        <v>0</v>
      </c>
      <c r="F25">
        <v>0</v>
      </c>
      <c r="G25">
        <v>0</v>
      </c>
      <c r="H25">
        <v>0</v>
      </c>
      <c r="I25" t="s">
        <v>795</v>
      </c>
    </row>
    <row r="26" spans="1:9" hidden="1" x14ac:dyDescent="0.2">
      <c r="A26" t="s">
        <v>18</v>
      </c>
      <c r="B26" t="s">
        <v>819</v>
      </c>
      <c r="C26">
        <v>3.74082274971643E-3</v>
      </c>
      <c r="D26">
        <v>0</v>
      </c>
      <c r="E26">
        <v>0</v>
      </c>
      <c r="F26">
        <v>0</v>
      </c>
      <c r="G26">
        <v>0</v>
      </c>
      <c r="H26">
        <v>0</v>
      </c>
      <c r="I26" t="s">
        <v>795</v>
      </c>
    </row>
    <row r="27" spans="1:9" hidden="1" x14ac:dyDescent="0.2">
      <c r="A27" t="s">
        <v>18</v>
      </c>
      <c r="B27" t="s">
        <v>811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s">
        <v>795</v>
      </c>
    </row>
    <row r="28" spans="1:9" hidden="1" x14ac:dyDescent="0.2">
      <c r="A28" t="s">
        <v>19</v>
      </c>
      <c r="B28" t="s">
        <v>816</v>
      </c>
      <c r="C28">
        <v>29.59646674166909</v>
      </c>
      <c r="D28">
        <v>0</v>
      </c>
      <c r="E28">
        <v>0</v>
      </c>
      <c r="F28">
        <v>0</v>
      </c>
      <c r="G28">
        <v>0</v>
      </c>
      <c r="H28">
        <v>0</v>
      </c>
      <c r="I28" t="s">
        <v>795</v>
      </c>
    </row>
    <row r="29" spans="1:9" hidden="1" x14ac:dyDescent="0.2">
      <c r="A29" t="s">
        <v>19</v>
      </c>
      <c r="B29" t="s">
        <v>810</v>
      </c>
      <c r="C29">
        <v>505.24764556408019</v>
      </c>
      <c r="D29">
        <v>0</v>
      </c>
      <c r="E29">
        <v>0</v>
      </c>
      <c r="F29">
        <v>0</v>
      </c>
      <c r="G29">
        <v>0</v>
      </c>
      <c r="H29">
        <v>0</v>
      </c>
      <c r="I29" t="s">
        <v>795</v>
      </c>
    </row>
    <row r="30" spans="1:9" hidden="1" x14ac:dyDescent="0.2">
      <c r="A30" t="s">
        <v>19</v>
      </c>
      <c r="B30" t="s">
        <v>819</v>
      </c>
      <c r="C30">
        <v>2272.157413823089</v>
      </c>
      <c r="D30">
        <v>0</v>
      </c>
      <c r="E30">
        <v>0</v>
      </c>
      <c r="F30">
        <v>0</v>
      </c>
      <c r="G30">
        <v>0</v>
      </c>
      <c r="H30">
        <v>0</v>
      </c>
      <c r="I30" t="s">
        <v>795</v>
      </c>
    </row>
    <row r="31" spans="1:9" hidden="1" x14ac:dyDescent="0.2">
      <c r="A31" t="s">
        <v>19</v>
      </c>
      <c r="B31" t="s">
        <v>811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t="s">
        <v>795</v>
      </c>
    </row>
    <row r="32" spans="1:9" hidden="1" x14ac:dyDescent="0.2">
      <c r="A32" t="s">
        <v>20</v>
      </c>
      <c r="B32" t="s">
        <v>816</v>
      </c>
      <c r="C32">
        <v>1.391323590418216E-5</v>
      </c>
      <c r="D32">
        <v>0</v>
      </c>
      <c r="E32">
        <v>0</v>
      </c>
      <c r="F32">
        <v>0</v>
      </c>
      <c r="G32">
        <v>0</v>
      </c>
      <c r="H32">
        <v>0</v>
      </c>
      <c r="I32" t="s">
        <v>795</v>
      </c>
    </row>
    <row r="33" spans="1:9" hidden="1" x14ac:dyDescent="0.2">
      <c r="A33" t="s">
        <v>20</v>
      </c>
      <c r="B33" t="s">
        <v>810</v>
      </c>
      <c r="C33">
        <v>6.3072731003449406E-6</v>
      </c>
      <c r="D33">
        <v>0</v>
      </c>
      <c r="E33">
        <v>0</v>
      </c>
      <c r="F33">
        <v>0</v>
      </c>
      <c r="G33">
        <v>0</v>
      </c>
      <c r="H33">
        <v>0</v>
      </c>
      <c r="I33" t="s">
        <v>795</v>
      </c>
    </row>
    <row r="34" spans="1:9" hidden="1" x14ac:dyDescent="0.2">
      <c r="A34" t="s">
        <v>20</v>
      </c>
      <c r="B34" t="s">
        <v>819</v>
      </c>
      <c r="C34">
        <v>4.0422898285373928E-5</v>
      </c>
      <c r="D34">
        <v>0</v>
      </c>
      <c r="E34">
        <v>0</v>
      </c>
      <c r="F34">
        <v>0</v>
      </c>
      <c r="G34">
        <v>8.8339835668880892E-5</v>
      </c>
      <c r="H34">
        <v>0</v>
      </c>
      <c r="I34" t="s">
        <v>795</v>
      </c>
    </row>
    <row r="35" spans="1:9" hidden="1" x14ac:dyDescent="0.2">
      <c r="A35" t="s">
        <v>20</v>
      </c>
      <c r="B35" t="s">
        <v>811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">
        <v>795</v>
      </c>
    </row>
    <row r="36" spans="1:9" hidden="1" x14ac:dyDescent="0.2">
      <c r="A36" t="s">
        <v>21</v>
      </c>
      <c r="B36" t="s">
        <v>816</v>
      </c>
      <c r="C36">
        <v>0</v>
      </c>
      <c r="D36">
        <v>13.138631651636301</v>
      </c>
      <c r="E36">
        <v>0</v>
      </c>
      <c r="F36">
        <v>0</v>
      </c>
      <c r="G36">
        <v>0</v>
      </c>
      <c r="H36">
        <v>0</v>
      </c>
      <c r="I36" t="s">
        <v>795</v>
      </c>
    </row>
    <row r="37" spans="1:9" hidden="1" x14ac:dyDescent="0.2">
      <c r="A37" t="s">
        <v>21</v>
      </c>
      <c r="B37" t="s">
        <v>811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t="s">
        <v>795</v>
      </c>
    </row>
    <row r="38" spans="1:9" hidden="1" x14ac:dyDescent="0.2">
      <c r="A38" t="s">
        <v>22</v>
      </c>
      <c r="B38" t="s">
        <v>811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">
        <v>793</v>
      </c>
    </row>
    <row r="39" spans="1:9" hidden="1" x14ac:dyDescent="0.2">
      <c r="A39" t="s">
        <v>22</v>
      </c>
      <c r="B39" t="s">
        <v>818</v>
      </c>
      <c r="C39">
        <v>8.8403898311898814E-3</v>
      </c>
      <c r="D39">
        <v>0</v>
      </c>
      <c r="E39">
        <v>0</v>
      </c>
      <c r="F39">
        <v>0</v>
      </c>
      <c r="G39">
        <v>0</v>
      </c>
      <c r="H39">
        <v>0</v>
      </c>
      <c r="I39" t="s">
        <v>793</v>
      </c>
    </row>
    <row r="40" spans="1:9" hidden="1" x14ac:dyDescent="0.2">
      <c r="A40" t="s">
        <v>23</v>
      </c>
      <c r="B40" t="s">
        <v>816</v>
      </c>
      <c r="C40">
        <v>2154.2763600799572</v>
      </c>
      <c r="D40">
        <v>0</v>
      </c>
      <c r="E40">
        <v>0</v>
      </c>
      <c r="F40">
        <v>0</v>
      </c>
      <c r="G40">
        <v>0</v>
      </c>
      <c r="H40">
        <v>0</v>
      </c>
      <c r="I40" t="s">
        <v>793</v>
      </c>
    </row>
    <row r="41" spans="1:9" hidden="1" x14ac:dyDescent="0.2">
      <c r="A41" t="s">
        <v>23</v>
      </c>
      <c r="B41" t="s">
        <v>811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">
        <v>793</v>
      </c>
    </row>
    <row r="42" spans="1:9" hidden="1" x14ac:dyDescent="0.2">
      <c r="A42" t="s">
        <v>24</v>
      </c>
      <c r="B42" t="s">
        <v>816</v>
      </c>
      <c r="C42">
        <v>8.1953950787090092E-3</v>
      </c>
      <c r="D42">
        <v>13.56557737206081</v>
      </c>
      <c r="E42">
        <v>10.046342088490899</v>
      </c>
      <c r="F42">
        <v>0</v>
      </c>
      <c r="G42">
        <v>0</v>
      </c>
      <c r="H42">
        <v>0</v>
      </c>
      <c r="I42" t="s">
        <v>793</v>
      </c>
    </row>
    <row r="43" spans="1:9" hidden="1" x14ac:dyDescent="0.2">
      <c r="A43" t="s">
        <v>24</v>
      </c>
      <c r="B43" t="s">
        <v>811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s">
        <v>793</v>
      </c>
    </row>
    <row r="44" spans="1:9" hidden="1" x14ac:dyDescent="0.2">
      <c r="A44" t="s">
        <v>25</v>
      </c>
      <c r="B44" t="s">
        <v>811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t="s">
        <v>793</v>
      </c>
    </row>
    <row r="45" spans="1:9" hidden="1" x14ac:dyDescent="0.2">
      <c r="A45" t="s">
        <v>25</v>
      </c>
      <c r="B45" t="s">
        <v>818</v>
      </c>
      <c r="C45">
        <v>1.067639009145256E-2</v>
      </c>
      <c r="D45">
        <v>0.18029341421031439</v>
      </c>
      <c r="E45">
        <v>0</v>
      </c>
      <c r="F45">
        <v>0</v>
      </c>
      <c r="G45">
        <v>0</v>
      </c>
      <c r="H45">
        <v>0</v>
      </c>
      <c r="I45" t="s">
        <v>793</v>
      </c>
    </row>
    <row r="46" spans="1:9" x14ac:dyDescent="0.2">
      <c r="A46" t="s">
        <v>26</v>
      </c>
      <c r="B46" t="s">
        <v>810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t="s">
        <v>794</v>
      </c>
    </row>
    <row r="47" spans="1:9" x14ac:dyDescent="0.2">
      <c r="A47" t="s">
        <v>26</v>
      </c>
      <c r="B47" t="s">
        <v>820</v>
      </c>
      <c r="C47">
        <v>7194.9499250224444</v>
      </c>
      <c r="D47">
        <v>0</v>
      </c>
      <c r="E47">
        <v>0</v>
      </c>
      <c r="F47">
        <v>0</v>
      </c>
      <c r="G47">
        <v>0</v>
      </c>
      <c r="H47">
        <v>0</v>
      </c>
      <c r="I47" t="s">
        <v>794</v>
      </c>
    </row>
    <row r="48" spans="1:9" hidden="1" x14ac:dyDescent="0.2">
      <c r="A48" s="89" t="s">
        <v>27</v>
      </c>
      <c r="B48" t="s">
        <v>816</v>
      </c>
      <c r="C48">
        <v>1524.128069336942</v>
      </c>
      <c r="D48">
        <v>0</v>
      </c>
      <c r="E48">
        <v>0</v>
      </c>
      <c r="F48">
        <v>0</v>
      </c>
      <c r="G48">
        <v>0</v>
      </c>
      <c r="H48">
        <v>0</v>
      </c>
      <c r="I48" t="s">
        <v>792</v>
      </c>
    </row>
    <row r="49" spans="1:9" hidden="1" x14ac:dyDescent="0.2">
      <c r="A49" s="89" t="s">
        <v>27</v>
      </c>
      <c r="B49" t="s">
        <v>812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s">
        <v>792</v>
      </c>
    </row>
    <row r="50" spans="1:9" hidden="1" x14ac:dyDescent="0.2">
      <c r="A50" t="s">
        <v>28</v>
      </c>
      <c r="B50" t="s">
        <v>821</v>
      </c>
      <c r="I50" t="s">
        <v>788</v>
      </c>
    </row>
    <row r="51" spans="1:9" hidden="1" x14ac:dyDescent="0.2">
      <c r="A51" t="s">
        <v>28</v>
      </c>
      <c r="B51" t="s">
        <v>817</v>
      </c>
      <c r="I51" t="s">
        <v>788</v>
      </c>
    </row>
    <row r="52" spans="1:9" hidden="1" x14ac:dyDescent="0.2">
      <c r="A52" t="s">
        <v>29</v>
      </c>
      <c r="B52" t="s">
        <v>822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s">
        <v>788</v>
      </c>
    </row>
    <row r="53" spans="1:9" hidden="1" x14ac:dyDescent="0.2">
      <c r="A53" t="s">
        <v>29</v>
      </c>
      <c r="B53" t="s">
        <v>812</v>
      </c>
      <c r="C53">
        <v>0</v>
      </c>
      <c r="D53">
        <v>4.5457658436694339E-4</v>
      </c>
      <c r="E53">
        <v>0</v>
      </c>
      <c r="F53">
        <v>0</v>
      </c>
      <c r="G53">
        <v>0</v>
      </c>
      <c r="H53">
        <v>0</v>
      </c>
      <c r="I53" t="s">
        <v>788</v>
      </c>
    </row>
    <row r="54" spans="1:9" hidden="1" x14ac:dyDescent="0.2">
      <c r="A54" t="s">
        <v>30</v>
      </c>
      <c r="B54" t="s">
        <v>810</v>
      </c>
      <c r="D54">
        <v>2.3880499776545111E-4</v>
      </c>
      <c r="E54">
        <v>0</v>
      </c>
      <c r="F54">
        <v>0</v>
      </c>
      <c r="G54">
        <v>0</v>
      </c>
      <c r="H54">
        <v>5.9273707045314518E-2</v>
      </c>
      <c r="I54" t="s">
        <v>788</v>
      </c>
    </row>
    <row r="55" spans="1:9" hidden="1" x14ac:dyDescent="0.2">
      <c r="A55" t="s">
        <v>30</v>
      </c>
      <c r="B55" t="s">
        <v>811</v>
      </c>
      <c r="D55">
        <v>0</v>
      </c>
      <c r="E55">
        <v>0</v>
      </c>
      <c r="F55">
        <v>0</v>
      </c>
      <c r="G55">
        <v>0</v>
      </c>
      <c r="H55">
        <v>0</v>
      </c>
      <c r="I55" t="s">
        <v>788</v>
      </c>
    </row>
    <row r="56" spans="1:9" hidden="1" x14ac:dyDescent="0.2">
      <c r="A56" t="s">
        <v>31</v>
      </c>
      <c r="B56" t="s">
        <v>810</v>
      </c>
      <c r="D56">
        <v>1.8822221039781639</v>
      </c>
      <c r="E56">
        <v>1.496196697741432</v>
      </c>
      <c r="F56">
        <v>0</v>
      </c>
      <c r="G56">
        <v>0</v>
      </c>
      <c r="H56">
        <v>0</v>
      </c>
      <c r="I56" t="s">
        <v>788</v>
      </c>
    </row>
    <row r="57" spans="1:9" hidden="1" x14ac:dyDescent="0.2">
      <c r="A57" t="s">
        <v>31</v>
      </c>
      <c r="B57" t="s">
        <v>819</v>
      </c>
      <c r="D57">
        <v>4.7055714688306196</v>
      </c>
      <c r="E57">
        <v>3.7404963906083402</v>
      </c>
      <c r="F57">
        <v>0</v>
      </c>
      <c r="G57">
        <v>0</v>
      </c>
      <c r="H57">
        <v>0</v>
      </c>
      <c r="I57" t="s">
        <v>788</v>
      </c>
    </row>
    <row r="58" spans="1:9" hidden="1" x14ac:dyDescent="0.2">
      <c r="A58" t="s">
        <v>31</v>
      </c>
      <c r="B58" t="s">
        <v>811</v>
      </c>
      <c r="D58">
        <v>0</v>
      </c>
      <c r="E58">
        <v>0</v>
      </c>
      <c r="F58">
        <v>0</v>
      </c>
      <c r="G58">
        <v>0</v>
      </c>
      <c r="H58">
        <v>0</v>
      </c>
      <c r="I58" t="s">
        <v>788</v>
      </c>
    </row>
    <row r="59" spans="1:9" hidden="1" x14ac:dyDescent="0.2">
      <c r="A59" t="s">
        <v>32</v>
      </c>
      <c r="B59" t="s">
        <v>816</v>
      </c>
      <c r="I59" t="s">
        <v>788</v>
      </c>
    </row>
    <row r="60" spans="1:9" hidden="1" x14ac:dyDescent="0.2">
      <c r="A60" t="s">
        <v>32</v>
      </c>
      <c r="B60" t="s">
        <v>819</v>
      </c>
      <c r="I60" t="s">
        <v>788</v>
      </c>
    </row>
    <row r="61" spans="1:9" hidden="1" x14ac:dyDescent="0.2">
      <c r="A61" t="s">
        <v>32</v>
      </c>
      <c r="B61" t="s">
        <v>811</v>
      </c>
      <c r="I61" t="s">
        <v>788</v>
      </c>
    </row>
    <row r="62" spans="1:9" hidden="1" x14ac:dyDescent="0.2">
      <c r="A62" t="s">
        <v>33</v>
      </c>
      <c r="B62" t="s">
        <v>823</v>
      </c>
      <c r="I62" t="s">
        <v>788</v>
      </c>
    </row>
    <row r="63" spans="1:9" hidden="1" x14ac:dyDescent="0.2">
      <c r="A63" t="s">
        <v>33</v>
      </c>
      <c r="B63" t="s">
        <v>810</v>
      </c>
      <c r="I63" t="s">
        <v>788</v>
      </c>
    </row>
    <row r="64" spans="1:9" hidden="1" x14ac:dyDescent="0.2">
      <c r="A64" t="s">
        <v>33</v>
      </c>
      <c r="B64" t="s">
        <v>811</v>
      </c>
      <c r="I64" t="s">
        <v>788</v>
      </c>
    </row>
    <row r="65" spans="1:9" hidden="1" x14ac:dyDescent="0.2">
      <c r="A65" t="s">
        <v>34</v>
      </c>
      <c r="B65" t="s">
        <v>823</v>
      </c>
      <c r="I65" t="s">
        <v>788</v>
      </c>
    </row>
    <row r="66" spans="1:9" hidden="1" x14ac:dyDescent="0.2">
      <c r="A66" t="s">
        <v>34</v>
      </c>
      <c r="B66" t="s">
        <v>815</v>
      </c>
      <c r="I66" t="s">
        <v>788</v>
      </c>
    </row>
    <row r="67" spans="1:9" hidden="1" x14ac:dyDescent="0.2">
      <c r="A67" t="s">
        <v>34</v>
      </c>
      <c r="B67" t="s">
        <v>810</v>
      </c>
      <c r="I67" t="s">
        <v>788</v>
      </c>
    </row>
    <row r="68" spans="1:9" hidden="1" x14ac:dyDescent="0.2">
      <c r="A68" t="s">
        <v>34</v>
      </c>
      <c r="B68" t="s">
        <v>811</v>
      </c>
      <c r="I68" t="s">
        <v>788</v>
      </c>
    </row>
    <row r="69" spans="1:9" hidden="1" x14ac:dyDescent="0.2">
      <c r="A69" t="s">
        <v>35</v>
      </c>
      <c r="B69" t="s">
        <v>814</v>
      </c>
      <c r="C69">
        <v>0</v>
      </c>
      <c r="I69" t="s">
        <v>788</v>
      </c>
    </row>
    <row r="70" spans="1:9" hidden="1" x14ac:dyDescent="0.2">
      <c r="A70" t="s">
        <v>35</v>
      </c>
      <c r="B70" t="s">
        <v>815</v>
      </c>
      <c r="C70">
        <v>0</v>
      </c>
      <c r="I70" t="s">
        <v>788</v>
      </c>
    </row>
    <row r="71" spans="1:9" hidden="1" x14ac:dyDescent="0.2">
      <c r="A71" t="s">
        <v>35</v>
      </c>
      <c r="B71" t="s">
        <v>810</v>
      </c>
      <c r="C71">
        <v>0</v>
      </c>
      <c r="I71" t="s">
        <v>788</v>
      </c>
    </row>
    <row r="72" spans="1:9" hidden="1" x14ac:dyDescent="0.2">
      <c r="A72" t="s">
        <v>35</v>
      </c>
      <c r="B72" t="s">
        <v>822</v>
      </c>
      <c r="C72">
        <v>0</v>
      </c>
      <c r="I72" t="s">
        <v>788</v>
      </c>
    </row>
    <row r="73" spans="1:9" hidden="1" x14ac:dyDescent="0.2">
      <c r="A73" t="s">
        <v>36</v>
      </c>
      <c r="B73" t="s">
        <v>816</v>
      </c>
      <c r="C73">
        <v>0</v>
      </c>
      <c r="I73" t="s">
        <v>788</v>
      </c>
    </row>
    <row r="74" spans="1:9" hidden="1" x14ac:dyDescent="0.2">
      <c r="A74" t="s">
        <v>36</v>
      </c>
      <c r="B74" t="s">
        <v>815</v>
      </c>
      <c r="C74">
        <v>0</v>
      </c>
      <c r="I74" t="s">
        <v>788</v>
      </c>
    </row>
    <row r="75" spans="1:9" hidden="1" x14ac:dyDescent="0.2">
      <c r="A75" t="s">
        <v>36</v>
      </c>
      <c r="B75" t="s">
        <v>810</v>
      </c>
      <c r="C75">
        <v>0</v>
      </c>
      <c r="I75" t="s">
        <v>788</v>
      </c>
    </row>
    <row r="76" spans="1:9" hidden="1" x14ac:dyDescent="0.2">
      <c r="A76" t="s">
        <v>36</v>
      </c>
      <c r="B76" t="s">
        <v>822</v>
      </c>
      <c r="C76">
        <v>0</v>
      </c>
      <c r="I76" t="s">
        <v>788</v>
      </c>
    </row>
    <row r="77" spans="1:9" hidden="1" x14ac:dyDescent="0.2">
      <c r="A77" t="s">
        <v>37</v>
      </c>
      <c r="B77" t="s">
        <v>814</v>
      </c>
      <c r="C77">
        <v>0</v>
      </c>
      <c r="I77" t="s">
        <v>788</v>
      </c>
    </row>
    <row r="78" spans="1:9" hidden="1" x14ac:dyDescent="0.2">
      <c r="A78" t="s">
        <v>37</v>
      </c>
      <c r="B78" t="s">
        <v>810</v>
      </c>
      <c r="C78">
        <v>0</v>
      </c>
      <c r="I78" t="s">
        <v>788</v>
      </c>
    </row>
    <row r="79" spans="1:9" hidden="1" x14ac:dyDescent="0.2">
      <c r="A79" t="s">
        <v>37</v>
      </c>
      <c r="B79" t="s">
        <v>822</v>
      </c>
      <c r="C79">
        <v>0</v>
      </c>
      <c r="I79" t="s">
        <v>788</v>
      </c>
    </row>
    <row r="80" spans="1:9" hidden="1" x14ac:dyDescent="0.2">
      <c r="A80" t="s">
        <v>38</v>
      </c>
      <c r="B80" t="s">
        <v>816</v>
      </c>
      <c r="C80">
        <v>0</v>
      </c>
      <c r="D80">
        <v>1.1615818983099</v>
      </c>
      <c r="E80">
        <v>0</v>
      </c>
      <c r="F80">
        <v>0</v>
      </c>
      <c r="G80">
        <v>0</v>
      </c>
      <c r="H80">
        <v>0</v>
      </c>
      <c r="I80" t="s">
        <v>788</v>
      </c>
    </row>
    <row r="81" spans="1:9" hidden="1" x14ac:dyDescent="0.2">
      <c r="A81" t="s">
        <v>38</v>
      </c>
      <c r="B81" t="s">
        <v>810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 t="s">
        <v>788</v>
      </c>
    </row>
    <row r="82" spans="1:9" hidden="1" x14ac:dyDescent="0.2">
      <c r="A82" t="s">
        <v>38</v>
      </c>
      <c r="B82" t="s">
        <v>822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 t="s">
        <v>788</v>
      </c>
    </row>
    <row r="83" spans="1:9" hidden="1" x14ac:dyDescent="0.2">
      <c r="A83" t="s">
        <v>39</v>
      </c>
      <c r="B83" t="s">
        <v>814</v>
      </c>
      <c r="C83">
        <v>0</v>
      </c>
      <c r="I83" t="s">
        <v>788</v>
      </c>
    </row>
    <row r="84" spans="1:9" hidden="1" x14ac:dyDescent="0.2">
      <c r="A84" t="s">
        <v>39</v>
      </c>
      <c r="B84" t="s">
        <v>815</v>
      </c>
      <c r="C84">
        <v>0</v>
      </c>
      <c r="I84" t="s">
        <v>788</v>
      </c>
    </row>
    <row r="85" spans="1:9" hidden="1" x14ac:dyDescent="0.2">
      <c r="A85" t="s">
        <v>39</v>
      </c>
      <c r="B85" t="s">
        <v>810</v>
      </c>
      <c r="C85">
        <v>0</v>
      </c>
      <c r="I85" t="s">
        <v>788</v>
      </c>
    </row>
    <row r="86" spans="1:9" hidden="1" x14ac:dyDescent="0.2">
      <c r="A86" t="s">
        <v>39</v>
      </c>
      <c r="B86" t="s">
        <v>824</v>
      </c>
      <c r="C86">
        <v>0</v>
      </c>
      <c r="I86" t="s">
        <v>788</v>
      </c>
    </row>
    <row r="87" spans="1:9" hidden="1" x14ac:dyDescent="0.2">
      <c r="A87" t="s">
        <v>40</v>
      </c>
      <c r="B87" t="s">
        <v>824</v>
      </c>
      <c r="I87" t="s">
        <v>788</v>
      </c>
    </row>
    <row r="88" spans="1:9" hidden="1" x14ac:dyDescent="0.2">
      <c r="A88" t="s">
        <v>40</v>
      </c>
      <c r="B88" t="s">
        <v>817</v>
      </c>
      <c r="I88" t="s">
        <v>788</v>
      </c>
    </row>
    <row r="89" spans="1:9" hidden="1" x14ac:dyDescent="0.2">
      <c r="A89" t="s">
        <v>41</v>
      </c>
      <c r="B89" t="s">
        <v>816</v>
      </c>
      <c r="C89">
        <v>0</v>
      </c>
      <c r="I89" t="s">
        <v>788</v>
      </c>
    </row>
    <row r="90" spans="1:9" hidden="1" x14ac:dyDescent="0.2">
      <c r="A90" t="s">
        <v>41</v>
      </c>
      <c r="B90" t="s">
        <v>815</v>
      </c>
      <c r="C90">
        <v>0</v>
      </c>
      <c r="I90" t="s">
        <v>788</v>
      </c>
    </row>
    <row r="91" spans="1:9" hidden="1" x14ac:dyDescent="0.2">
      <c r="A91" t="s">
        <v>41</v>
      </c>
      <c r="B91" t="s">
        <v>810</v>
      </c>
      <c r="C91">
        <v>0</v>
      </c>
      <c r="I91" t="s">
        <v>788</v>
      </c>
    </row>
    <row r="92" spans="1:9" hidden="1" x14ac:dyDescent="0.2">
      <c r="A92" t="s">
        <v>41</v>
      </c>
      <c r="B92" t="s">
        <v>824</v>
      </c>
      <c r="C92">
        <v>0</v>
      </c>
      <c r="I92" t="s">
        <v>788</v>
      </c>
    </row>
    <row r="93" spans="1:9" hidden="1" x14ac:dyDescent="0.2">
      <c r="A93" t="s">
        <v>42</v>
      </c>
      <c r="B93" t="s">
        <v>824</v>
      </c>
      <c r="I93" t="s">
        <v>788</v>
      </c>
    </row>
    <row r="94" spans="1:9" hidden="1" x14ac:dyDescent="0.2">
      <c r="A94" t="s">
        <v>42</v>
      </c>
      <c r="B94" t="s">
        <v>817</v>
      </c>
      <c r="I94" t="s">
        <v>788</v>
      </c>
    </row>
    <row r="95" spans="1:9" hidden="1" x14ac:dyDescent="0.2">
      <c r="A95" t="s">
        <v>43</v>
      </c>
      <c r="B95" t="s">
        <v>816</v>
      </c>
      <c r="C95">
        <v>0</v>
      </c>
      <c r="D95">
        <v>1.128699626785503</v>
      </c>
      <c r="E95">
        <v>0</v>
      </c>
      <c r="F95">
        <v>0</v>
      </c>
      <c r="G95">
        <v>0</v>
      </c>
      <c r="H95">
        <v>0</v>
      </c>
      <c r="I95" t="s">
        <v>788</v>
      </c>
    </row>
    <row r="96" spans="1:9" hidden="1" x14ac:dyDescent="0.2">
      <c r="A96" t="s">
        <v>43</v>
      </c>
      <c r="B96" t="s">
        <v>824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 t="s">
        <v>788</v>
      </c>
    </row>
    <row r="97" spans="1:9" hidden="1" x14ac:dyDescent="0.2">
      <c r="A97" t="s">
        <v>44</v>
      </c>
      <c r="B97" t="s">
        <v>814</v>
      </c>
      <c r="C97">
        <v>0</v>
      </c>
      <c r="I97" t="s">
        <v>788</v>
      </c>
    </row>
    <row r="98" spans="1:9" hidden="1" x14ac:dyDescent="0.2">
      <c r="A98" t="s">
        <v>44</v>
      </c>
      <c r="B98" t="s">
        <v>815</v>
      </c>
      <c r="C98">
        <v>0</v>
      </c>
      <c r="I98" t="s">
        <v>788</v>
      </c>
    </row>
    <row r="99" spans="1:9" hidden="1" x14ac:dyDescent="0.2">
      <c r="A99" t="s">
        <v>44</v>
      </c>
      <c r="B99" t="s">
        <v>810</v>
      </c>
      <c r="C99">
        <v>0</v>
      </c>
      <c r="I99" t="s">
        <v>788</v>
      </c>
    </row>
    <row r="100" spans="1:9" hidden="1" x14ac:dyDescent="0.2">
      <c r="A100" t="s">
        <v>44</v>
      </c>
      <c r="B100" t="s">
        <v>822</v>
      </c>
      <c r="C100">
        <v>0</v>
      </c>
      <c r="I100" t="s">
        <v>788</v>
      </c>
    </row>
    <row r="101" spans="1:9" hidden="1" x14ac:dyDescent="0.2">
      <c r="A101" t="s">
        <v>45</v>
      </c>
      <c r="B101" t="s">
        <v>815</v>
      </c>
      <c r="C101">
        <v>0</v>
      </c>
      <c r="I101" t="s">
        <v>788</v>
      </c>
    </row>
    <row r="102" spans="1:9" hidden="1" x14ac:dyDescent="0.2">
      <c r="A102" t="s">
        <v>45</v>
      </c>
      <c r="B102" t="s">
        <v>810</v>
      </c>
      <c r="C102">
        <v>0</v>
      </c>
      <c r="I102" t="s">
        <v>788</v>
      </c>
    </row>
    <row r="103" spans="1:9" hidden="1" x14ac:dyDescent="0.2">
      <c r="A103" t="s">
        <v>45</v>
      </c>
      <c r="B103" t="s">
        <v>822</v>
      </c>
      <c r="C103">
        <v>0</v>
      </c>
      <c r="I103" t="s">
        <v>788</v>
      </c>
    </row>
    <row r="104" spans="1:9" hidden="1" x14ac:dyDescent="0.2">
      <c r="A104" t="s">
        <v>45</v>
      </c>
      <c r="B104" t="s">
        <v>817</v>
      </c>
      <c r="C104">
        <v>0</v>
      </c>
      <c r="I104" t="s">
        <v>788</v>
      </c>
    </row>
    <row r="105" spans="1:9" hidden="1" x14ac:dyDescent="0.2">
      <c r="A105" t="s">
        <v>46</v>
      </c>
      <c r="B105" t="s">
        <v>816</v>
      </c>
      <c r="I105" t="s">
        <v>788</v>
      </c>
    </row>
    <row r="106" spans="1:9" hidden="1" x14ac:dyDescent="0.2">
      <c r="A106" t="s">
        <v>46</v>
      </c>
      <c r="B106" t="s">
        <v>825</v>
      </c>
      <c r="I106" t="s">
        <v>788</v>
      </c>
    </row>
    <row r="107" spans="1:9" hidden="1" x14ac:dyDescent="0.2">
      <c r="A107" t="s">
        <v>47</v>
      </c>
      <c r="B107" t="s">
        <v>814</v>
      </c>
      <c r="C107">
        <v>0</v>
      </c>
      <c r="D107">
        <v>4.1805962934328778E-3</v>
      </c>
      <c r="E107">
        <v>1.8700977630142881</v>
      </c>
      <c r="F107">
        <v>11.62968839716482</v>
      </c>
      <c r="I107" t="s">
        <v>788</v>
      </c>
    </row>
    <row r="108" spans="1:9" hidden="1" x14ac:dyDescent="0.2">
      <c r="A108" t="s">
        <v>47</v>
      </c>
      <c r="B108" t="s">
        <v>824</v>
      </c>
      <c r="C108">
        <v>0</v>
      </c>
      <c r="D108">
        <v>0</v>
      </c>
      <c r="E108">
        <v>0</v>
      </c>
      <c r="F108">
        <v>0</v>
      </c>
      <c r="I108" t="s">
        <v>788</v>
      </c>
    </row>
    <row r="109" spans="1:9" hidden="1" x14ac:dyDescent="0.2">
      <c r="A109" t="s">
        <v>48</v>
      </c>
      <c r="B109" t="s">
        <v>816</v>
      </c>
      <c r="C109">
        <v>0</v>
      </c>
      <c r="D109">
        <v>2.8026827071367891E-2</v>
      </c>
      <c r="E109">
        <v>2.6462558204336378E-3</v>
      </c>
      <c r="F109">
        <v>4.1220049663749543E-2</v>
      </c>
      <c r="G109">
        <v>0</v>
      </c>
      <c r="H109">
        <v>0</v>
      </c>
      <c r="I109" t="s">
        <v>788</v>
      </c>
    </row>
    <row r="110" spans="1:9" hidden="1" x14ac:dyDescent="0.2">
      <c r="A110" t="s">
        <v>48</v>
      </c>
      <c r="B110" t="s">
        <v>822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 t="s">
        <v>788</v>
      </c>
    </row>
    <row r="111" spans="1:9" hidden="1" x14ac:dyDescent="0.2">
      <c r="A111" t="s">
        <v>49</v>
      </c>
      <c r="B111" t="s">
        <v>822</v>
      </c>
      <c r="C111">
        <v>0</v>
      </c>
      <c r="I111" t="s">
        <v>788</v>
      </c>
    </row>
    <row r="112" spans="1:9" hidden="1" x14ac:dyDescent="0.2">
      <c r="A112" t="s">
        <v>49</v>
      </c>
      <c r="B112" t="s">
        <v>817</v>
      </c>
      <c r="C112">
        <v>0</v>
      </c>
      <c r="I112" t="s">
        <v>788</v>
      </c>
    </row>
    <row r="113" spans="1:9" hidden="1" x14ac:dyDescent="0.2">
      <c r="A113" t="s">
        <v>50</v>
      </c>
      <c r="B113" t="s">
        <v>814</v>
      </c>
      <c r="C113">
        <v>0</v>
      </c>
      <c r="I113" t="s">
        <v>788</v>
      </c>
    </row>
    <row r="114" spans="1:9" hidden="1" x14ac:dyDescent="0.2">
      <c r="A114" t="s">
        <v>50</v>
      </c>
      <c r="B114" t="s">
        <v>815</v>
      </c>
      <c r="C114">
        <v>0</v>
      </c>
      <c r="I114" t="s">
        <v>788</v>
      </c>
    </row>
    <row r="115" spans="1:9" hidden="1" x14ac:dyDescent="0.2">
      <c r="A115" t="s">
        <v>50</v>
      </c>
      <c r="B115" t="s">
        <v>810</v>
      </c>
      <c r="C115">
        <v>0</v>
      </c>
      <c r="I115" t="s">
        <v>788</v>
      </c>
    </row>
    <row r="116" spans="1:9" hidden="1" x14ac:dyDescent="0.2">
      <c r="A116" t="s">
        <v>50</v>
      </c>
      <c r="B116" t="s">
        <v>822</v>
      </c>
      <c r="C116">
        <v>0</v>
      </c>
      <c r="I116" t="s">
        <v>788</v>
      </c>
    </row>
    <row r="117" spans="1:9" hidden="1" x14ac:dyDescent="0.2">
      <c r="A117" t="s">
        <v>51</v>
      </c>
      <c r="B117" t="s">
        <v>821</v>
      </c>
      <c r="I117" t="s">
        <v>788</v>
      </c>
    </row>
    <row r="118" spans="1:9" hidden="1" x14ac:dyDescent="0.2">
      <c r="A118" t="s">
        <v>51</v>
      </c>
      <c r="B118" t="s">
        <v>817</v>
      </c>
      <c r="I118" t="s">
        <v>788</v>
      </c>
    </row>
    <row r="119" spans="1:9" hidden="1" x14ac:dyDescent="0.2">
      <c r="A119" t="s">
        <v>52</v>
      </c>
      <c r="B119" t="s">
        <v>816</v>
      </c>
      <c r="I119" t="s">
        <v>788</v>
      </c>
    </row>
    <row r="120" spans="1:9" hidden="1" x14ac:dyDescent="0.2">
      <c r="A120" t="s">
        <v>52</v>
      </c>
      <c r="B120" t="s">
        <v>825</v>
      </c>
      <c r="I120" t="s">
        <v>788</v>
      </c>
    </row>
    <row r="121" spans="1:9" hidden="1" x14ac:dyDescent="0.2">
      <c r="A121" t="s">
        <v>53</v>
      </c>
      <c r="B121" t="s">
        <v>816</v>
      </c>
      <c r="D121">
        <v>1.91503522031552E-3</v>
      </c>
      <c r="E121">
        <v>6.6719518194861913E-4</v>
      </c>
      <c r="F121">
        <v>9.7837351565835699E-4</v>
      </c>
      <c r="G121">
        <v>0</v>
      </c>
      <c r="H121">
        <v>9.5811892287850937E-3</v>
      </c>
      <c r="I121" t="s">
        <v>788</v>
      </c>
    </row>
    <row r="122" spans="1:9" hidden="1" x14ac:dyDescent="0.2">
      <c r="A122" t="s">
        <v>53</v>
      </c>
      <c r="B122" t="s">
        <v>821</v>
      </c>
      <c r="D122">
        <v>0</v>
      </c>
      <c r="E122">
        <v>0</v>
      </c>
      <c r="F122">
        <v>0</v>
      </c>
      <c r="G122">
        <v>0</v>
      </c>
      <c r="H122">
        <v>0</v>
      </c>
      <c r="I122" t="s">
        <v>788</v>
      </c>
    </row>
    <row r="123" spans="1:9" hidden="1" x14ac:dyDescent="0.2">
      <c r="A123" t="s">
        <v>54</v>
      </c>
      <c r="B123" t="s">
        <v>814</v>
      </c>
      <c r="C123">
        <v>0</v>
      </c>
      <c r="D123">
        <v>4.0979430488983912E-4</v>
      </c>
      <c r="E123">
        <v>1.9960828999439261E-5</v>
      </c>
      <c r="F123">
        <v>0.92789534382331551</v>
      </c>
      <c r="G123">
        <v>0</v>
      </c>
      <c r="I123" t="s">
        <v>788</v>
      </c>
    </row>
    <row r="124" spans="1:9" hidden="1" x14ac:dyDescent="0.2">
      <c r="A124" t="s">
        <v>54</v>
      </c>
      <c r="B124" t="s">
        <v>822</v>
      </c>
      <c r="C124">
        <v>0</v>
      </c>
      <c r="D124">
        <v>0</v>
      </c>
      <c r="E124">
        <v>0</v>
      </c>
      <c r="F124">
        <v>0</v>
      </c>
      <c r="G124">
        <v>0</v>
      </c>
      <c r="I124" t="s">
        <v>788</v>
      </c>
    </row>
    <row r="125" spans="1:9" hidden="1" x14ac:dyDescent="0.2">
      <c r="A125" t="s">
        <v>55</v>
      </c>
      <c r="B125" t="s">
        <v>816</v>
      </c>
      <c r="C125">
        <v>0</v>
      </c>
      <c r="D125">
        <v>4.4830716093844231E-3</v>
      </c>
      <c r="E125">
        <v>2.095200842809221E-3</v>
      </c>
      <c r="F125">
        <v>0</v>
      </c>
      <c r="G125">
        <v>1.2375675094239759E-2</v>
      </c>
      <c r="H125">
        <v>0</v>
      </c>
      <c r="I125" t="s">
        <v>788</v>
      </c>
    </row>
    <row r="126" spans="1:9" hidden="1" x14ac:dyDescent="0.2">
      <c r="A126" t="s">
        <v>55</v>
      </c>
      <c r="B126" t="s">
        <v>822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 t="s">
        <v>788</v>
      </c>
    </row>
    <row r="127" spans="1:9" hidden="1" x14ac:dyDescent="0.2">
      <c r="A127" t="s">
        <v>56</v>
      </c>
      <c r="B127" t="s">
        <v>816</v>
      </c>
      <c r="C127">
        <v>0</v>
      </c>
      <c r="D127">
        <v>6.3037122828144454E-4</v>
      </c>
      <c r="E127">
        <v>0</v>
      </c>
      <c r="F127">
        <v>0</v>
      </c>
      <c r="G127">
        <v>0</v>
      </c>
      <c r="H127">
        <v>0</v>
      </c>
      <c r="I127" t="s">
        <v>788</v>
      </c>
    </row>
    <row r="128" spans="1:9" hidden="1" x14ac:dyDescent="0.2">
      <c r="A128" t="s">
        <v>56</v>
      </c>
      <c r="B128" t="s">
        <v>810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 t="s">
        <v>788</v>
      </c>
    </row>
    <row r="129" spans="1:9" hidden="1" x14ac:dyDescent="0.2">
      <c r="A129" t="s">
        <v>56</v>
      </c>
      <c r="B129" t="s">
        <v>822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 t="s">
        <v>788</v>
      </c>
    </row>
    <row r="130" spans="1:9" hidden="1" x14ac:dyDescent="0.2">
      <c r="A130" t="s">
        <v>57</v>
      </c>
      <c r="B130" t="s">
        <v>826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 t="s">
        <v>789</v>
      </c>
    </row>
    <row r="131" spans="1:9" hidden="1" x14ac:dyDescent="0.2">
      <c r="A131" t="s">
        <v>57</v>
      </c>
      <c r="B131" t="s">
        <v>827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 t="s">
        <v>789</v>
      </c>
    </row>
    <row r="132" spans="1:9" hidden="1" x14ac:dyDescent="0.2">
      <c r="A132" t="s">
        <v>57</v>
      </c>
      <c r="B132" t="s">
        <v>828</v>
      </c>
      <c r="C132">
        <v>17.7323476250879</v>
      </c>
      <c r="D132">
        <v>0</v>
      </c>
      <c r="E132">
        <v>0</v>
      </c>
      <c r="F132">
        <v>0</v>
      </c>
      <c r="G132">
        <v>0</v>
      </c>
      <c r="H132">
        <v>0</v>
      </c>
      <c r="I132" t="s">
        <v>789</v>
      </c>
    </row>
    <row r="133" spans="1:9" hidden="1" x14ac:dyDescent="0.2">
      <c r="A133" t="s">
        <v>57</v>
      </c>
      <c r="B133" t="s">
        <v>810</v>
      </c>
      <c r="C133">
        <v>25.424057874528739</v>
      </c>
      <c r="D133">
        <v>0</v>
      </c>
      <c r="E133">
        <v>0</v>
      </c>
      <c r="F133">
        <v>0</v>
      </c>
      <c r="G133">
        <v>0</v>
      </c>
      <c r="H133">
        <v>0</v>
      </c>
      <c r="I133" t="s">
        <v>789</v>
      </c>
    </row>
    <row r="134" spans="1:9" hidden="1" x14ac:dyDescent="0.2">
      <c r="A134" t="s">
        <v>57</v>
      </c>
      <c r="B134" t="s">
        <v>829</v>
      </c>
      <c r="C134">
        <v>2480.4027506178249</v>
      </c>
      <c r="D134">
        <v>0</v>
      </c>
      <c r="E134">
        <v>0</v>
      </c>
      <c r="F134">
        <v>0</v>
      </c>
      <c r="G134">
        <v>0</v>
      </c>
      <c r="H134">
        <v>0</v>
      </c>
      <c r="I134" t="s">
        <v>789</v>
      </c>
    </row>
    <row r="135" spans="1:9" hidden="1" x14ac:dyDescent="0.2">
      <c r="A135" t="s">
        <v>57</v>
      </c>
      <c r="B135" t="s">
        <v>830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 t="s">
        <v>789</v>
      </c>
    </row>
    <row r="136" spans="1:9" hidden="1" x14ac:dyDescent="0.2">
      <c r="A136" t="s">
        <v>57</v>
      </c>
      <c r="B136" t="s">
        <v>831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 t="s">
        <v>789</v>
      </c>
    </row>
    <row r="137" spans="1:9" hidden="1" x14ac:dyDescent="0.2">
      <c r="A137" t="s">
        <v>57</v>
      </c>
      <c r="B137" t="s">
        <v>832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 t="s">
        <v>789</v>
      </c>
    </row>
    <row r="138" spans="1:9" hidden="1" x14ac:dyDescent="0.2">
      <c r="A138" t="s">
        <v>57</v>
      </c>
      <c r="B138" t="s">
        <v>833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 t="s">
        <v>789</v>
      </c>
    </row>
    <row r="139" spans="1:9" hidden="1" x14ac:dyDescent="0.2">
      <c r="A139" t="s">
        <v>57</v>
      </c>
      <c r="B139" t="s">
        <v>834</v>
      </c>
      <c r="C139">
        <v>0.20044124939069261</v>
      </c>
      <c r="D139">
        <v>0</v>
      </c>
      <c r="E139">
        <v>0</v>
      </c>
      <c r="F139">
        <v>0</v>
      </c>
      <c r="G139">
        <v>0</v>
      </c>
      <c r="H139">
        <v>0</v>
      </c>
      <c r="I139" t="s">
        <v>789</v>
      </c>
    </row>
    <row r="140" spans="1:9" hidden="1" x14ac:dyDescent="0.2">
      <c r="A140" t="s">
        <v>57</v>
      </c>
      <c r="B140" t="s">
        <v>812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 t="s">
        <v>789</v>
      </c>
    </row>
    <row r="141" spans="1:9" x14ac:dyDescent="0.2">
      <c r="A141" t="s">
        <v>58</v>
      </c>
      <c r="B141" t="s">
        <v>810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 t="s">
        <v>794</v>
      </c>
    </row>
    <row r="142" spans="1:9" x14ac:dyDescent="0.2">
      <c r="A142" t="s">
        <v>58</v>
      </c>
      <c r="B142" t="s">
        <v>820</v>
      </c>
      <c r="C142">
        <v>5384.3565395129754</v>
      </c>
      <c r="D142">
        <v>0</v>
      </c>
      <c r="E142">
        <v>0</v>
      </c>
      <c r="F142">
        <v>0</v>
      </c>
      <c r="G142">
        <v>0</v>
      </c>
      <c r="H142">
        <v>0</v>
      </c>
      <c r="I142" t="s">
        <v>794</v>
      </c>
    </row>
    <row r="143" spans="1:9" x14ac:dyDescent="0.2">
      <c r="A143" t="s">
        <v>59</v>
      </c>
      <c r="B143" t="s">
        <v>810</v>
      </c>
      <c r="I143" t="s">
        <v>794</v>
      </c>
    </row>
    <row r="144" spans="1:9" x14ac:dyDescent="0.2">
      <c r="A144" t="s">
        <v>59</v>
      </c>
      <c r="B144" t="s">
        <v>817</v>
      </c>
      <c r="I144" t="s">
        <v>794</v>
      </c>
    </row>
    <row r="145" spans="1:9" x14ac:dyDescent="0.2">
      <c r="A145" t="s">
        <v>60</v>
      </c>
      <c r="B145" t="s">
        <v>816</v>
      </c>
      <c r="C145">
        <v>2.9430650375040892E-3</v>
      </c>
      <c r="E145">
        <v>0</v>
      </c>
      <c r="I145" t="s">
        <v>794</v>
      </c>
    </row>
    <row r="146" spans="1:9" x14ac:dyDescent="0.2">
      <c r="A146" t="s">
        <v>60</v>
      </c>
      <c r="B146" t="s">
        <v>815</v>
      </c>
      <c r="C146">
        <v>0</v>
      </c>
      <c r="E146">
        <v>0</v>
      </c>
      <c r="I146" t="s">
        <v>794</v>
      </c>
    </row>
    <row r="147" spans="1:9" x14ac:dyDescent="0.2">
      <c r="A147" t="s">
        <v>60</v>
      </c>
      <c r="B147" t="s">
        <v>810</v>
      </c>
      <c r="C147">
        <v>0</v>
      </c>
      <c r="E147">
        <v>0</v>
      </c>
      <c r="I147" t="s">
        <v>794</v>
      </c>
    </row>
    <row r="148" spans="1:9" x14ac:dyDescent="0.2">
      <c r="A148" t="s">
        <v>61</v>
      </c>
      <c r="B148" t="s">
        <v>814</v>
      </c>
      <c r="C148">
        <v>3.4425518778140752E-4</v>
      </c>
      <c r="D148">
        <v>0</v>
      </c>
      <c r="E148">
        <v>0</v>
      </c>
      <c r="F148">
        <v>0</v>
      </c>
      <c r="G148">
        <v>0</v>
      </c>
      <c r="H148">
        <v>0</v>
      </c>
      <c r="I148" t="s">
        <v>794</v>
      </c>
    </row>
    <row r="149" spans="1:9" x14ac:dyDescent="0.2">
      <c r="A149" t="s">
        <v>61</v>
      </c>
      <c r="B149" t="s">
        <v>810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 t="s">
        <v>794</v>
      </c>
    </row>
    <row r="150" spans="1:9" x14ac:dyDescent="0.2">
      <c r="A150" t="s">
        <v>62</v>
      </c>
      <c r="B150" t="s">
        <v>814</v>
      </c>
      <c r="I150" t="s">
        <v>794</v>
      </c>
    </row>
    <row r="151" spans="1:9" x14ac:dyDescent="0.2">
      <c r="A151" t="s">
        <v>62</v>
      </c>
      <c r="B151" t="s">
        <v>810</v>
      </c>
      <c r="I151" t="s">
        <v>794</v>
      </c>
    </row>
    <row r="152" spans="1:9" x14ac:dyDescent="0.2">
      <c r="A152" t="s">
        <v>62</v>
      </c>
      <c r="B152" t="s">
        <v>817</v>
      </c>
      <c r="I152" t="s">
        <v>794</v>
      </c>
    </row>
    <row r="153" spans="1:9" x14ac:dyDescent="0.2">
      <c r="A153" t="s">
        <v>62</v>
      </c>
      <c r="B153" t="s">
        <v>811</v>
      </c>
      <c r="I153" t="s">
        <v>794</v>
      </c>
    </row>
    <row r="154" spans="1:9" x14ac:dyDescent="0.2">
      <c r="A154" t="s">
        <v>63</v>
      </c>
      <c r="B154" t="s">
        <v>816</v>
      </c>
      <c r="C154">
        <v>7357.2354224867631</v>
      </c>
      <c r="E154">
        <v>0</v>
      </c>
      <c r="I154" t="s">
        <v>794</v>
      </c>
    </row>
    <row r="155" spans="1:9" x14ac:dyDescent="0.2">
      <c r="A155" t="s">
        <v>63</v>
      </c>
      <c r="B155" t="s">
        <v>810</v>
      </c>
      <c r="C155">
        <v>0</v>
      </c>
      <c r="E155">
        <v>0</v>
      </c>
      <c r="I155" t="s">
        <v>794</v>
      </c>
    </row>
    <row r="156" spans="1:9" x14ac:dyDescent="0.2">
      <c r="A156" t="s">
        <v>63</v>
      </c>
      <c r="B156" t="s">
        <v>811</v>
      </c>
      <c r="C156">
        <v>0</v>
      </c>
      <c r="E156">
        <v>0</v>
      </c>
      <c r="I156" t="s">
        <v>794</v>
      </c>
    </row>
    <row r="157" spans="1:9" x14ac:dyDescent="0.2">
      <c r="A157" t="s">
        <v>64</v>
      </c>
      <c r="B157" t="s">
        <v>814</v>
      </c>
      <c r="C157">
        <v>0</v>
      </c>
      <c r="I157" t="s">
        <v>794</v>
      </c>
    </row>
    <row r="158" spans="1:9" x14ac:dyDescent="0.2">
      <c r="A158" t="s">
        <v>64</v>
      </c>
      <c r="B158" t="s">
        <v>810</v>
      </c>
      <c r="C158">
        <v>0</v>
      </c>
      <c r="I158" t="s">
        <v>794</v>
      </c>
    </row>
    <row r="159" spans="1:9" x14ac:dyDescent="0.2">
      <c r="A159" t="s">
        <v>64</v>
      </c>
      <c r="B159" t="s">
        <v>817</v>
      </c>
      <c r="C159">
        <v>0</v>
      </c>
      <c r="I159" t="s">
        <v>794</v>
      </c>
    </row>
    <row r="160" spans="1:9" x14ac:dyDescent="0.2">
      <c r="A160" t="s">
        <v>65</v>
      </c>
      <c r="B160" t="s">
        <v>814</v>
      </c>
      <c r="C160">
        <v>0</v>
      </c>
      <c r="I160" t="s">
        <v>794</v>
      </c>
    </row>
    <row r="161" spans="1:9" x14ac:dyDescent="0.2">
      <c r="A161" t="s">
        <v>65</v>
      </c>
      <c r="B161" t="s">
        <v>810</v>
      </c>
      <c r="C161">
        <v>0</v>
      </c>
      <c r="I161" t="s">
        <v>794</v>
      </c>
    </row>
    <row r="162" spans="1:9" x14ac:dyDescent="0.2">
      <c r="A162" t="s">
        <v>65</v>
      </c>
      <c r="B162" t="s">
        <v>817</v>
      </c>
      <c r="C162">
        <v>0</v>
      </c>
      <c r="I162" t="s">
        <v>794</v>
      </c>
    </row>
    <row r="163" spans="1:9" x14ac:dyDescent="0.2">
      <c r="A163" t="s">
        <v>66</v>
      </c>
      <c r="B163" t="s">
        <v>816</v>
      </c>
      <c r="C163">
        <v>2836.5698003090729</v>
      </c>
      <c r="D163">
        <v>0</v>
      </c>
      <c r="E163">
        <v>0</v>
      </c>
      <c r="F163">
        <v>0</v>
      </c>
      <c r="G163">
        <v>0</v>
      </c>
      <c r="H163">
        <v>0</v>
      </c>
      <c r="I163" t="s">
        <v>794</v>
      </c>
    </row>
    <row r="164" spans="1:9" x14ac:dyDescent="0.2">
      <c r="A164" t="s">
        <v>66</v>
      </c>
      <c r="B164" t="s">
        <v>810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 t="s">
        <v>794</v>
      </c>
    </row>
    <row r="165" spans="1:9" x14ac:dyDescent="0.2">
      <c r="A165" t="s">
        <v>67</v>
      </c>
      <c r="B165" t="s">
        <v>814</v>
      </c>
      <c r="I165" t="s">
        <v>794</v>
      </c>
    </row>
    <row r="166" spans="1:9" x14ac:dyDescent="0.2">
      <c r="A166" t="s">
        <v>67</v>
      </c>
      <c r="B166" t="s">
        <v>815</v>
      </c>
      <c r="I166" t="s">
        <v>794</v>
      </c>
    </row>
    <row r="167" spans="1:9" x14ac:dyDescent="0.2">
      <c r="A167" t="s">
        <v>67</v>
      </c>
      <c r="B167" t="s">
        <v>810</v>
      </c>
      <c r="I167" t="s">
        <v>794</v>
      </c>
    </row>
    <row r="168" spans="1:9" x14ac:dyDescent="0.2">
      <c r="A168" t="s">
        <v>67</v>
      </c>
      <c r="B168" t="s">
        <v>817</v>
      </c>
      <c r="I168" t="s">
        <v>794</v>
      </c>
    </row>
    <row r="169" spans="1:9" hidden="1" x14ac:dyDescent="0.2">
      <c r="A169" t="s">
        <v>68</v>
      </c>
      <c r="B169" t="s">
        <v>835</v>
      </c>
      <c r="C169">
        <v>1652.030285555066</v>
      </c>
      <c r="D169">
        <v>0</v>
      </c>
      <c r="E169">
        <v>0</v>
      </c>
      <c r="F169">
        <v>0</v>
      </c>
      <c r="G169">
        <v>0</v>
      </c>
      <c r="H169">
        <v>0</v>
      </c>
      <c r="I169" t="s">
        <v>790</v>
      </c>
    </row>
    <row r="170" spans="1:9" hidden="1" x14ac:dyDescent="0.2">
      <c r="A170" t="s">
        <v>68</v>
      </c>
      <c r="B170" t="s">
        <v>810</v>
      </c>
      <c r="C170">
        <v>102.82349229465559</v>
      </c>
      <c r="D170">
        <v>0</v>
      </c>
      <c r="E170">
        <v>0</v>
      </c>
      <c r="F170">
        <v>0</v>
      </c>
      <c r="G170">
        <v>0</v>
      </c>
      <c r="H170">
        <v>0</v>
      </c>
      <c r="I170" t="s">
        <v>790</v>
      </c>
    </row>
    <row r="171" spans="1:9" hidden="1" x14ac:dyDescent="0.2">
      <c r="A171" t="s">
        <v>68</v>
      </c>
      <c r="B171" t="s">
        <v>811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 t="s">
        <v>790</v>
      </c>
    </row>
    <row r="172" spans="1:9" hidden="1" x14ac:dyDescent="0.2">
      <c r="A172" t="s">
        <v>69</v>
      </c>
      <c r="B172" t="s">
        <v>814</v>
      </c>
      <c r="C172">
        <v>0</v>
      </c>
      <c r="I172" t="s">
        <v>790</v>
      </c>
    </row>
    <row r="173" spans="1:9" hidden="1" x14ac:dyDescent="0.2">
      <c r="A173" t="s">
        <v>69</v>
      </c>
      <c r="B173" t="s">
        <v>811</v>
      </c>
      <c r="C173">
        <v>0</v>
      </c>
      <c r="I173" t="s">
        <v>790</v>
      </c>
    </row>
    <row r="174" spans="1:9" hidden="1" x14ac:dyDescent="0.2">
      <c r="A174" t="s">
        <v>70</v>
      </c>
      <c r="B174" t="s">
        <v>810</v>
      </c>
      <c r="C174">
        <v>9.0348850237999116E-5</v>
      </c>
      <c r="D174">
        <v>2.8019899611230832</v>
      </c>
      <c r="E174">
        <v>0</v>
      </c>
      <c r="F174">
        <v>0</v>
      </c>
      <c r="G174">
        <v>0</v>
      </c>
      <c r="H174">
        <v>0</v>
      </c>
      <c r="I174" t="s">
        <v>790</v>
      </c>
    </row>
    <row r="175" spans="1:9" hidden="1" x14ac:dyDescent="0.2">
      <c r="A175" t="s">
        <v>70</v>
      </c>
      <c r="B175" t="s">
        <v>819</v>
      </c>
      <c r="C175">
        <v>4.6360787574363521E-4</v>
      </c>
      <c r="D175">
        <v>13.209486814868059</v>
      </c>
      <c r="E175">
        <v>0</v>
      </c>
      <c r="F175">
        <v>0</v>
      </c>
      <c r="G175">
        <v>0</v>
      </c>
      <c r="H175">
        <v>0</v>
      </c>
      <c r="I175" t="s">
        <v>790</v>
      </c>
    </row>
    <row r="176" spans="1:9" hidden="1" x14ac:dyDescent="0.2">
      <c r="A176" t="s">
        <v>70</v>
      </c>
      <c r="B176" t="s">
        <v>811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 t="s">
        <v>790</v>
      </c>
    </row>
    <row r="177" spans="1:9" x14ac:dyDescent="0.2">
      <c r="A177" t="s">
        <v>71</v>
      </c>
      <c r="B177" t="s">
        <v>814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 t="s">
        <v>794</v>
      </c>
    </row>
    <row r="178" spans="1:9" x14ac:dyDescent="0.2">
      <c r="A178" t="s">
        <v>71</v>
      </c>
      <c r="B178" t="s">
        <v>810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 t="s">
        <v>794</v>
      </c>
    </row>
    <row r="179" spans="1:9" x14ac:dyDescent="0.2">
      <c r="A179" t="s">
        <v>71</v>
      </c>
      <c r="B179" t="s">
        <v>811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 t="s">
        <v>794</v>
      </c>
    </row>
    <row r="180" spans="1:9" x14ac:dyDescent="0.2">
      <c r="A180" t="s">
        <v>72</v>
      </c>
      <c r="B180" t="s">
        <v>816</v>
      </c>
      <c r="C180">
        <v>2.4920421272835881E-3</v>
      </c>
      <c r="D180">
        <v>0</v>
      </c>
      <c r="E180">
        <v>0</v>
      </c>
      <c r="F180">
        <v>0</v>
      </c>
      <c r="G180">
        <v>0</v>
      </c>
      <c r="H180">
        <v>0</v>
      </c>
      <c r="I180" t="s">
        <v>794</v>
      </c>
    </row>
    <row r="181" spans="1:9" x14ac:dyDescent="0.2">
      <c r="A181" t="s">
        <v>72</v>
      </c>
      <c r="B181" t="s">
        <v>810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 t="s">
        <v>794</v>
      </c>
    </row>
    <row r="182" spans="1:9" hidden="1" x14ac:dyDescent="0.2">
      <c r="A182" t="s">
        <v>73</v>
      </c>
      <c r="B182" t="s">
        <v>816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 t="s">
        <v>793</v>
      </c>
    </row>
    <row r="183" spans="1:9" hidden="1" x14ac:dyDescent="0.2">
      <c r="A183" t="s">
        <v>73</v>
      </c>
      <c r="B183" t="s">
        <v>836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 t="s">
        <v>793</v>
      </c>
    </row>
    <row r="184" spans="1:9" hidden="1" x14ac:dyDescent="0.2">
      <c r="A184" t="s">
        <v>74</v>
      </c>
      <c r="B184" t="s">
        <v>816</v>
      </c>
      <c r="C184">
        <v>0</v>
      </c>
      <c r="I184" t="s">
        <v>788</v>
      </c>
    </row>
    <row r="185" spans="1:9" hidden="1" x14ac:dyDescent="0.2">
      <c r="A185" t="s">
        <v>74</v>
      </c>
      <c r="B185" t="s">
        <v>836</v>
      </c>
      <c r="C185">
        <v>0</v>
      </c>
      <c r="I185" t="s">
        <v>788</v>
      </c>
    </row>
    <row r="186" spans="1:9" hidden="1" x14ac:dyDescent="0.2">
      <c r="A186" t="s">
        <v>75</v>
      </c>
      <c r="B186" t="s">
        <v>816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 t="s">
        <v>795</v>
      </c>
    </row>
    <row r="187" spans="1:9" hidden="1" x14ac:dyDescent="0.2">
      <c r="A187" t="s">
        <v>75</v>
      </c>
      <c r="B187" t="s">
        <v>836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 t="s">
        <v>795</v>
      </c>
    </row>
    <row r="188" spans="1:9" hidden="1" x14ac:dyDescent="0.2">
      <c r="A188" t="s">
        <v>76</v>
      </c>
      <c r="B188" t="s">
        <v>816</v>
      </c>
      <c r="C188">
        <v>0</v>
      </c>
      <c r="I188" t="s">
        <v>790</v>
      </c>
    </row>
    <row r="189" spans="1:9" hidden="1" x14ac:dyDescent="0.2">
      <c r="A189" t="s">
        <v>76</v>
      </c>
      <c r="B189" t="s">
        <v>836</v>
      </c>
      <c r="C189">
        <v>0</v>
      </c>
      <c r="I189" t="s">
        <v>790</v>
      </c>
    </row>
    <row r="190" spans="1:9" x14ac:dyDescent="0.2">
      <c r="A190" t="s">
        <v>77</v>
      </c>
      <c r="B190" t="s">
        <v>816</v>
      </c>
      <c r="C190">
        <v>0</v>
      </c>
      <c r="I190" t="s">
        <v>794</v>
      </c>
    </row>
    <row r="191" spans="1:9" x14ac:dyDescent="0.2">
      <c r="A191" t="s">
        <v>77</v>
      </c>
      <c r="B191" t="s">
        <v>836</v>
      </c>
      <c r="C191">
        <v>0</v>
      </c>
      <c r="I191" t="s">
        <v>794</v>
      </c>
    </row>
    <row r="192" spans="1:9" hidden="1" x14ac:dyDescent="0.2">
      <c r="A192" t="s">
        <v>78</v>
      </c>
      <c r="B192" t="s">
        <v>816</v>
      </c>
      <c r="I192" t="s">
        <v>796</v>
      </c>
    </row>
    <row r="193" spans="1:9" hidden="1" x14ac:dyDescent="0.2">
      <c r="A193" t="s">
        <v>78</v>
      </c>
      <c r="B193" t="s">
        <v>836</v>
      </c>
      <c r="I193" t="s">
        <v>796</v>
      </c>
    </row>
    <row r="194" spans="1:9" hidden="1" x14ac:dyDescent="0.2">
      <c r="A194" t="s">
        <v>79</v>
      </c>
      <c r="B194" t="s">
        <v>810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 t="s">
        <v>788</v>
      </c>
    </row>
    <row r="195" spans="1:9" hidden="1" x14ac:dyDescent="0.2">
      <c r="A195" t="s">
        <v>80</v>
      </c>
      <c r="B195" t="s">
        <v>824</v>
      </c>
      <c r="D195">
        <v>0</v>
      </c>
      <c r="E195">
        <v>0</v>
      </c>
      <c r="F195">
        <v>0</v>
      </c>
      <c r="G195">
        <v>0</v>
      </c>
      <c r="H195">
        <v>0</v>
      </c>
      <c r="I195" t="s">
        <v>788</v>
      </c>
    </row>
    <row r="196" spans="1:9" hidden="1" x14ac:dyDescent="0.2">
      <c r="A196" t="s">
        <v>80</v>
      </c>
      <c r="B196" t="s">
        <v>822</v>
      </c>
      <c r="D196">
        <v>0</v>
      </c>
      <c r="E196">
        <v>0</v>
      </c>
      <c r="F196">
        <v>0</v>
      </c>
      <c r="G196">
        <v>0</v>
      </c>
      <c r="H196">
        <v>0</v>
      </c>
      <c r="I196" t="s">
        <v>788</v>
      </c>
    </row>
    <row r="197" spans="1:9" hidden="1" x14ac:dyDescent="0.2">
      <c r="A197" t="s">
        <v>80</v>
      </c>
      <c r="B197" t="s">
        <v>825</v>
      </c>
      <c r="D197">
        <v>0</v>
      </c>
      <c r="E197">
        <v>0</v>
      </c>
      <c r="F197">
        <v>0</v>
      </c>
      <c r="G197">
        <v>0</v>
      </c>
      <c r="H197">
        <v>0</v>
      </c>
      <c r="I197" t="s">
        <v>788</v>
      </c>
    </row>
    <row r="198" spans="1:9" hidden="1" x14ac:dyDescent="0.2">
      <c r="A198" t="s">
        <v>80</v>
      </c>
      <c r="B198" t="s">
        <v>821</v>
      </c>
      <c r="D198">
        <v>0</v>
      </c>
      <c r="E198">
        <v>0</v>
      </c>
      <c r="F198">
        <v>0</v>
      </c>
      <c r="G198">
        <v>0</v>
      </c>
      <c r="H198">
        <v>0</v>
      </c>
      <c r="I198" t="s">
        <v>788</v>
      </c>
    </row>
    <row r="199" spans="1:9" hidden="1" x14ac:dyDescent="0.2">
      <c r="A199" t="s">
        <v>80</v>
      </c>
      <c r="B199" t="s">
        <v>811</v>
      </c>
      <c r="D199">
        <v>0</v>
      </c>
      <c r="E199">
        <v>0</v>
      </c>
      <c r="F199">
        <v>0</v>
      </c>
      <c r="G199">
        <v>0</v>
      </c>
      <c r="H199">
        <v>0</v>
      </c>
      <c r="I199" t="s">
        <v>788</v>
      </c>
    </row>
    <row r="200" spans="1:9" hidden="1" x14ac:dyDescent="0.2">
      <c r="A200" t="s">
        <v>81</v>
      </c>
      <c r="B200" t="s">
        <v>837</v>
      </c>
      <c r="C200">
        <v>7.6690376855277309</v>
      </c>
      <c r="D200">
        <v>0</v>
      </c>
      <c r="E200">
        <v>0</v>
      </c>
      <c r="F200">
        <v>0</v>
      </c>
      <c r="G200">
        <v>0</v>
      </c>
      <c r="H200">
        <v>0</v>
      </c>
      <c r="I200" t="s">
        <v>788</v>
      </c>
    </row>
    <row r="201" spans="1:9" hidden="1" x14ac:dyDescent="0.2">
      <c r="A201" t="s">
        <v>81</v>
      </c>
      <c r="B201" t="s">
        <v>838</v>
      </c>
      <c r="C201">
        <v>2.95538253501371</v>
      </c>
      <c r="D201">
        <v>0</v>
      </c>
      <c r="E201">
        <v>0</v>
      </c>
      <c r="F201">
        <v>0</v>
      </c>
      <c r="G201">
        <v>0</v>
      </c>
      <c r="H201">
        <v>0</v>
      </c>
      <c r="I201" t="s">
        <v>788</v>
      </c>
    </row>
    <row r="202" spans="1:9" hidden="1" x14ac:dyDescent="0.2">
      <c r="A202" t="s">
        <v>81</v>
      </c>
      <c r="B202" t="s">
        <v>822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 t="s">
        <v>788</v>
      </c>
    </row>
    <row r="203" spans="1:9" hidden="1" x14ac:dyDescent="0.2">
      <c r="A203" t="s">
        <v>82</v>
      </c>
      <c r="B203" t="s">
        <v>830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 t="s">
        <v>788</v>
      </c>
    </row>
    <row r="204" spans="1:9" hidden="1" x14ac:dyDescent="0.2">
      <c r="A204" t="s">
        <v>82</v>
      </c>
      <c r="B204" t="s">
        <v>831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 t="s">
        <v>788</v>
      </c>
    </row>
    <row r="205" spans="1:9" hidden="1" x14ac:dyDescent="0.2">
      <c r="A205" t="s">
        <v>82</v>
      </c>
      <c r="B205" t="s">
        <v>832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 t="s">
        <v>788</v>
      </c>
    </row>
    <row r="206" spans="1:9" x14ac:dyDescent="0.2">
      <c r="A206" t="s">
        <v>83</v>
      </c>
      <c r="B206" t="s">
        <v>810</v>
      </c>
      <c r="C206">
        <v>3738.1344235259639</v>
      </c>
      <c r="D206">
        <v>0</v>
      </c>
      <c r="E206">
        <v>0</v>
      </c>
      <c r="F206">
        <v>0</v>
      </c>
      <c r="G206">
        <v>0</v>
      </c>
      <c r="H206">
        <v>0</v>
      </c>
      <c r="I206" t="s">
        <v>794</v>
      </c>
    </row>
    <row r="207" spans="1:9" x14ac:dyDescent="0.2">
      <c r="A207" t="s">
        <v>84</v>
      </c>
      <c r="B207" t="s">
        <v>810</v>
      </c>
      <c r="C207">
        <v>6287.9833355103874</v>
      </c>
      <c r="D207">
        <v>0</v>
      </c>
      <c r="E207">
        <v>0</v>
      </c>
      <c r="F207">
        <v>0</v>
      </c>
      <c r="G207">
        <v>0</v>
      </c>
      <c r="H207">
        <v>0</v>
      </c>
      <c r="I207" t="s">
        <v>794</v>
      </c>
    </row>
    <row r="208" spans="1:9" x14ac:dyDescent="0.2">
      <c r="A208" t="s">
        <v>85</v>
      </c>
      <c r="B208" t="s">
        <v>810</v>
      </c>
      <c r="C208">
        <v>227.0555467493607</v>
      </c>
      <c r="D208">
        <v>0</v>
      </c>
      <c r="E208">
        <v>0</v>
      </c>
      <c r="F208">
        <v>0</v>
      </c>
      <c r="G208">
        <v>0</v>
      </c>
      <c r="H208">
        <v>0</v>
      </c>
      <c r="I208" t="s">
        <v>794</v>
      </c>
    </row>
    <row r="209" spans="1:9" x14ac:dyDescent="0.2">
      <c r="A209" t="s">
        <v>86</v>
      </c>
      <c r="B209" t="s">
        <v>810</v>
      </c>
      <c r="C209">
        <v>9.4886145235747229E-4</v>
      </c>
      <c r="D209">
        <v>0</v>
      </c>
      <c r="E209">
        <v>0</v>
      </c>
      <c r="F209">
        <v>0</v>
      </c>
      <c r="G209">
        <v>0</v>
      </c>
      <c r="H209">
        <v>0</v>
      </c>
      <c r="I209" t="s">
        <v>794</v>
      </c>
    </row>
    <row r="210" spans="1:9" hidden="1" x14ac:dyDescent="0.2">
      <c r="A210" t="s">
        <v>87</v>
      </c>
      <c r="B210" t="s">
        <v>810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 t="s">
        <v>793</v>
      </c>
    </row>
    <row r="211" spans="1:9" hidden="1" x14ac:dyDescent="0.2">
      <c r="A211" t="s">
        <v>88</v>
      </c>
      <c r="B211" t="s">
        <v>811</v>
      </c>
      <c r="I211" t="s">
        <v>793</v>
      </c>
    </row>
    <row r="212" spans="1:9" hidden="1" x14ac:dyDescent="0.2">
      <c r="A212" t="s">
        <v>89</v>
      </c>
      <c r="B212" t="s">
        <v>839</v>
      </c>
      <c r="C212">
        <v>10.719435275903731</v>
      </c>
      <c r="D212">
        <v>0</v>
      </c>
      <c r="E212">
        <v>0</v>
      </c>
      <c r="F212">
        <v>0</v>
      </c>
      <c r="G212">
        <v>0</v>
      </c>
      <c r="H212">
        <v>0</v>
      </c>
      <c r="I212" t="s">
        <v>793</v>
      </c>
    </row>
    <row r="213" spans="1:9" hidden="1" x14ac:dyDescent="0.2">
      <c r="A213" t="s">
        <v>89</v>
      </c>
      <c r="B213" t="s">
        <v>811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 t="s">
        <v>793</v>
      </c>
    </row>
    <row r="214" spans="1:9" hidden="1" x14ac:dyDescent="0.2">
      <c r="A214" t="s">
        <v>90</v>
      </c>
      <c r="B214" t="s">
        <v>816</v>
      </c>
      <c r="C214">
        <v>5.6342372979486827E-4</v>
      </c>
      <c r="D214">
        <v>0</v>
      </c>
      <c r="E214">
        <v>0</v>
      </c>
      <c r="F214">
        <v>0</v>
      </c>
      <c r="G214">
        <v>0</v>
      </c>
      <c r="H214">
        <v>0</v>
      </c>
      <c r="I214" t="s">
        <v>793</v>
      </c>
    </row>
    <row r="215" spans="1:9" hidden="1" x14ac:dyDescent="0.2">
      <c r="A215" t="s">
        <v>90</v>
      </c>
      <c r="B215" t="s">
        <v>811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 t="s">
        <v>793</v>
      </c>
    </row>
    <row r="216" spans="1:9" hidden="1" x14ac:dyDescent="0.2">
      <c r="A216" t="s">
        <v>91</v>
      </c>
      <c r="B216" t="s">
        <v>810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 t="s">
        <v>795</v>
      </c>
    </row>
    <row r="217" spans="1:9" hidden="1" x14ac:dyDescent="0.2">
      <c r="A217" t="s">
        <v>92</v>
      </c>
      <c r="B217" t="s">
        <v>811</v>
      </c>
      <c r="I217" t="s">
        <v>795</v>
      </c>
    </row>
    <row r="218" spans="1:9" hidden="1" x14ac:dyDescent="0.2">
      <c r="A218" t="s">
        <v>93</v>
      </c>
      <c r="B218" t="s">
        <v>814</v>
      </c>
      <c r="C218">
        <v>2.4837754098916321E-3</v>
      </c>
      <c r="D218">
        <v>0</v>
      </c>
      <c r="E218">
        <v>0</v>
      </c>
      <c r="F218">
        <v>0</v>
      </c>
      <c r="G218">
        <v>0</v>
      </c>
      <c r="H218">
        <v>0</v>
      </c>
      <c r="I218" t="s">
        <v>795</v>
      </c>
    </row>
    <row r="219" spans="1:9" hidden="1" x14ac:dyDescent="0.2">
      <c r="A219" t="s">
        <v>93</v>
      </c>
      <c r="B219" t="s">
        <v>838</v>
      </c>
      <c r="C219">
        <v>4.1396256115009732E-3</v>
      </c>
      <c r="D219">
        <v>0</v>
      </c>
      <c r="E219">
        <v>0</v>
      </c>
      <c r="F219">
        <v>0</v>
      </c>
      <c r="G219">
        <v>0</v>
      </c>
      <c r="H219">
        <v>0</v>
      </c>
      <c r="I219" t="s">
        <v>795</v>
      </c>
    </row>
    <row r="220" spans="1:9" hidden="1" x14ac:dyDescent="0.2">
      <c r="A220" t="s">
        <v>93</v>
      </c>
      <c r="B220" t="s">
        <v>811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 t="s">
        <v>795</v>
      </c>
    </row>
    <row r="221" spans="1:9" hidden="1" x14ac:dyDescent="0.2">
      <c r="A221" t="s">
        <v>94</v>
      </c>
      <c r="B221" t="s">
        <v>816</v>
      </c>
      <c r="C221">
        <v>689.5463486904323</v>
      </c>
      <c r="D221">
        <v>0</v>
      </c>
      <c r="E221">
        <v>0</v>
      </c>
      <c r="F221">
        <v>0</v>
      </c>
      <c r="G221">
        <v>0</v>
      </c>
      <c r="H221">
        <v>0</v>
      </c>
      <c r="I221" t="s">
        <v>795</v>
      </c>
    </row>
    <row r="222" spans="1:9" hidden="1" x14ac:dyDescent="0.2">
      <c r="A222" t="s">
        <v>94</v>
      </c>
      <c r="B222" t="s">
        <v>811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 t="s">
        <v>795</v>
      </c>
    </row>
    <row r="223" spans="1:9" hidden="1" x14ac:dyDescent="0.2">
      <c r="A223" t="s">
        <v>95</v>
      </c>
      <c r="B223" t="s">
        <v>810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 t="s">
        <v>790</v>
      </c>
    </row>
    <row r="224" spans="1:9" hidden="1" x14ac:dyDescent="0.2">
      <c r="A224" t="s">
        <v>96</v>
      </c>
      <c r="B224" t="s">
        <v>811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 t="s">
        <v>790</v>
      </c>
    </row>
    <row r="225" spans="1:9" hidden="1" x14ac:dyDescent="0.2">
      <c r="A225" t="s">
        <v>97</v>
      </c>
      <c r="B225" t="s">
        <v>840</v>
      </c>
      <c r="C225">
        <v>97.98356121015847</v>
      </c>
      <c r="E225">
        <v>0</v>
      </c>
      <c r="F225">
        <v>0</v>
      </c>
      <c r="G225">
        <v>0</v>
      </c>
      <c r="H225">
        <v>0</v>
      </c>
      <c r="I225" t="s">
        <v>790</v>
      </c>
    </row>
    <row r="226" spans="1:9" hidden="1" x14ac:dyDescent="0.2">
      <c r="A226" t="s">
        <v>97</v>
      </c>
      <c r="B226" t="s">
        <v>811</v>
      </c>
      <c r="C226">
        <v>0</v>
      </c>
      <c r="E226">
        <v>0</v>
      </c>
      <c r="F226">
        <v>0</v>
      </c>
      <c r="G226">
        <v>0</v>
      </c>
      <c r="H226">
        <v>0</v>
      </c>
      <c r="I226" t="s">
        <v>790</v>
      </c>
    </row>
    <row r="227" spans="1:9" hidden="1" x14ac:dyDescent="0.2">
      <c r="A227" t="s">
        <v>98</v>
      </c>
      <c r="B227" t="s">
        <v>816</v>
      </c>
      <c r="C227">
        <v>3.6021730228066672E-4</v>
      </c>
      <c r="D227">
        <v>0.55080279691869483</v>
      </c>
      <c r="E227">
        <v>7.2998644386626426</v>
      </c>
      <c r="F227">
        <v>0</v>
      </c>
      <c r="G227">
        <v>0</v>
      </c>
      <c r="H227">
        <v>0</v>
      </c>
      <c r="I227" t="s">
        <v>790</v>
      </c>
    </row>
    <row r="228" spans="1:9" hidden="1" x14ac:dyDescent="0.2">
      <c r="A228" t="s">
        <v>98</v>
      </c>
      <c r="B228" t="s">
        <v>811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 t="s">
        <v>790</v>
      </c>
    </row>
    <row r="229" spans="1:9" x14ac:dyDescent="0.2">
      <c r="A229" t="s">
        <v>99</v>
      </c>
      <c r="B229" t="s">
        <v>810</v>
      </c>
      <c r="C229">
        <v>3520.6711781014428</v>
      </c>
      <c r="D229">
        <v>0</v>
      </c>
      <c r="E229">
        <v>0</v>
      </c>
      <c r="F229">
        <v>0</v>
      </c>
      <c r="G229">
        <v>0</v>
      </c>
      <c r="H229">
        <v>0</v>
      </c>
      <c r="I229" t="s">
        <v>794</v>
      </c>
    </row>
    <row r="230" spans="1:9" x14ac:dyDescent="0.2">
      <c r="A230" t="s">
        <v>100</v>
      </c>
      <c r="B230" t="s">
        <v>810</v>
      </c>
      <c r="C230">
        <v>466.01324204242979</v>
      </c>
      <c r="D230">
        <v>0</v>
      </c>
      <c r="E230">
        <v>0</v>
      </c>
      <c r="F230">
        <v>0</v>
      </c>
      <c r="G230">
        <v>0</v>
      </c>
      <c r="H230">
        <v>0</v>
      </c>
      <c r="I230" t="s">
        <v>794</v>
      </c>
    </row>
    <row r="231" spans="1:9" x14ac:dyDescent="0.2">
      <c r="A231" t="s">
        <v>101</v>
      </c>
      <c r="B231" t="s">
        <v>810</v>
      </c>
      <c r="C231">
        <v>8.8565299974519669E-4</v>
      </c>
      <c r="D231">
        <v>0</v>
      </c>
      <c r="E231">
        <v>0</v>
      </c>
      <c r="F231">
        <v>0</v>
      </c>
      <c r="G231">
        <v>0</v>
      </c>
      <c r="H231">
        <v>0</v>
      </c>
      <c r="I231" t="s">
        <v>794</v>
      </c>
    </row>
    <row r="232" spans="1:9" hidden="1" x14ac:dyDescent="0.2">
      <c r="A232" t="s">
        <v>102</v>
      </c>
      <c r="B232" t="s">
        <v>816</v>
      </c>
      <c r="C232">
        <v>16422.368681708569</v>
      </c>
      <c r="D232">
        <v>0</v>
      </c>
      <c r="E232">
        <v>0</v>
      </c>
      <c r="F232">
        <v>0</v>
      </c>
      <c r="G232">
        <v>0</v>
      </c>
      <c r="H232">
        <v>0</v>
      </c>
      <c r="I232" t="s">
        <v>790</v>
      </c>
    </row>
    <row r="233" spans="1:9" hidden="1" x14ac:dyDescent="0.2">
      <c r="A233" t="s">
        <v>102</v>
      </c>
      <c r="B233" t="s">
        <v>810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 t="s">
        <v>790</v>
      </c>
    </row>
    <row r="234" spans="1:9" hidden="1" x14ac:dyDescent="0.2">
      <c r="A234" t="s">
        <v>102</v>
      </c>
      <c r="B234" t="s">
        <v>811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 t="s">
        <v>790</v>
      </c>
    </row>
    <row r="235" spans="1:9" hidden="1" x14ac:dyDescent="0.2">
      <c r="A235" t="s">
        <v>103</v>
      </c>
      <c r="B235" t="s">
        <v>816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 t="s">
        <v>797</v>
      </c>
    </row>
    <row r="236" spans="1:9" hidden="1" x14ac:dyDescent="0.2">
      <c r="A236" t="s">
        <v>104</v>
      </c>
      <c r="B236" t="s">
        <v>816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 t="s">
        <v>797</v>
      </c>
    </row>
    <row r="237" spans="1:9" hidden="1" x14ac:dyDescent="0.2">
      <c r="A237" t="s">
        <v>105</v>
      </c>
      <c r="B237" t="s">
        <v>816</v>
      </c>
      <c r="C237">
        <v>3306.6822516142402</v>
      </c>
      <c r="D237">
        <v>0</v>
      </c>
      <c r="E237">
        <v>0</v>
      </c>
      <c r="F237">
        <v>0</v>
      </c>
      <c r="G237">
        <v>0</v>
      </c>
      <c r="H237">
        <v>0</v>
      </c>
      <c r="I237" t="s">
        <v>797</v>
      </c>
    </row>
    <row r="238" spans="1:9" hidden="1" x14ac:dyDescent="0.2">
      <c r="A238" t="s">
        <v>106</v>
      </c>
      <c r="B238" t="s">
        <v>816</v>
      </c>
      <c r="C238">
        <v>3261.2766519493412</v>
      </c>
      <c r="D238">
        <v>0</v>
      </c>
      <c r="E238">
        <v>0</v>
      </c>
      <c r="F238">
        <v>0</v>
      </c>
      <c r="G238">
        <v>0</v>
      </c>
      <c r="H238">
        <v>0</v>
      </c>
      <c r="I238" t="s">
        <v>797</v>
      </c>
    </row>
    <row r="239" spans="1:9" hidden="1" x14ac:dyDescent="0.2">
      <c r="A239" t="s">
        <v>107</v>
      </c>
      <c r="B239" t="s">
        <v>816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 t="s">
        <v>797</v>
      </c>
    </row>
    <row r="240" spans="1:9" hidden="1" x14ac:dyDescent="0.2">
      <c r="A240" t="s">
        <v>108</v>
      </c>
      <c r="B240" t="s">
        <v>816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 t="s">
        <v>797</v>
      </c>
    </row>
    <row r="241" spans="1:9" hidden="1" x14ac:dyDescent="0.2">
      <c r="A241" t="s">
        <v>109</v>
      </c>
      <c r="B241" t="s">
        <v>816</v>
      </c>
      <c r="C241">
        <v>11197.409484128661</v>
      </c>
      <c r="D241">
        <v>0</v>
      </c>
      <c r="E241">
        <v>0</v>
      </c>
      <c r="F241">
        <v>0</v>
      </c>
      <c r="G241">
        <v>0</v>
      </c>
      <c r="H241">
        <v>0</v>
      </c>
      <c r="I241" t="s">
        <v>797</v>
      </c>
    </row>
    <row r="242" spans="1:9" x14ac:dyDescent="0.2">
      <c r="A242" t="s">
        <v>110</v>
      </c>
      <c r="B242" t="s">
        <v>810</v>
      </c>
      <c r="C242">
        <v>4.0541404463842259E-3</v>
      </c>
      <c r="E242">
        <v>0</v>
      </c>
      <c r="F242">
        <v>0</v>
      </c>
      <c r="G242">
        <v>0</v>
      </c>
      <c r="H242">
        <v>0</v>
      </c>
      <c r="I242" t="s">
        <v>794</v>
      </c>
    </row>
    <row r="243" spans="1:9" x14ac:dyDescent="0.2">
      <c r="A243" t="s">
        <v>111</v>
      </c>
      <c r="B243" t="s">
        <v>810</v>
      </c>
      <c r="C243">
        <v>1.8253146325451371E-4</v>
      </c>
      <c r="D243">
        <v>0</v>
      </c>
      <c r="E243">
        <v>0</v>
      </c>
      <c r="F243">
        <v>0</v>
      </c>
      <c r="G243">
        <v>0</v>
      </c>
      <c r="H243">
        <v>0</v>
      </c>
      <c r="I243" t="s">
        <v>794</v>
      </c>
    </row>
    <row r="244" spans="1:9" x14ac:dyDescent="0.2">
      <c r="A244" t="s">
        <v>112</v>
      </c>
      <c r="B244" t="s">
        <v>816</v>
      </c>
      <c r="C244">
        <v>1.217634908090961E-4</v>
      </c>
      <c r="D244">
        <v>0</v>
      </c>
      <c r="E244">
        <v>0</v>
      </c>
      <c r="F244">
        <v>0</v>
      </c>
      <c r="G244">
        <v>0</v>
      </c>
      <c r="H244">
        <v>0</v>
      </c>
      <c r="I244" t="s">
        <v>794</v>
      </c>
    </row>
    <row r="245" spans="1:9" x14ac:dyDescent="0.2">
      <c r="A245" t="s">
        <v>112</v>
      </c>
      <c r="B245" t="s">
        <v>810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 t="s">
        <v>794</v>
      </c>
    </row>
    <row r="246" spans="1:9" hidden="1" x14ac:dyDescent="0.2">
      <c r="A246" t="s">
        <v>113</v>
      </c>
      <c r="B246" t="s">
        <v>811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 t="s">
        <v>796</v>
      </c>
    </row>
    <row r="247" spans="1:9" hidden="1" x14ac:dyDescent="0.2">
      <c r="A247" t="s">
        <v>114</v>
      </c>
      <c r="B247" t="s">
        <v>810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 t="s">
        <v>796</v>
      </c>
    </row>
    <row r="248" spans="1:9" hidden="1" x14ac:dyDescent="0.2">
      <c r="A248" t="s">
        <v>115</v>
      </c>
      <c r="B248" t="s">
        <v>841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 t="s">
        <v>796</v>
      </c>
    </row>
    <row r="249" spans="1:9" hidden="1" x14ac:dyDescent="0.2">
      <c r="A249" t="s">
        <v>115</v>
      </c>
      <c r="B249" t="s">
        <v>838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 t="s">
        <v>796</v>
      </c>
    </row>
    <row r="250" spans="1:9" hidden="1" x14ac:dyDescent="0.2">
      <c r="A250" t="s">
        <v>115</v>
      </c>
      <c r="B250" t="s">
        <v>842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 t="s">
        <v>796</v>
      </c>
    </row>
    <row r="251" spans="1:9" hidden="1" x14ac:dyDescent="0.2">
      <c r="A251" t="s">
        <v>115</v>
      </c>
      <c r="B251" t="s">
        <v>811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 t="s">
        <v>796</v>
      </c>
    </row>
    <row r="252" spans="1:9" hidden="1" x14ac:dyDescent="0.2">
      <c r="A252" t="s">
        <v>116</v>
      </c>
      <c r="B252" t="s">
        <v>843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 t="s">
        <v>796</v>
      </c>
    </row>
    <row r="253" spans="1:9" hidden="1" x14ac:dyDescent="0.2">
      <c r="A253" t="s">
        <v>116</v>
      </c>
      <c r="B253" t="s">
        <v>844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 t="s">
        <v>796</v>
      </c>
    </row>
    <row r="254" spans="1:9" hidden="1" x14ac:dyDescent="0.2">
      <c r="A254" t="s">
        <v>116</v>
      </c>
      <c r="B254" t="s">
        <v>845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 t="s">
        <v>796</v>
      </c>
    </row>
    <row r="255" spans="1:9" hidden="1" x14ac:dyDescent="0.2">
      <c r="A255" t="s">
        <v>116</v>
      </c>
      <c r="B255" t="s">
        <v>846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 t="s">
        <v>796</v>
      </c>
    </row>
    <row r="256" spans="1:9" hidden="1" x14ac:dyDescent="0.2">
      <c r="A256" t="s">
        <v>116</v>
      </c>
      <c r="B256" t="s">
        <v>811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 t="s">
        <v>796</v>
      </c>
    </row>
    <row r="257" spans="1:9" hidden="1" x14ac:dyDescent="0.2">
      <c r="A257" t="s">
        <v>117</v>
      </c>
      <c r="B257" t="s">
        <v>826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 t="s">
        <v>798</v>
      </c>
    </row>
    <row r="258" spans="1:9" hidden="1" x14ac:dyDescent="0.2">
      <c r="A258" t="s">
        <v>117</v>
      </c>
      <c r="B258" t="s">
        <v>843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 t="s">
        <v>798</v>
      </c>
    </row>
    <row r="259" spans="1:9" hidden="1" x14ac:dyDescent="0.2">
      <c r="A259" t="s">
        <v>117</v>
      </c>
      <c r="B259" t="s">
        <v>838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 t="s">
        <v>798</v>
      </c>
    </row>
    <row r="260" spans="1:9" hidden="1" x14ac:dyDescent="0.2">
      <c r="A260" t="s">
        <v>117</v>
      </c>
      <c r="B260" t="s">
        <v>810</v>
      </c>
      <c r="C260">
        <v>48.872630579746399</v>
      </c>
      <c r="D260">
        <v>0</v>
      </c>
      <c r="E260">
        <v>0</v>
      </c>
      <c r="F260">
        <v>0</v>
      </c>
      <c r="G260">
        <v>0</v>
      </c>
      <c r="H260">
        <v>0</v>
      </c>
      <c r="I260" t="s">
        <v>798</v>
      </c>
    </row>
    <row r="261" spans="1:9" hidden="1" x14ac:dyDescent="0.2">
      <c r="A261" t="s">
        <v>117</v>
      </c>
      <c r="B261" t="s">
        <v>847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 t="s">
        <v>798</v>
      </c>
    </row>
    <row r="262" spans="1:9" hidden="1" x14ac:dyDescent="0.2">
      <c r="A262" t="s">
        <v>117</v>
      </c>
      <c r="B262" t="s">
        <v>822</v>
      </c>
      <c r="C262">
        <v>489.36599746037098</v>
      </c>
      <c r="D262">
        <v>0</v>
      </c>
      <c r="E262">
        <v>0</v>
      </c>
      <c r="F262">
        <v>0</v>
      </c>
      <c r="G262">
        <v>0</v>
      </c>
      <c r="H262">
        <v>0</v>
      </c>
      <c r="I262" t="s">
        <v>798</v>
      </c>
    </row>
    <row r="263" spans="1:9" hidden="1" x14ac:dyDescent="0.2">
      <c r="A263" t="s">
        <v>117</v>
      </c>
      <c r="B263" t="s">
        <v>848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 t="s">
        <v>798</v>
      </c>
    </row>
    <row r="264" spans="1:9" hidden="1" x14ac:dyDescent="0.2">
      <c r="A264" t="s">
        <v>117</v>
      </c>
      <c r="B264" t="s">
        <v>840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 t="s">
        <v>798</v>
      </c>
    </row>
    <row r="265" spans="1:9" hidden="1" x14ac:dyDescent="0.2">
      <c r="A265" t="s">
        <v>117</v>
      </c>
      <c r="B265" t="s">
        <v>829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 t="s">
        <v>798</v>
      </c>
    </row>
    <row r="266" spans="1:9" hidden="1" x14ac:dyDescent="0.2">
      <c r="A266" t="s">
        <v>117</v>
      </c>
      <c r="B266" t="s">
        <v>839</v>
      </c>
      <c r="C266">
        <v>9913.0090515076299</v>
      </c>
      <c r="D266">
        <v>0</v>
      </c>
      <c r="E266">
        <v>0</v>
      </c>
      <c r="F266">
        <v>0</v>
      </c>
      <c r="G266">
        <v>0</v>
      </c>
      <c r="H266">
        <v>0</v>
      </c>
      <c r="I266" t="s">
        <v>798</v>
      </c>
    </row>
    <row r="267" spans="1:9" hidden="1" x14ac:dyDescent="0.2">
      <c r="A267" t="s">
        <v>117</v>
      </c>
      <c r="B267" t="s">
        <v>832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 t="s">
        <v>798</v>
      </c>
    </row>
    <row r="268" spans="1:9" hidden="1" x14ac:dyDescent="0.2">
      <c r="A268" t="s">
        <v>117</v>
      </c>
      <c r="B268" t="s">
        <v>849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 t="s">
        <v>798</v>
      </c>
    </row>
    <row r="269" spans="1:9" hidden="1" x14ac:dyDescent="0.2">
      <c r="A269" t="s">
        <v>117</v>
      </c>
      <c r="B269" t="s">
        <v>812</v>
      </c>
      <c r="C269">
        <v>296.06112267510048</v>
      </c>
      <c r="D269">
        <v>0</v>
      </c>
      <c r="E269">
        <v>0</v>
      </c>
      <c r="F269">
        <v>0</v>
      </c>
      <c r="G269">
        <v>0</v>
      </c>
      <c r="H269">
        <v>0</v>
      </c>
      <c r="I269" t="s">
        <v>798</v>
      </c>
    </row>
    <row r="270" spans="1:9" hidden="1" x14ac:dyDescent="0.2">
      <c r="A270" t="s">
        <v>118</v>
      </c>
      <c r="B270" t="s">
        <v>816</v>
      </c>
      <c r="I270" t="s">
        <v>798</v>
      </c>
    </row>
    <row r="271" spans="1:9" hidden="1" x14ac:dyDescent="0.2">
      <c r="A271" t="s">
        <v>118</v>
      </c>
      <c r="B271" t="s">
        <v>810</v>
      </c>
      <c r="I271" t="s">
        <v>798</v>
      </c>
    </row>
    <row r="272" spans="1:9" hidden="1" x14ac:dyDescent="0.2">
      <c r="A272" t="s">
        <v>118</v>
      </c>
      <c r="B272" t="s">
        <v>811</v>
      </c>
      <c r="I272" t="s">
        <v>798</v>
      </c>
    </row>
    <row r="273" spans="1:9" hidden="1" x14ac:dyDescent="0.2">
      <c r="A273" t="s">
        <v>119</v>
      </c>
      <c r="B273" t="s">
        <v>816</v>
      </c>
      <c r="C273">
        <v>3.6513175071686989E-4</v>
      </c>
      <c r="D273">
        <v>1.663323837601289E-5</v>
      </c>
      <c r="E273">
        <v>0</v>
      </c>
      <c r="G273">
        <v>0</v>
      </c>
      <c r="H273">
        <v>0</v>
      </c>
      <c r="I273" t="s">
        <v>798</v>
      </c>
    </row>
    <row r="274" spans="1:9" hidden="1" x14ac:dyDescent="0.2">
      <c r="A274" t="s">
        <v>119</v>
      </c>
      <c r="B274" t="s">
        <v>822</v>
      </c>
      <c r="C274">
        <v>0</v>
      </c>
      <c r="D274">
        <v>0</v>
      </c>
      <c r="E274">
        <v>0</v>
      </c>
      <c r="G274">
        <v>0</v>
      </c>
      <c r="H274">
        <v>0</v>
      </c>
      <c r="I274" t="s">
        <v>798</v>
      </c>
    </row>
    <row r="275" spans="1:9" hidden="1" x14ac:dyDescent="0.2">
      <c r="A275" t="s">
        <v>120</v>
      </c>
      <c r="B275" t="s">
        <v>810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 t="s">
        <v>798</v>
      </c>
    </row>
    <row r="276" spans="1:9" hidden="1" x14ac:dyDescent="0.2">
      <c r="A276" t="s">
        <v>120</v>
      </c>
      <c r="B276" t="s">
        <v>822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 t="s">
        <v>798</v>
      </c>
    </row>
    <row r="277" spans="1:9" hidden="1" x14ac:dyDescent="0.2">
      <c r="A277" t="s">
        <v>120</v>
      </c>
      <c r="B277" t="s">
        <v>832</v>
      </c>
      <c r="C277">
        <v>7.8475860545295108E-5</v>
      </c>
      <c r="D277">
        <v>0</v>
      </c>
      <c r="E277">
        <v>0</v>
      </c>
      <c r="F277">
        <v>0</v>
      </c>
      <c r="G277">
        <v>0</v>
      </c>
      <c r="H277">
        <v>0</v>
      </c>
      <c r="I277" t="s">
        <v>798</v>
      </c>
    </row>
    <row r="278" spans="1:9" hidden="1" x14ac:dyDescent="0.2">
      <c r="A278" t="s">
        <v>120</v>
      </c>
      <c r="B278" t="s">
        <v>849</v>
      </c>
      <c r="C278">
        <v>2.324082424495678E-4</v>
      </c>
      <c r="D278">
        <v>0</v>
      </c>
      <c r="E278">
        <v>0</v>
      </c>
      <c r="F278">
        <v>0</v>
      </c>
      <c r="G278">
        <v>0</v>
      </c>
      <c r="H278">
        <v>0</v>
      </c>
      <c r="I278" t="s">
        <v>798</v>
      </c>
    </row>
    <row r="279" spans="1:9" hidden="1" x14ac:dyDescent="0.2">
      <c r="A279" t="s">
        <v>121</v>
      </c>
      <c r="B279" t="s">
        <v>810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 t="s">
        <v>798</v>
      </c>
    </row>
    <row r="280" spans="1:9" hidden="1" x14ac:dyDescent="0.2">
      <c r="A280" t="s">
        <v>121</v>
      </c>
      <c r="B280" t="s">
        <v>822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 t="s">
        <v>798</v>
      </c>
    </row>
    <row r="281" spans="1:9" hidden="1" x14ac:dyDescent="0.2">
      <c r="A281" t="s">
        <v>121</v>
      </c>
      <c r="B281" t="s">
        <v>849</v>
      </c>
      <c r="C281">
        <v>2.3437264913131269E-4</v>
      </c>
      <c r="D281">
        <v>1.7692858074464299E-5</v>
      </c>
      <c r="E281">
        <v>0</v>
      </c>
      <c r="F281">
        <v>0</v>
      </c>
      <c r="G281">
        <v>0</v>
      </c>
      <c r="H281">
        <v>0</v>
      </c>
      <c r="I281" t="s">
        <v>798</v>
      </c>
    </row>
    <row r="282" spans="1:9" hidden="1" x14ac:dyDescent="0.2">
      <c r="A282" t="s">
        <v>122</v>
      </c>
      <c r="B282" t="s">
        <v>816</v>
      </c>
      <c r="I282" t="s">
        <v>797</v>
      </c>
    </row>
    <row r="283" spans="1:9" hidden="1" x14ac:dyDescent="0.2">
      <c r="A283" t="s">
        <v>122</v>
      </c>
      <c r="B283" t="s">
        <v>812</v>
      </c>
      <c r="I283" t="s">
        <v>797</v>
      </c>
    </row>
    <row r="284" spans="1:9" x14ac:dyDescent="0.2">
      <c r="A284" t="s">
        <v>123</v>
      </c>
      <c r="B284" t="s">
        <v>816</v>
      </c>
      <c r="C284">
        <v>0</v>
      </c>
      <c r="I284" t="s">
        <v>794</v>
      </c>
    </row>
    <row r="285" spans="1:9" x14ac:dyDescent="0.2">
      <c r="A285" t="s">
        <v>123</v>
      </c>
      <c r="B285" t="s">
        <v>814</v>
      </c>
      <c r="C285">
        <v>0</v>
      </c>
      <c r="I285" t="s">
        <v>794</v>
      </c>
    </row>
    <row r="286" spans="1:9" x14ac:dyDescent="0.2">
      <c r="A286" t="s">
        <v>123</v>
      </c>
      <c r="B286" t="s">
        <v>850</v>
      </c>
      <c r="C286">
        <v>0</v>
      </c>
      <c r="I286" t="s">
        <v>794</v>
      </c>
    </row>
    <row r="287" spans="1:9" x14ac:dyDescent="0.2">
      <c r="A287" t="s">
        <v>123</v>
      </c>
      <c r="B287" t="s">
        <v>810</v>
      </c>
      <c r="C287">
        <v>0</v>
      </c>
      <c r="I287" t="s">
        <v>794</v>
      </c>
    </row>
    <row r="288" spans="1:9" x14ac:dyDescent="0.2">
      <c r="A288" t="s">
        <v>123</v>
      </c>
      <c r="B288" t="s">
        <v>851</v>
      </c>
      <c r="C288">
        <v>0</v>
      </c>
      <c r="I288" t="s">
        <v>794</v>
      </c>
    </row>
    <row r="289" spans="1:9" x14ac:dyDescent="0.2">
      <c r="A289" t="s">
        <v>123</v>
      </c>
      <c r="B289" t="s">
        <v>811</v>
      </c>
      <c r="C289">
        <v>0</v>
      </c>
      <c r="I289" t="s">
        <v>794</v>
      </c>
    </row>
    <row r="290" spans="1:9" hidden="1" x14ac:dyDescent="0.2">
      <c r="A290" s="80" t="s">
        <v>124</v>
      </c>
      <c r="B290" t="s">
        <v>810</v>
      </c>
      <c r="C290">
        <v>1.158368303832278E-3</v>
      </c>
      <c r="D290">
        <v>0</v>
      </c>
      <c r="E290">
        <v>0</v>
      </c>
      <c r="F290">
        <v>0</v>
      </c>
      <c r="G290">
        <v>0</v>
      </c>
      <c r="H290">
        <v>0</v>
      </c>
      <c r="I290" t="s">
        <v>792</v>
      </c>
    </row>
    <row r="291" spans="1:9" hidden="1" x14ac:dyDescent="0.2">
      <c r="A291" s="80" t="s">
        <v>124</v>
      </c>
      <c r="B291" t="s">
        <v>812</v>
      </c>
      <c r="C291">
        <v>1.071345335972195E-16</v>
      </c>
      <c r="D291">
        <v>0</v>
      </c>
      <c r="E291">
        <v>0</v>
      </c>
      <c r="F291">
        <v>0</v>
      </c>
      <c r="G291">
        <v>0</v>
      </c>
      <c r="H291">
        <v>0</v>
      </c>
      <c r="I291" t="s">
        <v>792</v>
      </c>
    </row>
    <row r="292" spans="1:9" hidden="1" x14ac:dyDescent="0.2">
      <c r="A292" s="80" t="s">
        <v>125</v>
      </c>
      <c r="B292" t="s">
        <v>812</v>
      </c>
      <c r="G292">
        <v>0</v>
      </c>
      <c r="H292">
        <v>0</v>
      </c>
      <c r="I292" t="s">
        <v>792</v>
      </c>
    </row>
    <row r="293" spans="1:9" hidden="1" x14ac:dyDescent="0.2">
      <c r="A293" s="80" t="s">
        <v>126</v>
      </c>
      <c r="B293" t="s">
        <v>812</v>
      </c>
      <c r="D293">
        <v>0.5728024451571152</v>
      </c>
      <c r="F293">
        <v>0</v>
      </c>
      <c r="I293" t="s">
        <v>792</v>
      </c>
    </row>
    <row r="294" spans="1:9" hidden="1" x14ac:dyDescent="0.2">
      <c r="A294" s="80" t="s">
        <v>127</v>
      </c>
      <c r="B294" t="s">
        <v>810</v>
      </c>
      <c r="C294">
        <v>6.2399974492564827E-4</v>
      </c>
      <c r="D294">
        <v>0</v>
      </c>
      <c r="E294">
        <v>0</v>
      </c>
      <c r="F294">
        <v>0</v>
      </c>
      <c r="G294">
        <v>0</v>
      </c>
      <c r="H294">
        <v>0</v>
      </c>
      <c r="I294" t="s">
        <v>792</v>
      </c>
    </row>
    <row r="295" spans="1:9" hidden="1" x14ac:dyDescent="0.2">
      <c r="A295" s="80" t="s">
        <v>127</v>
      </c>
      <c r="B295" t="s">
        <v>812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 t="s">
        <v>792</v>
      </c>
    </row>
    <row r="296" spans="1:9" hidden="1" x14ac:dyDescent="0.2">
      <c r="A296" s="80" t="s">
        <v>128</v>
      </c>
      <c r="B296" t="s">
        <v>812</v>
      </c>
      <c r="C296">
        <v>5.1167322961735435E-4</v>
      </c>
      <c r="D296">
        <v>0</v>
      </c>
      <c r="G296">
        <v>0</v>
      </c>
      <c r="I296" t="s">
        <v>792</v>
      </c>
    </row>
    <row r="297" spans="1:9" hidden="1" x14ac:dyDescent="0.2">
      <c r="A297" s="80" t="s">
        <v>129</v>
      </c>
      <c r="B297" t="s">
        <v>812</v>
      </c>
      <c r="C297">
        <v>1.9401455198589141E-3</v>
      </c>
      <c r="F297">
        <v>0</v>
      </c>
      <c r="I297" t="s">
        <v>792</v>
      </c>
    </row>
    <row r="298" spans="1:9" x14ac:dyDescent="0.2">
      <c r="A298" t="s">
        <v>130</v>
      </c>
      <c r="B298" t="s">
        <v>810</v>
      </c>
      <c r="E298">
        <v>0</v>
      </c>
      <c r="F298">
        <v>0</v>
      </c>
      <c r="H298">
        <v>0</v>
      </c>
      <c r="I298" t="s">
        <v>794</v>
      </c>
    </row>
    <row r="299" spans="1:9" x14ac:dyDescent="0.2">
      <c r="A299" t="s">
        <v>131</v>
      </c>
      <c r="B299" t="s">
        <v>810</v>
      </c>
      <c r="C299">
        <v>1.4453301868039751E-6</v>
      </c>
      <c r="D299">
        <v>0</v>
      </c>
      <c r="E299">
        <v>0</v>
      </c>
      <c r="F299">
        <v>0</v>
      </c>
      <c r="G299">
        <v>0</v>
      </c>
      <c r="H299">
        <v>0</v>
      </c>
      <c r="I299" t="s">
        <v>794</v>
      </c>
    </row>
    <row r="300" spans="1:9" x14ac:dyDescent="0.2">
      <c r="A300" t="s">
        <v>132</v>
      </c>
      <c r="B300" t="s">
        <v>810</v>
      </c>
      <c r="E300">
        <v>0</v>
      </c>
      <c r="F300">
        <v>0</v>
      </c>
      <c r="I300" t="s">
        <v>794</v>
      </c>
    </row>
    <row r="301" spans="1:9" x14ac:dyDescent="0.2">
      <c r="A301" t="s">
        <v>133</v>
      </c>
      <c r="B301" t="s">
        <v>810</v>
      </c>
      <c r="D301">
        <v>0</v>
      </c>
      <c r="G301">
        <v>0</v>
      </c>
      <c r="H301">
        <v>0</v>
      </c>
      <c r="I301" t="s">
        <v>794</v>
      </c>
    </row>
    <row r="302" spans="1:9" x14ac:dyDescent="0.2">
      <c r="A302" t="s">
        <v>134</v>
      </c>
      <c r="B302" t="s">
        <v>810</v>
      </c>
      <c r="C302">
        <v>8.6366570636621522E-7</v>
      </c>
      <c r="D302">
        <v>0</v>
      </c>
      <c r="E302">
        <v>0</v>
      </c>
      <c r="F302">
        <v>0</v>
      </c>
      <c r="G302">
        <v>0</v>
      </c>
      <c r="H302">
        <v>0</v>
      </c>
      <c r="I302" t="s">
        <v>794</v>
      </c>
    </row>
    <row r="303" spans="1:9" x14ac:dyDescent="0.2">
      <c r="A303" t="s">
        <v>135</v>
      </c>
      <c r="B303" t="s">
        <v>810</v>
      </c>
      <c r="C303">
        <v>0</v>
      </c>
      <c r="D303">
        <v>1.932449514632708E-4</v>
      </c>
      <c r="E303">
        <v>0</v>
      </c>
      <c r="F303">
        <v>0</v>
      </c>
      <c r="G303">
        <v>0</v>
      </c>
      <c r="H303">
        <v>0</v>
      </c>
      <c r="I303" t="s">
        <v>794</v>
      </c>
    </row>
    <row r="304" spans="1:9" x14ac:dyDescent="0.2">
      <c r="A304" t="s">
        <v>136</v>
      </c>
      <c r="B304" t="s">
        <v>810</v>
      </c>
      <c r="C304">
        <v>3.5761130277216292E-6</v>
      </c>
      <c r="D304">
        <v>0</v>
      </c>
      <c r="E304">
        <v>0</v>
      </c>
      <c r="F304">
        <v>0</v>
      </c>
      <c r="G304">
        <v>0</v>
      </c>
      <c r="H304">
        <v>0</v>
      </c>
      <c r="I304" t="s">
        <v>794</v>
      </c>
    </row>
    <row r="305" spans="1:9" x14ac:dyDescent="0.2">
      <c r="A305" t="s">
        <v>137</v>
      </c>
      <c r="B305" t="s">
        <v>810</v>
      </c>
      <c r="C305">
        <v>1.7903319730434241E-6</v>
      </c>
      <c r="D305">
        <v>0</v>
      </c>
      <c r="E305">
        <v>0</v>
      </c>
      <c r="F305">
        <v>0</v>
      </c>
      <c r="G305">
        <v>0</v>
      </c>
      <c r="H305">
        <v>0</v>
      </c>
      <c r="I305" t="s">
        <v>794</v>
      </c>
    </row>
    <row r="306" spans="1:9" x14ac:dyDescent="0.2">
      <c r="A306" t="s">
        <v>138</v>
      </c>
      <c r="B306" t="s">
        <v>810</v>
      </c>
      <c r="C306">
        <v>0</v>
      </c>
      <c r="D306">
        <v>2.737258652726533</v>
      </c>
      <c r="E306">
        <v>0</v>
      </c>
      <c r="F306">
        <v>0</v>
      </c>
      <c r="G306">
        <v>0</v>
      </c>
      <c r="H306">
        <v>0</v>
      </c>
      <c r="I306" t="s">
        <v>794</v>
      </c>
    </row>
    <row r="307" spans="1:9" x14ac:dyDescent="0.2">
      <c r="A307" t="s">
        <v>139</v>
      </c>
      <c r="B307" t="s">
        <v>810</v>
      </c>
      <c r="E307">
        <v>0</v>
      </c>
      <c r="F307">
        <v>0</v>
      </c>
      <c r="G307">
        <v>0</v>
      </c>
      <c r="I307" t="s">
        <v>794</v>
      </c>
    </row>
    <row r="308" spans="1:9" x14ac:dyDescent="0.2">
      <c r="A308" t="s">
        <v>140</v>
      </c>
      <c r="B308" t="s">
        <v>810</v>
      </c>
      <c r="C308">
        <v>7.3388452176180909E-7</v>
      </c>
      <c r="D308">
        <v>0</v>
      </c>
      <c r="E308">
        <v>0</v>
      </c>
      <c r="F308">
        <v>0</v>
      </c>
      <c r="G308">
        <v>0</v>
      </c>
      <c r="H308">
        <v>0</v>
      </c>
      <c r="I308" t="s">
        <v>794</v>
      </c>
    </row>
    <row r="309" spans="1:9" x14ac:dyDescent="0.2">
      <c r="A309" t="s">
        <v>141</v>
      </c>
      <c r="B309" t="s">
        <v>810</v>
      </c>
      <c r="C309">
        <v>0</v>
      </c>
      <c r="D309">
        <v>4.0488425864963778E-4</v>
      </c>
      <c r="E309">
        <v>0</v>
      </c>
      <c r="F309">
        <v>0</v>
      </c>
      <c r="G309">
        <v>0</v>
      </c>
      <c r="H309">
        <v>0</v>
      </c>
      <c r="I309" t="s">
        <v>794</v>
      </c>
    </row>
    <row r="310" spans="1:9" x14ac:dyDescent="0.2">
      <c r="A310" t="s">
        <v>142</v>
      </c>
      <c r="B310" t="s">
        <v>810</v>
      </c>
      <c r="E310">
        <v>0</v>
      </c>
      <c r="F310">
        <v>0</v>
      </c>
      <c r="H310">
        <v>0</v>
      </c>
      <c r="I310" t="s">
        <v>794</v>
      </c>
    </row>
    <row r="311" spans="1:9" x14ac:dyDescent="0.2">
      <c r="A311" t="s">
        <v>143</v>
      </c>
      <c r="B311" t="s">
        <v>810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 t="s">
        <v>794</v>
      </c>
    </row>
    <row r="312" spans="1:9" x14ac:dyDescent="0.2">
      <c r="A312" t="s">
        <v>144</v>
      </c>
      <c r="B312" t="s">
        <v>810</v>
      </c>
      <c r="C312">
        <v>0</v>
      </c>
      <c r="D312">
        <v>4.3925003618014298</v>
      </c>
      <c r="E312">
        <v>36.451705015278698</v>
      </c>
      <c r="F312">
        <v>0</v>
      </c>
      <c r="G312">
        <v>0</v>
      </c>
      <c r="H312">
        <v>7.0571470324855667</v>
      </c>
      <c r="I312" t="s">
        <v>794</v>
      </c>
    </row>
    <row r="313" spans="1:9" x14ac:dyDescent="0.2">
      <c r="A313" t="s">
        <v>145</v>
      </c>
      <c r="B313" t="s">
        <v>810</v>
      </c>
      <c r="F313">
        <v>0</v>
      </c>
      <c r="I313" t="s">
        <v>794</v>
      </c>
    </row>
    <row r="314" spans="1:9" x14ac:dyDescent="0.2">
      <c r="A314" t="s">
        <v>146</v>
      </c>
      <c r="B314" t="s">
        <v>810</v>
      </c>
      <c r="C314">
        <v>3.0794180286451779E-7</v>
      </c>
      <c r="D314">
        <v>0</v>
      </c>
      <c r="E314">
        <v>0</v>
      </c>
      <c r="F314">
        <v>0</v>
      </c>
      <c r="G314">
        <v>0</v>
      </c>
      <c r="H314">
        <v>0</v>
      </c>
      <c r="I314" t="s">
        <v>794</v>
      </c>
    </row>
    <row r="315" spans="1:9" x14ac:dyDescent="0.2">
      <c r="A315" t="s">
        <v>147</v>
      </c>
      <c r="B315" t="s">
        <v>810</v>
      </c>
      <c r="F315">
        <v>0</v>
      </c>
      <c r="G315">
        <v>0</v>
      </c>
      <c r="I315" t="s">
        <v>794</v>
      </c>
    </row>
    <row r="316" spans="1:9" x14ac:dyDescent="0.2">
      <c r="A316" t="s">
        <v>148</v>
      </c>
      <c r="B316" t="s">
        <v>810</v>
      </c>
      <c r="E316">
        <v>0</v>
      </c>
      <c r="G316">
        <v>0</v>
      </c>
      <c r="H316">
        <v>0</v>
      </c>
      <c r="I316" t="s">
        <v>794</v>
      </c>
    </row>
    <row r="317" spans="1:9" x14ac:dyDescent="0.2">
      <c r="A317" t="s">
        <v>149</v>
      </c>
      <c r="B317" t="s">
        <v>810</v>
      </c>
      <c r="C317">
        <v>1.292401849412253E-7</v>
      </c>
      <c r="D317">
        <v>0</v>
      </c>
      <c r="E317">
        <v>0</v>
      </c>
      <c r="F317">
        <v>0</v>
      </c>
      <c r="G317">
        <v>0</v>
      </c>
      <c r="H317">
        <v>0</v>
      </c>
      <c r="I317" t="s">
        <v>794</v>
      </c>
    </row>
    <row r="318" spans="1:9" x14ac:dyDescent="0.2">
      <c r="A318" t="s">
        <v>150</v>
      </c>
      <c r="B318" t="s">
        <v>810</v>
      </c>
      <c r="D318">
        <v>3.4250736670723639E-4</v>
      </c>
      <c r="E318">
        <v>0</v>
      </c>
      <c r="F318">
        <v>0</v>
      </c>
      <c r="G318">
        <v>0</v>
      </c>
      <c r="H318">
        <v>0</v>
      </c>
      <c r="I318" t="s">
        <v>794</v>
      </c>
    </row>
    <row r="319" spans="1:9" hidden="1" x14ac:dyDescent="0.2">
      <c r="A319" s="91" t="s">
        <v>151</v>
      </c>
      <c r="B319" t="s">
        <v>810</v>
      </c>
      <c r="C319">
        <v>4.1506406223050361E-4</v>
      </c>
      <c r="D319">
        <v>0.1203734509037459</v>
      </c>
      <c r="E319">
        <v>0</v>
      </c>
      <c r="F319">
        <v>0</v>
      </c>
      <c r="G319">
        <v>1.8327807777293419</v>
      </c>
      <c r="H319">
        <v>1.8233061157896471</v>
      </c>
      <c r="I319" t="s">
        <v>792</v>
      </c>
    </row>
    <row r="320" spans="1:9" hidden="1" x14ac:dyDescent="0.2">
      <c r="A320" s="91" t="s">
        <v>151</v>
      </c>
      <c r="B320" t="s">
        <v>812</v>
      </c>
      <c r="C320">
        <v>0</v>
      </c>
      <c r="D320">
        <v>6.7739813616301363E-15</v>
      </c>
      <c r="E320">
        <v>0</v>
      </c>
      <c r="F320">
        <v>0</v>
      </c>
      <c r="G320">
        <v>2.4304933990156438E-7</v>
      </c>
      <c r="H320">
        <v>4.6628297473744066E-10</v>
      </c>
      <c r="I320" t="s">
        <v>792</v>
      </c>
    </row>
    <row r="321" spans="1:9" hidden="1" x14ac:dyDescent="0.2">
      <c r="A321" s="91" t="s">
        <v>152</v>
      </c>
      <c r="B321" t="s">
        <v>812</v>
      </c>
      <c r="C321">
        <v>7.5029968431312198E-3</v>
      </c>
      <c r="D321">
        <v>3.9988485949173383E-2</v>
      </c>
      <c r="E321">
        <v>0</v>
      </c>
      <c r="G321">
        <v>0.5112041503131618</v>
      </c>
      <c r="I321" t="s">
        <v>792</v>
      </c>
    </row>
    <row r="322" spans="1:9" hidden="1" x14ac:dyDescent="0.2">
      <c r="A322" s="91" t="s">
        <v>153</v>
      </c>
      <c r="B322" t="s">
        <v>812</v>
      </c>
      <c r="D322">
        <v>6.7282504770586867E-3</v>
      </c>
      <c r="E322">
        <v>0</v>
      </c>
      <c r="G322">
        <v>0.1240774023619667</v>
      </c>
      <c r="I322" t="s">
        <v>792</v>
      </c>
    </row>
    <row r="323" spans="1:9" hidden="1" x14ac:dyDescent="0.2">
      <c r="A323" t="s">
        <v>154</v>
      </c>
      <c r="B323" t="s">
        <v>815</v>
      </c>
      <c r="I323" t="s">
        <v>797</v>
      </c>
    </row>
    <row r="324" spans="1:9" hidden="1" x14ac:dyDescent="0.2">
      <c r="A324" t="s">
        <v>154</v>
      </c>
      <c r="B324" t="s">
        <v>852</v>
      </c>
      <c r="I324" t="s">
        <v>797</v>
      </c>
    </row>
    <row r="325" spans="1:9" hidden="1" x14ac:dyDescent="0.2">
      <c r="A325" t="s">
        <v>154</v>
      </c>
      <c r="B325" t="s">
        <v>811</v>
      </c>
      <c r="I325" t="s">
        <v>797</v>
      </c>
    </row>
    <row r="326" spans="1:9" hidden="1" x14ac:dyDescent="0.2">
      <c r="A326" t="s">
        <v>154</v>
      </c>
      <c r="B326" t="s">
        <v>812</v>
      </c>
      <c r="I326" t="s">
        <v>797</v>
      </c>
    </row>
    <row r="327" spans="1:9" hidden="1" x14ac:dyDescent="0.2">
      <c r="A327" s="91" t="s">
        <v>155</v>
      </c>
      <c r="B327" t="s">
        <v>812</v>
      </c>
      <c r="D327">
        <v>3.1045291790755901E-2</v>
      </c>
      <c r="E327">
        <v>0</v>
      </c>
      <c r="F327">
        <v>0</v>
      </c>
      <c r="G327">
        <v>0</v>
      </c>
      <c r="H327">
        <v>0</v>
      </c>
      <c r="I327" t="s">
        <v>792</v>
      </c>
    </row>
    <row r="328" spans="1:9" hidden="1" x14ac:dyDescent="0.2">
      <c r="A328" t="s">
        <v>156</v>
      </c>
      <c r="B328" t="s">
        <v>810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 t="s">
        <v>796</v>
      </c>
    </row>
    <row r="329" spans="1:9" hidden="1" x14ac:dyDescent="0.2">
      <c r="A329" t="s">
        <v>156</v>
      </c>
      <c r="B329" t="s">
        <v>812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 t="s">
        <v>796</v>
      </c>
    </row>
    <row r="330" spans="1:9" hidden="1" x14ac:dyDescent="0.2">
      <c r="A330" s="80" t="s">
        <v>157</v>
      </c>
      <c r="B330" t="s">
        <v>812</v>
      </c>
      <c r="C330">
        <v>183.00256128933341</v>
      </c>
      <c r="D330">
        <v>0</v>
      </c>
      <c r="E330">
        <v>0</v>
      </c>
      <c r="F330">
        <v>0</v>
      </c>
      <c r="G330">
        <v>0</v>
      </c>
      <c r="H330">
        <v>0</v>
      </c>
      <c r="I330" t="s">
        <v>792</v>
      </c>
    </row>
    <row r="331" spans="1:9" hidden="1" x14ac:dyDescent="0.2">
      <c r="A331" t="s">
        <v>158</v>
      </c>
      <c r="B331" t="s">
        <v>816</v>
      </c>
      <c r="C331">
        <v>0</v>
      </c>
      <c r="I331" t="s">
        <v>792</v>
      </c>
    </row>
    <row r="332" spans="1:9" hidden="1" x14ac:dyDescent="0.2">
      <c r="A332" t="s">
        <v>158</v>
      </c>
      <c r="B332" t="s">
        <v>812</v>
      </c>
      <c r="C332">
        <v>0</v>
      </c>
      <c r="I332" t="s">
        <v>792</v>
      </c>
    </row>
    <row r="333" spans="1:9" hidden="1" x14ac:dyDescent="0.2">
      <c r="A333" t="s">
        <v>158</v>
      </c>
      <c r="B333" t="s">
        <v>818</v>
      </c>
      <c r="C333">
        <v>0</v>
      </c>
      <c r="I333" t="s">
        <v>792</v>
      </c>
    </row>
    <row r="334" spans="1:9" hidden="1" x14ac:dyDescent="0.2">
      <c r="A334" s="80" t="s">
        <v>159</v>
      </c>
      <c r="B334" t="s">
        <v>812</v>
      </c>
      <c r="C334">
        <v>0</v>
      </c>
      <c r="G334">
        <v>0</v>
      </c>
      <c r="H334">
        <v>0</v>
      </c>
      <c r="I334" t="s">
        <v>792</v>
      </c>
    </row>
    <row r="335" spans="1:9" hidden="1" x14ac:dyDescent="0.2">
      <c r="A335" s="80" t="s">
        <v>160</v>
      </c>
      <c r="B335" t="s">
        <v>812</v>
      </c>
      <c r="C335">
        <v>0</v>
      </c>
      <c r="E335">
        <v>0</v>
      </c>
      <c r="F335">
        <v>0</v>
      </c>
      <c r="H335">
        <v>0</v>
      </c>
      <c r="I335" t="s">
        <v>792</v>
      </c>
    </row>
    <row r="336" spans="1:9" hidden="1" x14ac:dyDescent="0.2">
      <c r="A336" t="s">
        <v>161</v>
      </c>
      <c r="B336" t="s">
        <v>843</v>
      </c>
      <c r="C336">
        <v>94174.292580571768</v>
      </c>
      <c r="D336">
        <v>0</v>
      </c>
      <c r="E336">
        <v>0</v>
      </c>
      <c r="I336" t="s">
        <v>796</v>
      </c>
    </row>
    <row r="337" spans="1:9" hidden="1" x14ac:dyDescent="0.2">
      <c r="A337" t="s">
        <v>161</v>
      </c>
      <c r="B337" t="s">
        <v>853</v>
      </c>
      <c r="C337">
        <v>17.62880767635577</v>
      </c>
      <c r="D337">
        <v>0</v>
      </c>
      <c r="E337">
        <v>0</v>
      </c>
      <c r="I337" t="s">
        <v>796</v>
      </c>
    </row>
    <row r="338" spans="1:9" hidden="1" x14ac:dyDescent="0.2">
      <c r="A338" t="s">
        <v>161</v>
      </c>
      <c r="B338" t="s">
        <v>844</v>
      </c>
      <c r="C338">
        <v>7251.6339343689242</v>
      </c>
      <c r="D338">
        <v>0</v>
      </c>
      <c r="E338">
        <v>0</v>
      </c>
      <c r="I338" t="s">
        <v>796</v>
      </c>
    </row>
    <row r="339" spans="1:9" hidden="1" x14ac:dyDescent="0.2">
      <c r="A339" t="s">
        <v>161</v>
      </c>
      <c r="B339" t="s">
        <v>845</v>
      </c>
      <c r="C339">
        <v>3.0030525379127131E-2</v>
      </c>
      <c r="D339">
        <v>0</v>
      </c>
      <c r="E339">
        <v>0</v>
      </c>
      <c r="I339" t="s">
        <v>796</v>
      </c>
    </row>
    <row r="340" spans="1:9" hidden="1" x14ac:dyDescent="0.2">
      <c r="A340" t="s">
        <v>161</v>
      </c>
      <c r="B340" t="s">
        <v>841</v>
      </c>
      <c r="C340">
        <v>1.982530119168403E-2</v>
      </c>
      <c r="D340">
        <v>0</v>
      </c>
      <c r="E340">
        <v>0</v>
      </c>
      <c r="I340" t="s">
        <v>796</v>
      </c>
    </row>
    <row r="341" spans="1:9" hidden="1" x14ac:dyDescent="0.2">
      <c r="A341" t="s">
        <v>161</v>
      </c>
      <c r="B341" t="s">
        <v>838</v>
      </c>
      <c r="C341">
        <v>19064.91001229261</v>
      </c>
      <c r="D341">
        <v>0</v>
      </c>
      <c r="E341">
        <v>0</v>
      </c>
      <c r="I341" t="s">
        <v>796</v>
      </c>
    </row>
    <row r="342" spans="1:9" hidden="1" x14ac:dyDescent="0.2">
      <c r="A342" t="s">
        <v>161</v>
      </c>
      <c r="B342" t="s">
        <v>840</v>
      </c>
      <c r="C342">
        <v>840.31099177254225</v>
      </c>
      <c r="D342">
        <v>0</v>
      </c>
      <c r="E342">
        <v>0</v>
      </c>
      <c r="I342" t="s">
        <v>796</v>
      </c>
    </row>
    <row r="343" spans="1:9" hidden="1" x14ac:dyDescent="0.2">
      <c r="A343" t="s">
        <v>161</v>
      </c>
      <c r="B343" t="s">
        <v>854</v>
      </c>
      <c r="C343">
        <v>17.985666596645231</v>
      </c>
      <c r="D343">
        <v>0</v>
      </c>
      <c r="E343">
        <v>0</v>
      </c>
      <c r="I343" t="s">
        <v>796</v>
      </c>
    </row>
    <row r="344" spans="1:9" hidden="1" x14ac:dyDescent="0.2">
      <c r="A344" t="s">
        <v>161</v>
      </c>
      <c r="B344" t="s">
        <v>846</v>
      </c>
      <c r="C344">
        <v>22.67633984222309</v>
      </c>
      <c r="D344">
        <v>0</v>
      </c>
      <c r="E344">
        <v>0</v>
      </c>
      <c r="I344" t="s">
        <v>796</v>
      </c>
    </row>
    <row r="345" spans="1:9" hidden="1" x14ac:dyDescent="0.2">
      <c r="A345" t="s">
        <v>161</v>
      </c>
      <c r="B345" t="s">
        <v>842</v>
      </c>
      <c r="C345">
        <v>1.6046371161914739E-2</v>
      </c>
      <c r="D345">
        <v>0</v>
      </c>
      <c r="E345">
        <v>0</v>
      </c>
      <c r="I345" t="s">
        <v>796</v>
      </c>
    </row>
    <row r="346" spans="1:9" hidden="1" x14ac:dyDescent="0.2">
      <c r="A346" t="s">
        <v>162</v>
      </c>
      <c r="B346" t="s">
        <v>843</v>
      </c>
      <c r="C346">
        <v>0.69367308899507585</v>
      </c>
      <c r="D346">
        <v>15.036336997830441</v>
      </c>
      <c r="E346">
        <v>0</v>
      </c>
      <c r="I346" t="s">
        <v>796</v>
      </c>
    </row>
    <row r="347" spans="1:9" hidden="1" x14ac:dyDescent="0.2">
      <c r="A347" t="s">
        <v>162</v>
      </c>
      <c r="B347" t="s">
        <v>844</v>
      </c>
      <c r="C347">
        <v>5.2938657047919571E-2</v>
      </c>
      <c r="D347">
        <v>2.2850357124139058</v>
      </c>
      <c r="E347">
        <v>0</v>
      </c>
      <c r="I347" t="s">
        <v>796</v>
      </c>
    </row>
    <row r="348" spans="1:9" hidden="1" x14ac:dyDescent="0.2">
      <c r="A348" t="s">
        <v>162</v>
      </c>
      <c r="B348" t="s">
        <v>845</v>
      </c>
      <c r="C348">
        <v>4.9126876356653991E-6</v>
      </c>
      <c r="D348">
        <v>6.6632285754057881</v>
      </c>
      <c r="E348">
        <v>0</v>
      </c>
      <c r="I348" t="s">
        <v>796</v>
      </c>
    </row>
    <row r="349" spans="1:9" hidden="1" x14ac:dyDescent="0.2">
      <c r="A349" t="s">
        <v>162</v>
      </c>
      <c r="B349" t="s">
        <v>810</v>
      </c>
      <c r="C349">
        <v>0.12774522104522279</v>
      </c>
      <c r="D349">
        <v>4.3636457375197004</v>
      </c>
      <c r="E349">
        <v>0</v>
      </c>
      <c r="I349" t="s">
        <v>796</v>
      </c>
    </row>
    <row r="350" spans="1:9" hidden="1" x14ac:dyDescent="0.2">
      <c r="A350" t="s">
        <v>162</v>
      </c>
      <c r="B350" t="s">
        <v>846</v>
      </c>
      <c r="C350">
        <v>3.1469492192654621E-3</v>
      </c>
      <c r="D350">
        <v>4.2256839034732909</v>
      </c>
      <c r="E350">
        <v>0</v>
      </c>
      <c r="I350" t="s">
        <v>796</v>
      </c>
    </row>
    <row r="351" spans="1:9" hidden="1" x14ac:dyDescent="0.2">
      <c r="A351" t="s">
        <v>163</v>
      </c>
      <c r="B351" t="s">
        <v>810</v>
      </c>
      <c r="C351">
        <v>56337.401706417433</v>
      </c>
      <c r="D351">
        <v>0</v>
      </c>
      <c r="E351">
        <v>0</v>
      </c>
      <c r="F351">
        <v>0</v>
      </c>
      <c r="G351">
        <v>0</v>
      </c>
      <c r="H351">
        <v>0</v>
      </c>
      <c r="I351" t="s">
        <v>796</v>
      </c>
    </row>
    <row r="352" spans="1:9" hidden="1" x14ac:dyDescent="0.2">
      <c r="A352" t="s">
        <v>164</v>
      </c>
      <c r="B352" t="s">
        <v>816</v>
      </c>
      <c r="C352">
        <v>3158.9039723723708</v>
      </c>
      <c r="D352">
        <v>0</v>
      </c>
      <c r="E352">
        <v>0</v>
      </c>
      <c r="F352">
        <v>0</v>
      </c>
      <c r="I352" t="s">
        <v>796</v>
      </c>
    </row>
    <row r="353" spans="1:9" hidden="1" x14ac:dyDescent="0.2">
      <c r="A353" t="s">
        <v>165</v>
      </c>
      <c r="B353" t="s">
        <v>810</v>
      </c>
      <c r="C353">
        <v>0</v>
      </c>
      <c r="D353">
        <v>9.2307221702978864E-6</v>
      </c>
      <c r="E353">
        <v>9.7603110127944027E-6</v>
      </c>
      <c r="F353">
        <v>2.845678910852122E-6</v>
      </c>
      <c r="G353">
        <v>2.9355661901986979E-5</v>
      </c>
      <c r="H353">
        <v>0</v>
      </c>
      <c r="I353" t="s">
        <v>796</v>
      </c>
    </row>
    <row r="354" spans="1:9" hidden="1" x14ac:dyDescent="0.2">
      <c r="A354" t="s">
        <v>166</v>
      </c>
      <c r="B354" t="s">
        <v>812</v>
      </c>
      <c r="C354">
        <v>0</v>
      </c>
      <c r="D354">
        <v>0.62018389830905396</v>
      </c>
      <c r="E354">
        <v>0</v>
      </c>
      <c r="F354">
        <v>0</v>
      </c>
      <c r="G354">
        <v>0</v>
      </c>
      <c r="H354">
        <v>0</v>
      </c>
      <c r="I354" t="s">
        <v>796</v>
      </c>
    </row>
    <row r="355" spans="1:9" hidden="1" x14ac:dyDescent="0.2">
      <c r="A355" t="s">
        <v>167</v>
      </c>
      <c r="B355" t="s">
        <v>841</v>
      </c>
      <c r="C355">
        <v>8.7502842360952086E-4</v>
      </c>
      <c r="D355">
        <v>0</v>
      </c>
      <c r="E355">
        <v>0</v>
      </c>
      <c r="I355" t="s">
        <v>796</v>
      </c>
    </row>
    <row r="356" spans="1:9" hidden="1" x14ac:dyDescent="0.2">
      <c r="A356" t="s">
        <v>167</v>
      </c>
      <c r="B356" t="s">
        <v>838</v>
      </c>
      <c r="C356">
        <v>2.56543441098468E-3</v>
      </c>
      <c r="D356">
        <v>0</v>
      </c>
      <c r="E356">
        <v>0</v>
      </c>
      <c r="I356" t="s">
        <v>796</v>
      </c>
    </row>
    <row r="357" spans="1:9" hidden="1" x14ac:dyDescent="0.2">
      <c r="A357" t="s">
        <v>167</v>
      </c>
      <c r="B357" t="s">
        <v>842</v>
      </c>
      <c r="C357">
        <v>7.5895258120199953E-4</v>
      </c>
      <c r="D357">
        <v>0</v>
      </c>
      <c r="E357">
        <v>0</v>
      </c>
      <c r="I357" t="s">
        <v>796</v>
      </c>
    </row>
    <row r="358" spans="1:9" hidden="1" x14ac:dyDescent="0.2">
      <c r="A358" t="s">
        <v>168</v>
      </c>
      <c r="B358" t="s">
        <v>843</v>
      </c>
      <c r="C358">
        <v>1.889205535269118E-2</v>
      </c>
      <c r="D358">
        <v>0</v>
      </c>
      <c r="E358">
        <v>0</v>
      </c>
      <c r="F358">
        <v>180.00735416747781</v>
      </c>
      <c r="G358">
        <v>0</v>
      </c>
      <c r="H358">
        <v>0</v>
      </c>
      <c r="I358" t="s">
        <v>796</v>
      </c>
    </row>
    <row r="359" spans="1:9" hidden="1" x14ac:dyDescent="0.2">
      <c r="A359" t="s">
        <v>168</v>
      </c>
      <c r="B359" t="s">
        <v>845</v>
      </c>
      <c r="C359">
        <v>1.0091160235324889E-3</v>
      </c>
      <c r="D359">
        <v>0</v>
      </c>
      <c r="E359">
        <v>0</v>
      </c>
      <c r="F359">
        <v>114.5407448080913</v>
      </c>
      <c r="G359">
        <v>0</v>
      </c>
      <c r="H359">
        <v>0</v>
      </c>
      <c r="I359" t="s">
        <v>796</v>
      </c>
    </row>
    <row r="360" spans="1:9" hidden="1" x14ac:dyDescent="0.2">
      <c r="A360" t="s">
        <v>168</v>
      </c>
      <c r="B360" t="s">
        <v>841</v>
      </c>
      <c r="C360">
        <v>5.7797670322510327E-4</v>
      </c>
      <c r="D360">
        <v>0</v>
      </c>
      <c r="E360">
        <v>0</v>
      </c>
      <c r="F360">
        <v>10.878987933346711</v>
      </c>
      <c r="G360">
        <v>0</v>
      </c>
      <c r="H360">
        <v>0</v>
      </c>
      <c r="I360" t="s">
        <v>796</v>
      </c>
    </row>
    <row r="361" spans="1:9" hidden="1" x14ac:dyDescent="0.2">
      <c r="A361" t="s">
        <v>168</v>
      </c>
      <c r="B361" t="s">
        <v>838</v>
      </c>
      <c r="C361">
        <v>1.1581990212501289E-2</v>
      </c>
      <c r="D361">
        <v>0</v>
      </c>
      <c r="E361">
        <v>0</v>
      </c>
      <c r="F361">
        <v>141.52667757689801</v>
      </c>
      <c r="G361">
        <v>0</v>
      </c>
      <c r="H361">
        <v>0</v>
      </c>
      <c r="I361" t="s">
        <v>796</v>
      </c>
    </row>
    <row r="362" spans="1:9" hidden="1" x14ac:dyDescent="0.2">
      <c r="A362" t="s">
        <v>168</v>
      </c>
      <c r="B362" t="s">
        <v>810</v>
      </c>
      <c r="C362">
        <v>3.9848093423492457E-2</v>
      </c>
      <c r="D362">
        <v>0</v>
      </c>
      <c r="E362">
        <v>0</v>
      </c>
      <c r="F362">
        <v>872.09779365229883</v>
      </c>
      <c r="G362">
        <v>0</v>
      </c>
      <c r="H362">
        <v>0</v>
      </c>
      <c r="I362" t="s">
        <v>796</v>
      </c>
    </row>
    <row r="363" spans="1:9" hidden="1" x14ac:dyDescent="0.2">
      <c r="A363" t="s">
        <v>168</v>
      </c>
      <c r="B363" t="s">
        <v>846</v>
      </c>
      <c r="C363">
        <v>1.023488497254841E-2</v>
      </c>
      <c r="D363">
        <v>0</v>
      </c>
      <c r="E363">
        <v>0</v>
      </c>
      <c r="F363">
        <v>116.9768120999202</v>
      </c>
      <c r="G363">
        <v>0</v>
      </c>
      <c r="H363">
        <v>0</v>
      </c>
      <c r="I363" t="s">
        <v>796</v>
      </c>
    </row>
    <row r="364" spans="1:9" hidden="1" x14ac:dyDescent="0.2">
      <c r="A364" t="s">
        <v>168</v>
      </c>
      <c r="B364" t="s">
        <v>842</v>
      </c>
      <c r="C364">
        <v>5.1207273818341937E-4</v>
      </c>
      <c r="D364">
        <v>0</v>
      </c>
      <c r="E364">
        <v>0</v>
      </c>
      <c r="F364">
        <v>10.693483458860451</v>
      </c>
      <c r="G364">
        <v>0</v>
      </c>
      <c r="H364">
        <v>0</v>
      </c>
      <c r="I364" t="s">
        <v>796</v>
      </c>
    </row>
    <row r="365" spans="1:9" hidden="1" x14ac:dyDescent="0.2">
      <c r="A365" t="s">
        <v>169</v>
      </c>
      <c r="B365" t="s">
        <v>855</v>
      </c>
      <c r="D365">
        <v>0</v>
      </c>
      <c r="E365">
        <v>0</v>
      </c>
      <c r="F365">
        <v>0</v>
      </c>
      <c r="G365">
        <v>0</v>
      </c>
      <c r="H365">
        <v>0</v>
      </c>
      <c r="I365" t="s">
        <v>788</v>
      </c>
    </row>
    <row r="366" spans="1:9" hidden="1" x14ac:dyDescent="0.2">
      <c r="A366" t="s">
        <v>169</v>
      </c>
      <c r="B366" t="s">
        <v>850</v>
      </c>
      <c r="D366">
        <v>0</v>
      </c>
      <c r="E366">
        <v>0</v>
      </c>
      <c r="F366">
        <v>0</v>
      </c>
      <c r="G366">
        <v>0</v>
      </c>
      <c r="H366">
        <v>0</v>
      </c>
      <c r="I366" t="s">
        <v>788</v>
      </c>
    </row>
    <row r="367" spans="1:9" hidden="1" x14ac:dyDescent="0.2">
      <c r="A367" t="s">
        <v>169</v>
      </c>
      <c r="B367" t="s">
        <v>851</v>
      </c>
      <c r="D367">
        <v>0</v>
      </c>
      <c r="E367">
        <v>0</v>
      </c>
      <c r="F367">
        <v>0</v>
      </c>
      <c r="G367">
        <v>0</v>
      </c>
      <c r="H367">
        <v>0</v>
      </c>
      <c r="I367" t="s">
        <v>788</v>
      </c>
    </row>
    <row r="368" spans="1:9" hidden="1" x14ac:dyDescent="0.2">
      <c r="A368" t="s">
        <v>169</v>
      </c>
      <c r="B368" t="s">
        <v>849</v>
      </c>
      <c r="D368">
        <v>0</v>
      </c>
      <c r="E368">
        <v>0</v>
      </c>
      <c r="F368">
        <v>0</v>
      </c>
      <c r="G368">
        <v>0</v>
      </c>
      <c r="H368">
        <v>0</v>
      </c>
      <c r="I368" t="s">
        <v>788</v>
      </c>
    </row>
    <row r="369" spans="1:9" hidden="1" x14ac:dyDescent="0.2">
      <c r="A369" t="s">
        <v>169</v>
      </c>
      <c r="B369" t="s">
        <v>856</v>
      </c>
      <c r="D369">
        <v>0</v>
      </c>
      <c r="E369">
        <v>0</v>
      </c>
      <c r="F369">
        <v>0</v>
      </c>
      <c r="G369">
        <v>0</v>
      </c>
      <c r="H369">
        <v>0</v>
      </c>
      <c r="I369" t="s">
        <v>788</v>
      </c>
    </row>
    <row r="370" spans="1:9" hidden="1" x14ac:dyDescent="0.2">
      <c r="A370" t="s">
        <v>169</v>
      </c>
      <c r="B370" t="s">
        <v>811</v>
      </c>
      <c r="D370">
        <v>0</v>
      </c>
      <c r="E370">
        <v>0</v>
      </c>
      <c r="F370">
        <v>0</v>
      </c>
      <c r="G370">
        <v>0</v>
      </c>
      <c r="H370">
        <v>0</v>
      </c>
      <c r="I370" t="s">
        <v>788</v>
      </c>
    </row>
    <row r="371" spans="1:9" hidden="1" x14ac:dyDescent="0.2">
      <c r="A371" t="s">
        <v>170</v>
      </c>
      <c r="B371" t="s">
        <v>855</v>
      </c>
      <c r="D371">
        <v>0</v>
      </c>
      <c r="E371">
        <v>0</v>
      </c>
      <c r="F371">
        <v>0</v>
      </c>
      <c r="G371">
        <v>0</v>
      </c>
      <c r="H371">
        <v>0</v>
      </c>
      <c r="I371" t="s">
        <v>788</v>
      </c>
    </row>
    <row r="372" spans="1:9" hidden="1" x14ac:dyDescent="0.2">
      <c r="A372" t="s">
        <v>170</v>
      </c>
      <c r="B372" t="s">
        <v>850</v>
      </c>
      <c r="D372">
        <v>0</v>
      </c>
      <c r="E372">
        <v>0</v>
      </c>
      <c r="F372">
        <v>0</v>
      </c>
      <c r="G372">
        <v>0</v>
      </c>
      <c r="H372">
        <v>0</v>
      </c>
      <c r="I372" t="s">
        <v>788</v>
      </c>
    </row>
    <row r="373" spans="1:9" hidden="1" x14ac:dyDescent="0.2">
      <c r="A373" t="s">
        <v>170</v>
      </c>
      <c r="B373" t="s">
        <v>810</v>
      </c>
      <c r="D373">
        <v>0</v>
      </c>
      <c r="E373">
        <v>0</v>
      </c>
      <c r="F373">
        <v>0</v>
      </c>
      <c r="G373">
        <v>0</v>
      </c>
      <c r="H373">
        <v>0</v>
      </c>
      <c r="I373" t="s">
        <v>788</v>
      </c>
    </row>
    <row r="374" spans="1:9" hidden="1" x14ac:dyDescent="0.2">
      <c r="A374" t="s">
        <v>170</v>
      </c>
      <c r="B374" t="s">
        <v>851</v>
      </c>
      <c r="D374">
        <v>0</v>
      </c>
      <c r="E374">
        <v>0</v>
      </c>
      <c r="F374">
        <v>0</v>
      </c>
      <c r="G374">
        <v>0</v>
      </c>
      <c r="H374">
        <v>0</v>
      </c>
      <c r="I374" t="s">
        <v>788</v>
      </c>
    </row>
    <row r="375" spans="1:9" hidden="1" x14ac:dyDescent="0.2">
      <c r="A375" t="s">
        <v>170</v>
      </c>
      <c r="B375" t="s">
        <v>849</v>
      </c>
      <c r="D375">
        <v>0</v>
      </c>
      <c r="E375">
        <v>0</v>
      </c>
      <c r="F375">
        <v>0</v>
      </c>
      <c r="G375">
        <v>0</v>
      </c>
      <c r="H375">
        <v>0</v>
      </c>
      <c r="I375" t="s">
        <v>788</v>
      </c>
    </row>
    <row r="376" spans="1:9" hidden="1" x14ac:dyDescent="0.2">
      <c r="A376" t="s">
        <v>170</v>
      </c>
      <c r="B376" t="s">
        <v>856</v>
      </c>
      <c r="D376">
        <v>0</v>
      </c>
      <c r="E376">
        <v>0</v>
      </c>
      <c r="F376">
        <v>0</v>
      </c>
      <c r="G376">
        <v>0</v>
      </c>
      <c r="H376">
        <v>0</v>
      </c>
      <c r="I376" t="s">
        <v>788</v>
      </c>
    </row>
    <row r="377" spans="1:9" hidden="1" x14ac:dyDescent="0.2">
      <c r="A377" t="s">
        <v>170</v>
      </c>
      <c r="B377" t="s">
        <v>811</v>
      </c>
      <c r="D377">
        <v>0</v>
      </c>
      <c r="E377">
        <v>0</v>
      </c>
      <c r="F377">
        <v>0</v>
      </c>
      <c r="G377">
        <v>0</v>
      </c>
      <c r="H377">
        <v>0</v>
      </c>
      <c r="I377" t="s">
        <v>788</v>
      </c>
    </row>
    <row r="378" spans="1:9" hidden="1" x14ac:dyDescent="0.2">
      <c r="A378" t="s">
        <v>171</v>
      </c>
      <c r="B378" t="s">
        <v>855</v>
      </c>
      <c r="I378" t="s">
        <v>788</v>
      </c>
    </row>
    <row r="379" spans="1:9" hidden="1" x14ac:dyDescent="0.2">
      <c r="A379" t="s">
        <v>171</v>
      </c>
      <c r="B379" t="s">
        <v>850</v>
      </c>
      <c r="I379" t="s">
        <v>788</v>
      </c>
    </row>
    <row r="380" spans="1:9" hidden="1" x14ac:dyDescent="0.2">
      <c r="A380" t="s">
        <v>171</v>
      </c>
      <c r="B380" t="s">
        <v>851</v>
      </c>
      <c r="I380" t="s">
        <v>788</v>
      </c>
    </row>
    <row r="381" spans="1:9" hidden="1" x14ac:dyDescent="0.2">
      <c r="A381" t="s">
        <v>171</v>
      </c>
      <c r="B381" t="s">
        <v>849</v>
      </c>
      <c r="I381" t="s">
        <v>788</v>
      </c>
    </row>
    <row r="382" spans="1:9" hidden="1" x14ac:dyDescent="0.2">
      <c r="A382" t="s">
        <v>171</v>
      </c>
      <c r="B382" t="s">
        <v>856</v>
      </c>
      <c r="I382" t="s">
        <v>788</v>
      </c>
    </row>
    <row r="383" spans="1:9" hidden="1" x14ac:dyDescent="0.2">
      <c r="A383" t="s">
        <v>171</v>
      </c>
      <c r="B383" t="s">
        <v>811</v>
      </c>
      <c r="I383" t="s">
        <v>788</v>
      </c>
    </row>
    <row r="384" spans="1:9" hidden="1" x14ac:dyDescent="0.2">
      <c r="A384" t="s">
        <v>172</v>
      </c>
      <c r="B384" t="s">
        <v>843</v>
      </c>
      <c r="C384">
        <v>223.6657167831417</v>
      </c>
      <c r="E384">
        <v>0</v>
      </c>
      <c r="I384" t="s">
        <v>796</v>
      </c>
    </row>
    <row r="385" spans="1:9" hidden="1" x14ac:dyDescent="0.2">
      <c r="A385" t="s">
        <v>172</v>
      </c>
      <c r="B385" t="s">
        <v>844</v>
      </c>
      <c r="C385">
        <v>1988.9629886099351</v>
      </c>
      <c r="E385">
        <v>0</v>
      </c>
      <c r="I385" t="s">
        <v>796</v>
      </c>
    </row>
    <row r="386" spans="1:9" hidden="1" x14ac:dyDescent="0.2">
      <c r="A386" t="s">
        <v>172</v>
      </c>
      <c r="B386" t="s">
        <v>845</v>
      </c>
      <c r="C386">
        <v>0</v>
      </c>
      <c r="E386">
        <v>0</v>
      </c>
      <c r="I386" t="s">
        <v>796</v>
      </c>
    </row>
    <row r="387" spans="1:9" hidden="1" x14ac:dyDescent="0.2">
      <c r="A387" t="s">
        <v>172</v>
      </c>
      <c r="B387" t="s">
        <v>846</v>
      </c>
      <c r="C387">
        <v>0</v>
      </c>
      <c r="E387">
        <v>0</v>
      </c>
      <c r="I387" t="s">
        <v>796</v>
      </c>
    </row>
    <row r="388" spans="1:9" hidden="1" x14ac:dyDescent="0.2">
      <c r="A388" t="s">
        <v>173</v>
      </c>
      <c r="B388" t="s">
        <v>816</v>
      </c>
      <c r="C388">
        <v>247.8959876653322</v>
      </c>
      <c r="D388">
        <v>0</v>
      </c>
      <c r="E388">
        <v>0</v>
      </c>
      <c r="F388">
        <v>0</v>
      </c>
      <c r="G388">
        <v>0</v>
      </c>
      <c r="H388">
        <v>0</v>
      </c>
      <c r="I388" t="s">
        <v>796</v>
      </c>
    </row>
    <row r="389" spans="1:9" hidden="1" x14ac:dyDescent="0.2">
      <c r="A389" t="s">
        <v>173</v>
      </c>
      <c r="B389" t="s">
        <v>853</v>
      </c>
      <c r="C389">
        <v>3.9074802945503362</v>
      </c>
      <c r="D389">
        <v>0</v>
      </c>
      <c r="E389">
        <v>0</v>
      </c>
      <c r="F389">
        <v>0</v>
      </c>
      <c r="G389">
        <v>0</v>
      </c>
      <c r="H389">
        <v>0</v>
      </c>
      <c r="I389" t="s">
        <v>796</v>
      </c>
    </row>
    <row r="390" spans="1:9" hidden="1" x14ac:dyDescent="0.2">
      <c r="A390" t="s">
        <v>173</v>
      </c>
      <c r="B390" t="s">
        <v>841</v>
      </c>
      <c r="C390">
        <v>7.0864252676589917E-3</v>
      </c>
      <c r="D390">
        <v>0</v>
      </c>
      <c r="E390">
        <v>0</v>
      </c>
      <c r="F390">
        <v>0</v>
      </c>
      <c r="G390">
        <v>0</v>
      </c>
      <c r="H390">
        <v>0</v>
      </c>
      <c r="I390" t="s">
        <v>796</v>
      </c>
    </row>
    <row r="391" spans="1:9" hidden="1" x14ac:dyDescent="0.2">
      <c r="A391" t="s">
        <v>173</v>
      </c>
      <c r="B391" t="s">
        <v>838</v>
      </c>
      <c r="C391">
        <v>19851.157893081301</v>
      </c>
      <c r="D391">
        <v>0</v>
      </c>
      <c r="E391">
        <v>0</v>
      </c>
      <c r="F391">
        <v>0</v>
      </c>
      <c r="G391">
        <v>0</v>
      </c>
      <c r="H391">
        <v>0</v>
      </c>
      <c r="I391" t="s">
        <v>796</v>
      </c>
    </row>
    <row r="392" spans="1:9" hidden="1" x14ac:dyDescent="0.2">
      <c r="A392" t="s">
        <v>173</v>
      </c>
      <c r="B392" t="s">
        <v>840</v>
      </c>
      <c r="C392">
        <v>104.7776658402005</v>
      </c>
      <c r="D392">
        <v>0</v>
      </c>
      <c r="E392">
        <v>0</v>
      </c>
      <c r="F392">
        <v>0</v>
      </c>
      <c r="G392">
        <v>0</v>
      </c>
      <c r="H392">
        <v>0</v>
      </c>
      <c r="I392" t="s">
        <v>796</v>
      </c>
    </row>
    <row r="393" spans="1:9" hidden="1" x14ac:dyDescent="0.2">
      <c r="A393" t="s">
        <v>173</v>
      </c>
      <c r="B393" t="s">
        <v>854</v>
      </c>
      <c r="C393">
        <v>3.8261586932937419</v>
      </c>
      <c r="D393">
        <v>0</v>
      </c>
      <c r="E393">
        <v>0</v>
      </c>
      <c r="F393">
        <v>0</v>
      </c>
      <c r="G393">
        <v>0</v>
      </c>
      <c r="H393">
        <v>0</v>
      </c>
      <c r="I393" t="s">
        <v>796</v>
      </c>
    </row>
    <row r="394" spans="1:9" hidden="1" x14ac:dyDescent="0.2">
      <c r="A394" t="s">
        <v>173</v>
      </c>
      <c r="B394" t="s">
        <v>842</v>
      </c>
      <c r="C394">
        <v>5.6599993387143766E-3</v>
      </c>
      <c r="D394">
        <v>0</v>
      </c>
      <c r="E394">
        <v>0</v>
      </c>
      <c r="F394">
        <v>0</v>
      </c>
      <c r="G394">
        <v>0</v>
      </c>
      <c r="H394">
        <v>0</v>
      </c>
      <c r="I394" t="s">
        <v>796</v>
      </c>
    </row>
    <row r="395" spans="1:9" hidden="1" x14ac:dyDescent="0.2">
      <c r="A395" t="s">
        <v>174</v>
      </c>
      <c r="B395" t="s">
        <v>816</v>
      </c>
      <c r="C395">
        <v>0</v>
      </c>
      <c r="D395">
        <v>5.016179357595437E-5</v>
      </c>
      <c r="E395">
        <v>0</v>
      </c>
      <c r="F395">
        <v>0</v>
      </c>
      <c r="G395">
        <v>0</v>
      </c>
      <c r="H395">
        <v>0</v>
      </c>
      <c r="I395" t="s">
        <v>796</v>
      </c>
    </row>
    <row r="396" spans="1:9" hidden="1" x14ac:dyDescent="0.2">
      <c r="A396" t="s">
        <v>175</v>
      </c>
      <c r="B396" t="s">
        <v>812</v>
      </c>
      <c r="C396">
        <v>0</v>
      </c>
      <c r="D396">
        <v>0</v>
      </c>
      <c r="E396">
        <v>0</v>
      </c>
      <c r="F396">
        <v>0</v>
      </c>
      <c r="G396">
        <v>7.5687298492825713E-6</v>
      </c>
      <c r="H396">
        <v>0</v>
      </c>
      <c r="I396" t="s">
        <v>796</v>
      </c>
    </row>
    <row r="397" spans="1:9" hidden="1" x14ac:dyDescent="0.2">
      <c r="A397" t="s">
        <v>176</v>
      </c>
      <c r="B397" t="s">
        <v>811</v>
      </c>
      <c r="C397">
        <v>620.18435317217632</v>
      </c>
      <c r="D397">
        <v>0</v>
      </c>
      <c r="E397">
        <v>0</v>
      </c>
      <c r="F397">
        <v>0</v>
      </c>
      <c r="G397">
        <v>0</v>
      </c>
      <c r="H397">
        <v>0</v>
      </c>
      <c r="I397" t="s">
        <v>799</v>
      </c>
    </row>
    <row r="398" spans="1:9" hidden="1" x14ac:dyDescent="0.2">
      <c r="A398" t="s">
        <v>177</v>
      </c>
      <c r="B398" t="s">
        <v>816</v>
      </c>
      <c r="C398">
        <v>0</v>
      </c>
      <c r="D398">
        <v>3.3775198092456939E-4</v>
      </c>
      <c r="E398">
        <v>0</v>
      </c>
      <c r="F398">
        <v>0</v>
      </c>
      <c r="G398">
        <v>0</v>
      </c>
      <c r="H398">
        <v>0</v>
      </c>
      <c r="I398" t="s">
        <v>789</v>
      </c>
    </row>
    <row r="399" spans="1:9" hidden="1" x14ac:dyDescent="0.2">
      <c r="A399" t="s">
        <v>177</v>
      </c>
      <c r="B399" t="s">
        <v>822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 t="s">
        <v>789</v>
      </c>
    </row>
    <row r="400" spans="1:9" hidden="1" x14ac:dyDescent="0.2">
      <c r="A400" t="s">
        <v>178</v>
      </c>
      <c r="B400" t="s">
        <v>816</v>
      </c>
      <c r="C400">
        <v>0</v>
      </c>
      <c r="D400">
        <v>0.56906299212855171</v>
      </c>
      <c r="E400">
        <v>0</v>
      </c>
      <c r="F400">
        <v>0</v>
      </c>
      <c r="G400">
        <v>0</v>
      </c>
      <c r="H400">
        <v>0</v>
      </c>
      <c r="I400" t="s">
        <v>798</v>
      </c>
    </row>
    <row r="401" spans="1:9" hidden="1" x14ac:dyDescent="0.2">
      <c r="A401" t="s">
        <v>178</v>
      </c>
      <c r="B401" t="s">
        <v>822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 t="s">
        <v>798</v>
      </c>
    </row>
    <row r="402" spans="1:9" hidden="1" x14ac:dyDescent="0.2">
      <c r="A402" t="s">
        <v>179</v>
      </c>
      <c r="B402" t="s">
        <v>816</v>
      </c>
      <c r="C402">
        <v>0</v>
      </c>
      <c r="D402">
        <v>2.01633947802775E-3</v>
      </c>
      <c r="E402">
        <v>0</v>
      </c>
      <c r="F402">
        <v>0</v>
      </c>
      <c r="G402">
        <v>0</v>
      </c>
      <c r="H402">
        <v>0</v>
      </c>
      <c r="I402" t="s">
        <v>789</v>
      </c>
    </row>
    <row r="403" spans="1:9" hidden="1" x14ac:dyDescent="0.2">
      <c r="A403" t="s">
        <v>179</v>
      </c>
      <c r="B403" t="s">
        <v>810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 t="s">
        <v>789</v>
      </c>
    </row>
    <row r="404" spans="1:9" hidden="1" x14ac:dyDescent="0.2">
      <c r="A404" t="s">
        <v>179</v>
      </c>
      <c r="B404" t="s">
        <v>822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 t="s">
        <v>789</v>
      </c>
    </row>
    <row r="405" spans="1:9" hidden="1" x14ac:dyDescent="0.2">
      <c r="A405" t="s">
        <v>180</v>
      </c>
      <c r="B405" t="s">
        <v>816</v>
      </c>
      <c r="C405">
        <v>0</v>
      </c>
      <c r="D405">
        <v>9.186306445400362</v>
      </c>
      <c r="E405">
        <v>0</v>
      </c>
      <c r="F405">
        <v>0</v>
      </c>
      <c r="G405">
        <v>0</v>
      </c>
      <c r="H405">
        <v>0</v>
      </c>
      <c r="I405" t="s">
        <v>798</v>
      </c>
    </row>
    <row r="406" spans="1:9" hidden="1" x14ac:dyDescent="0.2">
      <c r="A406" t="s">
        <v>180</v>
      </c>
      <c r="B406" t="s">
        <v>810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 t="s">
        <v>798</v>
      </c>
    </row>
    <row r="407" spans="1:9" hidden="1" x14ac:dyDescent="0.2">
      <c r="A407" t="s">
        <v>180</v>
      </c>
      <c r="B407" t="s">
        <v>822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 t="s">
        <v>798</v>
      </c>
    </row>
    <row r="408" spans="1:9" hidden="1" x14ac:dyDescent="0.2">
      <c r="A408" t="s">
        <v>181</v>
      </c>
      <c r="B408" t="s">
        <v>816</v>
      </c>
      <c r="C408">
        <v>115.51200630084161</v>
      </c>
      <c r="D408">
        <v>0</v>
      </c>
      <c r="E408">
        <v>0</v>
      </c>
      <c r="F408">
        <v>0</v>
      </c>
      <c r="G408">
        <v>0</v>
      </c>
      <c r="H408">
        <v>0</v>
      </c>
      <c r="I408" t="s">
        <v>800</v>
      </c>
    </row>
    <row r="409" spans="1:9" hidden="1" x14ac:dyDescent="0.2">
      <c r="A409" t="s">
        <v>181</v>
      </c>
      <c r="B409" t="s">
        <v>857</v>
      </c>
      <c r="C409">
        <v>914.43838809699878</v>
      </c>
      <c r="D409">
        <v>0</v>
      </c>
      <c r="E409">
        <v>0</v>
      </c>
      <c r="F409">
        <v>0</v>
      </c>
      <c r="G409">
        <v>0</v>
      </c>
      <c r="H409">
        <v>0</v>
      </c>
      <c r="I409" t="s">
        <v>800</v>
      </c>
    </row>
    <row r="410" spans="1:9" hidden="1" x14ac:dyDescent="0.2">
      <c r="A410" t="s">
        <v>181</v>
      </c>
      <c r="B410" t="s">
        <v>810</v>
      </c>
      <c r="C410">
        <v>38.866050442889438</v>
      </c>
      <c r="D410">
        <v>0</v>
      </c>
      <c r="E410">
        <v>0</v>
      </c>
      <c r="F410">
        <v>0</v>
      </c>
      <c r="G410">
        <v>0</v>
      </c>
      <c r="H410">
        <v>0</v>
      </c>
      <c r="I410" t="s">
        <v>800</v>
      </c>
    </row>
    <row r="411" spans="1:9" hidden="1" x14ac:dyDescent="0.2">
      <c r="A411" t="s">
        <v>181</v>
      </c>
      <c r="B411" t="s">
        <v>811</v>
      </c>
      <c r="C411">
        <v>10.48122011791401</v>
      </c>
      <c r="D411">
        <v>0</v>
      </c>
      <c r="E411">
        <v>0</v>
      </c>
      <c r="F411">
        <v>0</v>
      </c>
      <c r="G411">
        <v>0</v>
      </c>
      <c r="H411">
        <v>0</v>
      </c>
      <c r="I411" t="s">
        <v>800</v>
      </c>
    </row>
    <row r="412" spans="1:9" hidden="1" x14ac:dyDescent="0.2">
      <c r="A412" t="s">
        <v>182</v>
      </c>
      <c r="B412" t="s">
        <v>810</v>
      </c>
      <c r="C412">
        <v>0</v>
      </c>
      <c r="I412" t="s">
        <v>800</v>
      </c>
    </row>
    <row r="413" spans="1:9" hidden="1" x14ac:dyDescent="0.2">
      <c r="A413" t="s">
        <v>183</v>
      </c>
      <c r="B413" t="s">
        <v>816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 t="s">
        <v>800</v>
      </c>
    </row>
    <row r="414" spans="1:9" hidden="1" x14ac:dyDescent="0.2">
      <c r="A414" t="s">
        <v>183</v>
      </c>
      <c r="B414" t="s">
        <v>857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 t="s">
        <v>800</v>
      </c>
    </row>
    <row r="415" spans="1:9" hidden="1" x14ac:dyDescent="0.2">
      <c r="A415" t="s">
        <v>184</v>
      </c>
      <c r="B415" t="s">
        <v>824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 t="s">
        <v>789</v>
      </c>
    </row>
    <row r="416" spans="1:9" hidden="1" x14ac:dyDescent="0.2">
      <c r="A416" t="s">
        <v>184</v>
      </c>
      <c r="B416" t="s">
        <v>822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 t="s">
        <v>789</v>
      </c>
    </row>
    <row r="417" spans="1:9" hidden="1" x14ac:dyDescent="0.2">
      <c r="A417" t="s">
        <v>184</v>
      </c>
      <c r="B417" t="s">
        <v>825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 t="s">
        <v>789</v>
      </c>
    </row>
    <row r="418" spans="1:9" hidden="1" x14ac:dyDescent="0.2">
      <c r="A418" t="s">
        <v>184</v>
      </c>
      <c r="B418" t="s">
        <v>821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 t="s">
        <v>789</v>
      </c>
    </row>
    <row r="419" spans="1:9" hidden="1" x14ac:dyDescent="0.2">
      <c r="A419" t="s">
        <v>185</v>
      </c>
      <c r="B419" t="s">
        <v>822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 t="s">
        <v>801</v>
      </c>
    </row>
    <row r="420" spans="1:9" hidden="1" x14ac:dyDescent="0.2">
      <c r="A420" t="s">
        <v>185</v>
      </c>
      <c r="B420" t="s">
        <v>825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 t="s">
        <v>801</v>
      </c>
    </row>
    <row r="421" spans="1:9" hidden="1" x14ac:dyDescent="0.2">
      <c r="A421" t="s">
        <v>185</v>
      </c>
      <c r="B421" t="s">
        <v>821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 t="s">
        <v>801</v>
      </c>
    </row>
    <row r="422" spans="1:9" hidden="1" x14ac:dyDescent="0.2">
      <c r="A422" t="s">
        <v>185</v>
      </c>
      <c r="B422" t="s">
        <v>811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 t="s">
        <v>801</v>
      </c>
    </row>
    <row r="423" spans="1:9" hidden="1" x14ac:dyDescent="0.2">
      <c r="A423" t="s">
        <v>186</v>
      </c>
      <c r="B423" t="s">
        <v>810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 t="s">
        <v>789</v>
      </c>
    </row>
    <row r="424" spans="1:9" hidden="1" x14ac:dyDescent="0.2">
      <c r="A424" t="s">
        <v>187</v>
      </c>
      <c r="B424" t="s">
        <v>810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 t="s">
        <v>801</v>
      </c>
    </row>
    <row r="425" spans="1:9" hidden="1" x14ac:dyDescent="0.2">
      <c r="A425" t="s">
        <v>188</v>
      </c>
      <c r="B425" t="s">
        <v>816</v>
      </c>
      <c r="C425">
        <v>0</v>
      </c>
      <c r="D425">
        <v>2.1974821645029941E-4</v>
      </c>
      <c r="E425">
        <v>1.49822985880795E-5</v>
      </c>
      <c r="I425" t="s">
        <v>801</v>
      </c>
    </row>
    <row r="426" spans="1:9" hidden="1" x14ac:dyDescent="0.2">
      <c r="A426" t="s">
        <v>188</v>
      </c>
      <c r="B426" t="s">
        <v>810</v>
      </c>
      <c r="C426">
        <v>0</v>
      </c>
      <c r="D426">
        <v>0</v>
      </c>
      <c r="E426">
        <v>0</v>
      </c>
      <c r="I426" t="s">
        <v>801</v>
      </c>
    </row>
    <row r="427" spans="1:9" hidden="1" x14ac:dyDescent="0.2">
      <c r="A427" t="s">
        <v>188</v>
      </c>
      <c r="B427" t="s">
        <v>822</v>
      </c>
      <c r="C427">
        <v>0</v>
      </c>
      <c r="D427">
        <v>0</v>
      </c>
      <c r="E427">
        <v>0</v>
      </c>
      <c r="I427" t="s">
        <v>801</v>
      </c>
    </row>
    <row r="428" spans="1:9" hidden="1" x14ac:dyDescent="0.2">
      <c r="A428" t="s">
        <v>189</v>
      </c>
      <c r="B428" t="s">
        <v>816</v>
      </c>
      <c r="C428">
        <v>0</v>
      </c>
      <c r="D428">
        <v>1.915686874300888E-4</v>
      </c>
      <c r="E428">
        <v>4.7589048727155592E-5</v>
      </c>
      <c r="F428">
        <v>0</v>
      </c>
      <c r="G428">
        <v>1.605722712836689E-2</v>
      </c>
      <c r="H428">
        <v>0</v>
      </c>
      <c r="I428" t="s">
        <v>801</v>
      </c>
    </row>
    <row r="429" spans="1:9" hidden="1" x14ac:dyDescent="0.2">
      <c r="A429" t="s">
        <v>189</v>
      </c>
      <c r="B429" t="s">
        <v>822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 t="s">
        <v>801</v>
      </c>
    </row>
    <row r="430" spans="1:9" hidden="1" x14ac:dyDescent="0.2">
      <c r="A430" t="s">
        <v>190</v>
      </c>
      <c r="B430" t="s">
        <v>810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 t="s">
        <v>789</v>
      </c>
    </row>
    <row r="431" spans="1:9" hidden="1" x14ac:dyDescent="0.2">
      <c r="A431" t="s">
        <v>190</v>
      </c>
      <c r="B431" t="s">
        <v>822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 t="s">
        <v>789</v>
      </c>
    </row>
    <row r="432" spans="1:9" hidden="1" x14ac:dyDescent="0.2">
      <c r="A432" t="s">
        <v>190</v>
      </c>
      <c r="B432" t="s">
        <v>832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 t="s">
        <v>789</v>
      </c>
    </row>
    <row r="433" spans="1:9" hidden="1" x14ac:dyDescent="0.2">
      <c r="A433" t="s">
        <v>190</v>
      </c>
      <c r="B433" t="s">
        <v>849</v>
      </c>
      <c r="C433">
        <v>1.081255353329403E-4</v>
      </c>
      <c r="D433">
        <v>3.9952503253508188E-5</v>
      </c>
      <c r="E433">
        <v>0</v>
      </c>
      <c r="F433">
        <v>0</v>
      </c>
      <c r="G433">
        <v>0</v>
      </c>
      <c r="H433">
        <v>0</v>
      </c>
      <c r="I433" t="s">
        <v>789</v>
      </c>
    </row>
    <row r="434" spans="1:9" hidden="1" x14ac:dyDescent="0.2">
      <c r="A434" t="s">
        <v>191</v>
      </c>
      <c r="B434" t="s">
        <v>838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 t="s">
        <v>789</v>
      </c>
    </row>
    <row r="435" spans="1:9" hidden="1" x14ac:dyDescent="0.2">
      <c r="A435" t="s">
        <v>191</v>
      </c>
      <c r="B435" t="s">
        <v>822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 t="s">
        <v>789</v>
      </c>
    </row>
    <row r="436" spans="1:9" hidden="1" x14ac:dyDescent="0.2">
      <c r="A436" t="s">
        <v>191</v>
      </c>
      <c r="B436" t="s">
        <v>817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 t="s">
        <v>789</v>
      </c>
    </row>
    <row r="437" spans="1:9" hidden="1" x14ac:dyDescent="0.2">
      <c r="A437" t="s">
        <v>191</v>
      </c>
      <c r="B437" t="s">
        <v>840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 t="s">
        <v>789</v>
      </c>
    </row>
    <row r="438" spans="1:9" hidden="1" x14ac:dyDescent="0.2">
      <c r="A438" t="s">
        <v>191</v>
      </c>
      <c r="B438" t="s">
        <v>832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 t="s">
        <v>789</v>
      </c>
    </row>
    <row r="439" spans="1:9" hidden="1" x14ac:dyDescent="0.2">
      <c r="A439" t="s">
        <v>191</v>
      </c>
      <c r="B439" t="s">
        <v>849</v>
      </c>
      <c r="C439">
        <v>3.985555519397092E-5</v>
      </c>
      <c r="D439">
        <v>5.454716028589037E-4</v>
      </c>
      <c r="E439">
        <v>0</v>
      </c>
      <c r="F439">
        <v>0</v>
      </c>
      <c r="G439">
        <v>0</v>
      </c>
      <c r="H439">
        <v>0</v>
      </c>
      <c r="I439" t="s">
        <v>789</v>
      </c>
    </row>
    <row r="440" spans="1:9" hidden="1" x14ac:dyDescent="0.2">
      <c r="A440" t="s">
        <v>192</v>
      </c>
      <c r="B440" t="s">
        <v>816</v>
      </c>
      <c r="C440">
        <v>0</v>
      </c>
      <c r="I440" t="s">
        <v>801</v>
      </c>
    </row>
    <row r="441" spans="1:9" hidden="1" x14ac:dyDescent="0.2">
      <c r="A441" t="s">
        <v>192</v>
      </c>
      <c r="B441" t="s">
        <v>850</v>
      </c>
      <c r="C441">
        <v>5.5301055024480372E-5</v>
      </c>
      <c r="I441" t="s">
        <v>801</v>
      </c>
    </row>
    <row r="442" spans="1:9" hidden="1" x14ac:dyDescent="0.2">
      <c r="A442" t="s">
        <v>192</v>
      </c>
      <c r="B442" t="s">
        <v>810</v>
      </c>
      <c r="C442">
        <v>0</v>
      </c>
      <c r="I442" t="s">
        <v>801</v>
      </c>
    </row>
    <row r="443" spans="1:9" hidden="1" x14ac:dyDescent="0.2">
      <c r="A443" t="s">
        <v>192</v>
      </c>
      <c r="B443" t="s">
        <v>822</v>
      </c>
      <c r="C443">
        <v>0</v>
      </c>
      <c r="I443" t="s">
        <v>801</v>
      </c>
    </row>
    <row r="444" spans="1:9" hidden="1" x14ac:dyDescent="0.2">
      <c r="A444" t="s">
        <v>192</v>
      </c>
      <c r="B444" t="s">
        <v>851</v>
      </c>
      <c r="C444">
        <v>2.3245441140764389E-4</v>
      </c>
      <c r="I444" t="s">
        <v>801</v>
      </c>
    </row>
    <row r="445" spans="1:9" hidden="1" x14ac:dyDescent="0.2">
      <c r="A445" t="s">
        <v>192</v>
      </c>
      <c r="B445" t="s">
        <v>811</v>
      </c>
      <c r="C445">
        <v>0</v>
      </c>
      <c r="I445" t="s">
        <v>801</v>
      </c>
    </row>
    <row r="446" spans="1:9" hidden="1" x14ac:dyDescent="0.2">
      <c r="A446" t="s">
        <v>193</v>
      </c>
      <c r="B446" t="s">
        <v>855</v>
      </c>
      <c r="I446" t="s">
        <v>798</v>
      </c>
    </row>
    <row r="447" spans="1:9" hidden="1" x14ac:dyDescent="0.2">
      <c r="A447" t="s">
        <v>193</v>
      </c>
      <c r="B447" t="s">
        <v>850</v>
      </c>
      <c r="I447" t="s">
        <v>798</v>
      </c>
    </row>
    <row r="448" spans="1:9" hidden="1" x14ac:dyDescent="0.2">
      <c r="A448" t="s">
        <v>193</v>
      </c>
      <c r="B448" t="s">
        <v>851</v>
      </c>
      <c r="I448" t="s">
        <v>798</v>
      </c>
    </row>
    <row r="449" spans="1:9" hidden="1" x14ac:dyDescent="0.2">
      <c r="A449" t="s">
        <v>193</v>
      </c>
      <c r="B449" t="s">
        <v>858</v>
      </c>
      <c r="I449" t="s">
        <v>798</v>
      </c>
    </row>
    <row r="450" spans="1:9" hidden="1" x14ac:dyDescent="0.2">
      <c r="A450" t="s">
        <v>193</v>
      </c>
      <c r="B450" t="s">
        <v>849</v>
      </c>
      <c r="I450" t="s">
        <v>798</v>
      </c>
    </row>
    <row r="451" spans="1:9" hidden="1" x14ac:dyDescent="0.2">
      <c r="A451" t="s">
        <v>193</v>
      </c>
      <c r="B451" t="s">
        <v>856</v>
      </c>
      <c r="I451" t="s">
        <v>798</v>
      </c>
    </row>
    <row r="452" spans="1:9" hidden="1" x14ac:dyDescent="0.2">
      <c r="A452" t="s">
        <v>194</v>
      </c>
      <c r="B452" t="s">
        <v>855</v>
      </c>
      <c r="C452">
        <v>2.0667168306765809E-4</v>
      </c>
      <c r="D452">
        <v>0</v>
      </c>
      <c r="E452">
        <v>0</v>
      </c>
      <c r="F452">
        <v>0</v>
      </c>
      <c r="G452">
        <v>0</v>
      </c>
      <c r="H452">
        <v>0</v>
      </c>
      <c r="I452" t="s">
        <v>798</v>
      </c>
    </row>
    <row r="453" spans="1:9" hidden="1" x14ac:dyDescent="0.2">
      <c r="A453" t="s">
        <v>194</v>
      </c>
      <c r="B453" t="s">
        <v>850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 t="s">
        <v>798</v>
      </c>
    </row>
    <row r="454" spans="1:9" hidden="1" x14ac:dyDescent="0.2">
      <c r="A454" t="s">
        <v>194</v>
      </c>
      <c r="B454" t="s">
        <v>810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 t="s">
        <v>798</v>
      </c>
    </row>
    <row r="455" spans="1:9" hidden="1" x14ac:dyDescent="0.2">
      <c r="A455" t="s">
        <v>194</v>
      </c>
      <c r="B455" t="s">
        <v>851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 t="s">
        <v>798</v>
      </c>
    </row>
    <row r="456" spans="1:9" hidden="1" x14ac:dyDescent="0.2">
      <c r="A456" t="s">
        <v>194</v>
      </c>
      <c r="B456" t="s">
        <v>849</v>
      </c>
      <c r="C456">
        <v>1.7728400016756081E-4</v>
      </c>
      <c r="D456">
        <v>0</v>
      </c>
      <c r="E456">
        <v>0</v>
      </c>
      <c r="F456">
        <v>0</v>
      </c>
      <c r="G456">
        <v>0</v>
      </c>
      <c r="H456">
        <v>0</v>
      </c>
      <c r="I456" t="s">
        <v>798</v>
      </c>
    </row>
    <row r="457" spans="1:9" hidden="1" x14ac:dyDescent="0.2">
      <c r="A457" t="s">
        <v>194</v>
      </c>
      <c r="B457" t="s">
        <v>856</v>
      </c>
      <c r="C457">
        <v>1.5747746458329021E-4</v>
      </c>
      <c r="D457">
        <v>0</v>
      </c>
      <c r="E457">
        <v>0</v>
      </c>
      <c r="F457">
        <v>0</v>
      </c>
      <c r="G457">
        <v>0</v>
      </c>
      <c r="H457">
        <v>0</v>
      </c>
      <c r="I457" t="s">
        <v>798</v>
      </c>
    </row>
    <row r="458" spans="1:9" hidden="1" x14ac:dyDescent="0.2">
      <c r="A458" t="s">
        <v>194</v>
      </c>
      <c r="B458" t="s">
        <v>811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 t="s">
        <v>798</v>
      </c>
    </row>
    <row r="459" spans="1:9" hidden="1" x14ac:dyDescent="0.2">
      <c r="A459" t="s">
        <v>195</v>
      </c>
      <c r="B459" t="s">
        <v>855</v>
      </c>
      <c r="C459">
        <v>3.2208551228705008E-4</v>
      </c>
      <c r="D459">
        <v>0.67036928670968099</v>
      </c>
      <c r="E459">
        <v>0</v>
      </c>
      <c r="F459">
        <v>0</v>
      </c>
      <c r="G459">
        <v>0</v>
      </c>
      <c r="H459">
        <v>0</v>
      </c>
      <c r="I459" t="s">
        <v>798</v>
      </c>
    </row>
    <row r="460" spans="1:9" hidden="1" x14ac:dyDescent="0.2">
      <c r="A460" t="s">
        <v>195</v>
      </c>
      <c r="B460" t="s">
        <v>850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 t="s">
        <v>798</v>
      </c>
    </row>
    <row r="461" spans="1:9" hidden="1" x14ac:dyDescent="0.2">
      <c r="A461" t="s">
        <v>195</v>
      </c>
      <c r="B461" t="s">
        <v>851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 t="s">
        <v>798</v>
      </c>
    </row>
    <row r="462" spans="1:9" hidden="1" x14ac:dyDescent="0.2">
      <c r="A462" t="s">
        <v>195</v>
      </c>
      <c r="B462" t="s">
        <v>849</v>
      </c>
      <c r="C462">
        <v>4.633096103980887E-4</v>
      </c>
      <c r="D462">
        <v>0.81304107174989315</v>
      </c>
      <c r="E462">
        <v>0</v>
      </c>
      <c r="F462">
        <v>0</v>
      </c>
      <c r="G462">
        <v>0</v>
      </c>
      <c r="H462">
        <v>0</v>
      </c>
      <c r="I462" t="s">
        <v>798</v>
      </c>
    </row>
    <row r="463" spans="1:9" hidden="1" x14ac:dyDescent="0.2">
      <c r="A463" t="s">
        <v>195</v>
      </c>
      <c r="B463" t="s">
        <v>856</v>
      </c>
      <c r="C463">
        <v>1.712235514173776E-4</v>
      </c>
      <c r="D463">
        <v>0.4631961219999422</v>
      </c>
      <c r="E463">
        <v>0</v>
      </c>
      <c r="F463">
        <v>0</v>
      </c>
      <c r="G463">
        <v>0</v>
      </c>
      <c r="H463">
        <v>0</v>
      </c>
      <c r="I463" t="s">
        <v>798</v>
      </c>
    </row>
    <row r="464" spans="1:9" hidden="1" x14ac:dyDescent="0.2">
      <c r="A464" t="s">
        <v>195</v>
      </c>
      <c r="B464" t="s">
        <v>811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 t="s">
        <v>798</v>
      </c>
    </row>
    <row r="465" spans="1:9" hidden="1" x14ac:dyDescent="0.2">
      <c r="A465" t="s">
        <v>196</v>
      </c>
      <c r="B465" t="s">
        <v>855</v>
      </c>
      <c r="I465" t="s">
        <v>789</v>
      </c>
    </row>
    <row r="466" spans="1:9" hidden="1" x14ac:dyDescent="0.2">
      <c r="A466" t="s">
        <v>196</v>
      </c>
      <c r="B466" t="s">
        <v>850</v>
      </c>
      <c r="I466" t="s">
        <v>789</v>
      </c>
    </row>
    <row r="467" spans="1:9" hidden="1" x14ac:dyDescent="0.2">
      <c r="A467" t="s">
        <v>196</v>
      </c>
      <c r="B467" t="s">
        <v>851</v>
      </c>
      <c r="I467" t="s">
        <v>789</v>
      </c>
    </row>
    <row r="468" spans="1:9" hidden="1" x14ac:dyDescent="0.2">
      <c r="A468" t="s">
        <v>196</v>
      </c>
      <c r="B468" t="s">
        <v>849</v>
      </c>
      <c r="I468" t="s">
        <v>789</v>
      </c>
    </row>
    <row r="469" spans="1:9" hidden="1" x14ac:dyDescent="0.2">
      <c r="A469" t="s">
        <v>196</v>
      </c>
      <c r="B469" t="s">
        <v>856</v>
      </c>
      <c r="I469" t="s">
        <v>789</v>
      </c>
    </row>
    <row r="470" spans="1:9" hidden="1" x14ac:dyDescent="0.2">
      <c r="A470" t="s">
        <v>196</v>
      </c>
      <c r="B470" t="s">
        <v>811</v>
      </c>
      <c r="I470" t="s">
        <v>789</v>
      </c>
    </row>
    <row r="471" spans="1:9" hidden="1" x14ac:dyDescent="0.2">
      <c r="A471" t="s">
        <v>197</v>
      </c>
      <c r="B471" t="s">
        <v>855</v>
      </c>
      <c r="C471">
        <v>4.9873248049330677E-5</v>
      </c>
      <c r="D471">
        <v>3.0673018444892148E-4</v>
      </c>
      <c r="E471">
        <v>0</v>
      </c>
      <c r="F471">
        <v>0</v>
      </c>
      <c r="G471">
        <v>0</v>
      </c>
      <c r="H471">
        <v>0</v>
      </c>
      <c r="I471" t="s">
        <v>789</v>
      </c>
    </row>
    <row r="472" spans="1:9" hidden="1" x14ac:dyDescent="0.2">
      <c r="A472" t="s">
        <v>197</v>
      </c>
      <c r="B472" t="s">
        <v>850</v>
      </c>
      <c r="C472">
        <v>1.9957737230563539E-4</v>
      </c>
      <c r="D472">
        <v>9.613907377821079E-5</v>
      </c>
      <c r="E472">
        <v>0</v>
      </c>
      <c r="F472">
        <v>0</v>
      </c>
      <c r="G472">
        <v>0</v>
      </c>
      <c r="H472">
        <v>0</v>
      </c>
      <c r="I472" t="s">
        <v>789</v>
      </c>
    </row>
    <row r="473" spans="1:9" hidden="1" x14ac:dyDescent="0.2">
      <c r="A473" t="s">
        <v>197</v>
      </c>
      <c r="B473" t="s">
        <v>810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 t="s">
        <v>789</v>
      </c>
    </row>
    <row r="474" spans="1:9" hidden="1" x14ac:dyDescent="0.2">
      <c r="A474" t="s">
        <v>197</v>
      </c>
      <c r="B474" t="s">
        <v>851</v>
      </c>
      <c r="C474">
        <v>5.4902816160742136E-4</v>
      </c>
      <c r="D474">
        <v>9.9231784848871724E-5</v>
      </c>
      <c r="E474">
        <v>0</v>
      </c>
      <c r="F474">
        <v>0</v>
      </c>
      <c r="G474">
        <v>0</v>
      </c>
      <c r="H474">
        <v>0</v>
      </c>
      <c r="I474" t="s">
        <v>789</v>
      </c>
    </row>
    <row r="475" spans="1:9" hidden="1" x14ac:dyDescent="0.2">
      <c r="A475" t="s">
        <v>197</v>
      </c>
      <c r="B475" t="s">
        <v>849</v>
      </c>
      <c r="C475">
        <v>8.0250989162942445E-5</v>
      </c>
      <c r="D475">
        <v>7.3615191643728174E-4</v>
      </c>
      <c r="E475">
        <v>0</v>
      </c>
      <c r="F475">
        <v>0</v>
      </c>
      <c r="G475">
        <v>0</v>
      </c>
      <c r="H475">
        <v>0</v>
      </c>
      <c r="I475" t="s">
        <v>789</v>
      </c>
    </row>
    <row r="476" spans="1:9" hidden="1" x14ac:dyDescent="0.2">
      <c r="A476" t="s">
        <v>197</v>
      </c>
      <c r="B476" t="s">
        <v>856</v>
      </c>
      <c r="C476">
        <v>2.628287962188431E-5</v>
      </c>
      <c r="D476">
        <v>3.3037272093920222E-4</v>
      </c>
      <c r="E476">
        <v>0</v>
      </c>
      <c r="F476">
        <v>0</v>
      </c>
      <c r="G476">
        <v>0</v>
      </c>
      <c r="H476">
        <v>0</v>
      </c>
      <c r="I476" t="s">
        <v>789</v>
      </c>
    </row>
    <row r="477" spans="1:9" hidden="1" x14ac:dyDescent="0.2">
      <c r="A477" t="s">
        <v>197</v>
      </c>
      <c r="B477" t="s">
        <v>811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 t="s">
        <v>789</v>
      </c>
    </row>
    <row r="478" spans="1:9" hidden="1" x14ac:dyDescent="0.2">
      <c r="A478" t="s">
        <v>198</v>
      </c>
      <c r="B478" t="s">
        <v>855</v>
      </c>
      <c r="C478">
        <v>1.7561084560317129E-5</v>
      </c>
      <c r="D478">
        <v>8.174161634445469E-6</v>
      </c>
      <c r="E478">
        <v>0</v>
      </c>
      <c r="F478">
        <v>0</v>
      </c>
      <c r="G478">
        <v>0</v>
      </c>
      <c r="H478">
        <v>0</v>
      </c>
      <c r="I478" t="s">
        <v>789</v>
      </c>
    </row>
    <row r="479" spans="1:9" hidden="1" x14ac:dyDescent="0.2">
      <c r="A479" t="s">
        <v>198</v>
      </c>
      <c r="B479" t="s">
        <v>850</v>
      </c>
      <c r="C479">
        <v>3.9854092934024119E-5</v>
      </c>
      <c r="D479">
        <v>6.3087307747582741E-2</v>
      </c>
      <c r="E479">
        <v>0</v>
      </c>
      <c r="F479">
        <v>0</v>
      </c>
      <c r="G479">
        <v>0</v>
      </c>
      <c r="H479">
        <v>0</v>
      </c>
      <c r="I479" t="s">
        <v>789</v>
      </c>
    </row>
    <row r="480" spans="1:9" hidden="1" x14ac:dyDescent="0.2">
      <c r="A480" t="s">
        <v>198</v>
      </c>
      <c r="B480" t="s">
        <v>851</v>
      </c>
      <c r="C480">
        <v>7.247134771920259E-4</v>
      </c>
      <c r="D480">
        <v>1.7471756178621229</v>
      </c>
      <c r="E480">
        <v>0</v>
      </c>
      <c r="F480">
        <v>0</v>
      </c>
      <c r="G480">
        <v>0</v>
      </c>
      <c r="H480">
        <v>0</v>
      </c>
      <c r="I480" t="s">
        <v>789</v>
      </c>
    </row>
    <row r="481" spans="1:9" hidden="1" x14ac:dyDescent="0.2">
      <c r="A481" t="s">
        <v>198</v>
      </c>
      <c r="B481" t="s">
        <v>849</v>
      </c>
      <c r="C481">
        <v>4.2357356770099727E-4</v>
      </c>
      <c r="D481">
        <v>1.7568765957321649E-5</v>
      </c>
      <c r="E481">
        <v>0</v>
      </c>
      <c r="F481">
        <v>0</v>
      </c>
      <c r="G481">
        <v>0</v>
      </c>
      <c r="H481">
        <v>0</v>
      </c>
      <c r="I481" t="s">
        <v>789</v>
      </c>
    </row>
    <row r="482" spans="1:9" hidden="1" x14ac:dyDescent="0.2">
      <c r="A482" t="s">
        <v>198</v>
      </c>
      <c r="B482" t="s">
        <v>856</v>
      </c>
      <c r="C482">
        <v>7.2119451481459212E-8</v>
      </c>
      <c r="D482">
        <v>8.4043261714827125E-6</v>
      </c>
      <c r="E482">
        <v>0</v>
      </c>
      <c r="F482">
        <v>0</v>
      </c>
      <c r="G482">
        <v>0</v>
      </c>
      <c r="H482">
        <v>0</v>
      </c>
      <c r="I482" t="s">
        <v>789</v>
      </c>
    </row>
    <row r="483" spans="1:9" hidden="1" x14ac:dyDescent="0.2">
      <c r="A483" t="s">
        <v>198</v>
      </c>
      <c r="B483" t="s">
        <v>811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 t="s">
        <v>789</v>
      </c>
    </row>
    <row r="484" spans="1:9" hidden="1" x14ac:dyDescent="0.2">
      <c r="A484" t="s">
        <v>199</v>
      </c>
      <c r="B484" t="s">
        <v>855</v>
      </c>
      <c r="I484" t="s">
        <v>801</v>
      </c>
    </row>
    <row r="485" spans="1:9" hidden="1" x14ac:dyDescent="0.2">
      <c r="A485" t="s">
        <v>199</v>
      </c>
      <c r="B485" t="s">
        <v>850</v>
      </c>
      <c r="I485" t="s">
        <v>801</v>
      </c>
    </row>
    <row r="486" spans="1:9" hidden="1" x14ac:dyDescent="0.2">
      <c r="A486" t="s">
        <v>199</v>
      </c>
      <c r="B486" t="s">
        <v>851</v>
      </c>
      <c r="I486" t="s">
        <v>801</v>
      </c>
    </row>
    <row r="487" spans="1:9" hidden="1" x14ac:dyDescent="0.2">
      <c r="A487" t="s">
        <v>199</v>
      </c>
      <c r="B487" t="s">
        <v>849</v>
      </c>
      <c r="I487" t="s">
        <v>801</v>
      </c>
    </row>
    <row r="488" spans="1:9" hidden="1" x14ac:dyDescent="0.2">
      <c r="A488" t="s">
        <v>199</v>
      </c>
      <c r="B488" t="s">
        <v>856</v>
      </c>
      <c r="I488" t="s">
        <v>801</v>
      </c>
    </row>
    <row r="489" spans="1:9" hidden="1" x14ac:dyDescent="0.2">
      <c r="A489" t="s">
        <v>199</v>
      </c>
      <c r="B489" t="s">
        <v>811</v>
      </c>
      <c r="I489" t="s">
        <v>801</v>
      </c>
    </row>
    <row r="490" spans="1:9" hidden="1" x14ac:dyDescent="0.2">
      <c r="A490" t="s">
        <v>200</v>
      </c>
      <c r="B490" t="s">
        <v>855</v>
      </c>
      <c r="C490">
        <v>0</v>
      </c>
      <c r="D490">
        <v>0</v>
      </c>
      <c r="E490">
        <v>0</v>
      </c>
      <c r="I490" t="s">
        <v>801</v>
      </c>
    </row>
    <row r="491" spans="1:9" hidden="1" x14ac:dyDescent="0.2">
      <c r="A491" t="s">
        <v>200</v>
      </c>
      <c r="B491" t="s">
        <v>850</v>
      </c>
      <c r="C491">
        <v>2.4611431197131209E-4</v>
      </c>
      <c r="D491">
        <v>0</v>
      </c>
      <c r="E491">
        <v>0</v>
      </c>
      <c r="I491" t="s">
        <v>801</v>
      </c>
    </row>
    <row r="492" spans="1:9" hidden="1" x14ac:dyDescent="0.2">
      <c r="A492" t="s">
        <v>200</v>
      </c>
      <c r="B492" t="s">
        <v>810</v>
      </c>
      <c r="C492">
        <v>0</v>
      </c>
      <c r="D492">
        <v>0</v>
      </c>
      <c r="E492">
        <v>0</v>
      </c>
      <c r="I492" t="s">
        <v>801</v>
      </c>
    </row>
    <row r="493" spans="1:9" hidden="1" x14ac:dyDescent="0.2">
      <c r="A493" t="s">
        <v>200</v>
      </c>
      <c r="B493" t="s">
        <v>851</v>
      </c>
      <c r="C493">
        <v>3.3074312313916172E-4</v>
      </c>
      <c r="D493">
        <v>0</v>
      </c>
      <c r="E493">
        <v>0</v>
      </c>
      <c r="I493" t="s">
        <v>801</v>
      </c>
    </row>
    <row r="494" spans="1:9" hidden="1" x14ac:dyDescent="0.2">
      <c r="A494" t="s">
        <v>200</v>
      </c>
      <c r="B494" t="s">
        <v>849</v>
      </c>
      <c r="C494">
        <v>0</v>
      </c>
      <c r="D494">
        <v>0</v>
      </c>
      <c r="E494">
        <v>0</v>
      </c>
      <c r="I494" t="s">
        <v>801</v>
      </c>
    </row>
    <row r="495" spans="1:9" hidden="1" x14ac:dyDescent="0.2">
      <c r="A495" t="s">
        <v>200</v>
      </c>
      <c r="B495" t="s">
        <v>856</v>
      </c>
      <c r="C495">
        <v>0</v>
      </c>
      <c r="D495">
        <v>0</v>
      </c>
      <c r="E495">
        <v>0</v>
      </c>
      <c r="I495" t="s">
        <v>801</v>
      </c>
    </row>
    <row r="496" spans="1:9" hidden="1" x14ac:dyDescent="0.2">
      <c r="A496" t="s">
        <v>200</v>
      </c>
      <c r="B496" t="s">
        <v>811</v>
      </c>
      <c r="C496">
        <v>0</v>
      </c>
      <c r="D496">
        <v>0</v>
      </c>
      <c r="E496">
        <v>0</v>
      </c>
      <c r="I496" t="s">
        <v>801</v>
      </c>
    </row>
    <row r="497" spans="1:9" hidden="1" x14ac:dyDescent="0.2">
      <c r="A497" t="s">
        <v>201</v>
      </c>
      <c r="B497" t="s">
        <v>855</v>
      </c>
      <c r="C497">
        <v>0</v>
      </c>
      <c r="D497">
        <v>0</v>
      </c>
      <c r="E497">
        <v>0</v>
      </c>
      <c r="I497" t="s">
        <v>801</v>
      </c>
    </row>
    <row r="498" spans="1:9" hidden="1" x14ac:dyDescent="0.2">
      <c r="A498" t="s">
        <v>201</v>
      </c>
      <c r="B498" t="s">
        <v>850</v>
      </c>
      <c r="C498">
        <v>5.1912721366926879</v>
      </c>
      <c r="D498">
        <v>0</v>
      </c>
      <c r="E498">
        <v>0</v>
      </c>
      <c r="I498" t="s">
        <v>801</v>
      </c>
    </row>
    <row r="499" spans="1:9" hidden="1" x14ac:dyDescent="0.2">
      <c r="A499" t="s">
        <v>201</v>
      </c>
      <c r="B499" t="s">
        <v>851</v>
      </c>
      <c r="C499">
        <v>7.3355710684843132</v>
      </c>
      <c r="D499">
        <v>0</v>
      </c>
      <c r="E499">
        <v>0</v>
      </c>
      <c r="I499" t="s">
        <v>801</v>
      </c>
    </row>
    <row r="500" spans="1:9" hidden="1" x14ac:dyDescent="0.2">
      <c r="A500" t="s">
        <v>201</v>
      </c>
      <c r="B500" t="s">
        <v>849</v>
      </c>
      <c r="C500">
        <v>0</v>
      </c>
      <c r="D500">
        <v>0</v>
      </c>
      <c r="E500">
        <v>0</v>
      </c>
      <c r="I500" t="s">
        <v>801</v>
      </c>
    </row>
    <row r="501" spans="1:9" hidden="1" x14ac:dyDescent="0.2">
      <c r="A501" t="s">
        <v>201</v>
      </c>
      <c r="B501" t="s">
        <v>856</v>
      </c>
      <c r="C501">
        <v>0</v>
      </c>
      <c r="D501">
        <v>0</v>
      </c>
      <c r="E501">
        <v>0</v>
      </c>
      <c r="I501" t="s">
        <v>801</v>
      </c>
    </row>
    <row r="502" spans="1:9" hidden="1" x14ac:dyDescent="0.2">
      <c r="A502" t="s">
        <v>201</v>
      </c>
      <c r="B502" t="s">
        <v>811</v>
      </c>
      <c r="C502">
        <v>0</v>
      </c>
      <c r="D502">
        <v>0</v>
      </c>
      <c r="E502">
        <v>0</v>
      </c>
      <c r="I502" t="s">
        <v>801</v>
      </c>
    </row>
    <row r="503" spans="1:9" hidden="1" x14ac:dyDescent="0.2">
      <c r="A503" t="s">
        <v>202</v>
      </c>
      <c r="B503" t="s">
        <v>822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 t="s">
        <v>801</v>
      </c>
    </row>
    <row r="504" spans="1:9" hidden="1" x14ac:dyDescent="0.2">
      <c r="A504" t="s">
        <v>202</v>
      </c>
      <c r="B504" t="s">
        <v>812</v>
      </c>
      <c r="C504">
        <v>0</v>
      </c>
      <c r="D504">
        <v>3.2878193428410532E-4</v>
      </c>
      <c r="E504">
        <v>0</v>
      </c>
      <c r="F504">
        <v>0</v>
      </c>
      <c r="G504">
        <v>0</v>
      </c>
      <c r="H504">
        <v>0</v>
      </c>
      <c r="I504" t="s">
        <v>801</v>
      </c>
    </row>
    <row r="505" spans="1:9" hidden="1" x14ac:dyDescent="0.2">
      <c r="A505" t="s">
        <v>203</v>
      </c>
      <c r="B505" t="s">
        <v>814</v>
      </c>
      <c r="C505">
        <v>0</v>
      </c>
      <c r="I505" t="s">
        <v>801</v>
      </c>
    </row>
    <row r="506" spans="1:9" hidden="1" x14ac:dyDescent="0.2">
      <c r="A506" t="s">
        <v>203</v>
      </c>
      <c r="B506" t="s">
        <v>815</v>
      </c>
      <c r="C506">
        <v>0</v>
      </c>
      <c r="I506" t="s">
        <v>801</v>
      </c>
    </row>
    <row r="507" spans="1:9" hidden="1" x14ac:dyDescent="0.2">
      <c r="A507" t="s">
        <v>203</v>
      </c>
      <c r="B507" t="s">
        <v>810</v>
      </c>
      <c r="C507">
        <v>0</v>
      </c>
      <c r="I507" t="s">
        <v>801</v>
      </c>
    </row>
    <row r="508" spans="1:9" hidden="1" x14ac:dyDescent="0.2">
      <c r="A508" t="s">
        <v>203</v>
      </c>
      <c r="B508" t="s">
        <v>822</v>
      </c>
      <c r="C508">
        <v>0</v>
      </c>
      <c r="I508" t="s">
        <v>801</v>
      </c>
    </row>
    <row r="509" spans="1:9" hidden="1" x14ac:dyDescent="0.2">
      <c r="A509" t="s">
        <v>204</v>
      </c>
      <c r="B509" t="s">
        <v>816</v>
      </c>
      <c r="C509">
        <v>0</v>
      </c>
      <c r="I509" t="s">
        <v>801</v>
      </c>
    </row>
    <row r="510" spans="1:9" hidden="1" x14ac:dyDescent="0.2">
      <c r="A510" t="s">
        <v>204</v>
      </c>
      <c r="B510" t="s">
        <v>815</v>
      </c>
      <c r="C510">
        <v>0</v>
      </c>
      <c r="I510" t="s">
        <v>801</v>
      </c>
    </row>
    <row r="511" spans="1:9" hidden="1" x14ac:dyDescent="0.2">
      <c r="A511" t="s">
        <v>204</v>
      </c>
      <c r="B511" t="s">
        <v>810</v>
      </c>
      <c r="C511">
        <v>0</v>
      </c>
      <c r="I511" t="s">
        <v>801</v>
      </c>
    </row>
    <row r="512" spans="1:9" hidden="1" x14ac:dyDescent="0.2">
      <c r="A512" t="s">
        <v>204</v>
      </c>
      <c r="B512" t="s">
        <v>822</v>
      </c>
      <c r="C512">
        <v>0</v>
      </c>
      <c r="I512" t="s">
        <v>801</v>
      </c>
    </row>
    <row r="513" spans="1:9" hidden="1" x14ac:dyDescent="0.2">
      <c r="A513" t="s">
        <v>205</v>
      </c>
      <c r="B513" t="s">
        <v>814</v>
      </c>
      <c r="C513">
        <v>0</v>
      </c>
      <c r="E513">
        <v>2.153118901597624E-4</v>
      </c>
      <c r="F513">
        <v>0</v>
      </c>
      <c r="G513">
        <v>0</v>
      </c>
      <c r="H513">
        <v>0</v>
      </c>
      <c r="I513" t="s">
        <v>801</v>
      </c>
    </row>
    <row r="514" spans="1:9" hidden="1" x14ac:dyDescent="0.2">
      <c r="A514" t="s">
        <v>205</v>
      </c>
      <c r="B514" t="s">
        <v>815</v>
      </c>
      <c r="C514">
        <v>0</v>
      </c>
      <c r="E514">
        <v>0</v>
      </c>
      <c r="F514">
        <v>0</v>
      </c>
      <c r="G514">
        <v>0</v>
      </c>
      <c r="H514">
        <v>0</v>
      </c>
      <c r="I514" t="s">
        <v>801</v>
      </c>
    </row>
    <row r="515" spans="1:9" hidden="1" x14ac:dyDescent="0.2">
      <c r="A515" t="s">
        <v>205</v>
      </c>
      <c r="B515" t="s">
        <v>810</v>
      </c>
      <c r="C515">
        <v>0</v>
      </c>
      <c r="E515">
        <v>1.233424724539774E-5</v>
      </c>
      <c r="F515">
        <v>0</v>
      </c>
      <c r="G515">
        <v>0</v>
      </c>
      <c r="H515">
        <v>0</v>
      </c>
      <c r="I515" t="s">
        <v>801</v>
      </c>
    </row>
    <row r="516" spans="1:9" hidden="1" x14ac:dyDescent="0.2">
      <c r="A516" t="s">
        <v>205</v>
      </c>
      <c r="B516" t="s">
        <v>822</v>
      </c>
      <c r="C516">
        <v>0</v>
      </c>
      <c r="E516">
        <v>0</v>
      </c>
      <c r="F516">
        <v>0</v>
      </c>
      <c r="G516">
        <v>0</v>
      </c>
      <c r="H516">
        <v>0</v>
      </c>
      <c r="I516" t="s">
        <v>801</v>
      </c>
    </row>
    <row r="517" spans="1:9" hidden="1" x14ac:dyDescent="0.2">
      <c r="A517" t="s">
        <v>206</v>
      </c>
      <c r="B517" t="s">
        <v>814</v>
      </c>
      <c r="C517">
        <v>0</v>
      </c>
      <c r="I517" t="s">
        <v>801</v>
      </c>
    </row>
    <row r="518" spans="1:9" hidden="1" x14ac:dyDescent="0.2">
      <c r="A518" t="s">
        <v>206</v>
      </c>
      <c r="B518" t="s">
        <v>821</v>
      </c>
      <c r="C518">
        <v>0</v>
      </c>
      <c r="I518" t="s">
        <v>801</v>
      </c>
    </row>
    <row r="519" spans="1:9" hidden="1" x14ac:dyDescent="0.2">
      <c r="A519" t="s">
        <v>207</v>
      </c>
      <c r="B519" t="s">
        <v>824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 t="s">
        <v>789</v>
      </c>
    </row>
    <row r="520" spans="1:9" hidden="1" x14ac:dyDescent="0.2">
      <c r="A520" t="s">
        <v>207</v>
      </c>
      <c r="B520" t="s">
        <v>812</v>
      </c>
      <c r="C520">
        <v>0</v>
      </c>
      <c r="D520">
        <v>5.7459682461990125E-4</v>
      </c>
      <c r="E520">
        <v>0</v>
      </c>
      <c r="F520">
        <v>0</v>
      </c>
      <c r="G520">
        <v>0</v>
      </c>
      <c r="H520">
        <v>0</v>
      </c>
      <c r="I520" t="s">
        <v>789</v>
      </c>
    </row>
    <row r="521" spans="1:9" hidden="1" x14ac:dyDescent="0.2">
      <c r="A521" t="s">
        <v>208</v>
      </c>
      <c r="B521" t="s">
        <v>814</v>
      </c>
      <c r="C521">
        <v>0</v>
      </c>
      <c r="I521" t="s">
        <v>789</v>
      </c>
    </row>
    <row r="522" spans="1:9" hidden="1" x14ac:dyDescent="0.2">
      <c r="A522" t="s">
        <v>208</v>
      </c>
      <c r="B522" t="s">
        <v>815</v>
      </c>
      <c r="C522">
        <v>0</v>
      </c>
      <c r="I522" t="s">
        <v>789</v>
      </c>
    </row>
    <row r="523" spans="1:9" hidden="1" x14ac:dyDescent="0.2">
      <c r="A523" t="s">
        <v>208</v>
      </c>
      <c r="B523" t="s">
        <v>810</v>
      </c>
      <c r="C523">
        <v>0</v>
      </c>
      <c r="I523" t="s">
        <v>789</v>
      </c>
    </row>
    <row r="524" spans="1:9" hidden="1" x14ac:dyDescent="0.2">
      <c r="A524" t="s">
        <v>208</v>
      </c>
      <c r="B524" t="s">
        <v>822</v>
      </c>
      <c r="C524">
        <v>0</v>
      </c>
      <c r="I524" t="s">
        <v>789</v>
      </c>
    </row>
    <row r="525" spans="1:9" hidden="1" x14ac:dyDescent="0.2">
      <c r="A525" t="s">
        <v>209</v>
      </c>
      <c r="B525" t="s">
        <v>816</v>
      </c>
      <c r="C525">
        <v>0</v>
      </c>
      <c r="I525" t="s">
        <v>789</v>
      </c>
    </row>
    <row r="526" spans="1:9" hidden="1" x14ac:dyDescent="0.2">
      <c r="A526" t="s">
        <v>209</v>
      </c>
      <c r="B526" t="s">
        <v>815</v>
      </c>
      <c r="C526">
        <v>0</v>
      </c>
      <c r="I526" t="s">
        <v>789</v>
      </c>
    </row>
    <row r="527" spans="1:9" hidden="1" x14ac:dyDescent="0.2">
      <c r="A527" t="s">
        <v>209</v>
      </c>
      <c r="B527" t="s">
        <v>810</v>
      </c>
      <c r="C527">
        <v>0</v>
      </c>
      <c r="I527" t="s">
        <v>789</v>
      </c>
    </row>
    <row r="528" spans="1:9" hidden="1" x14ac:dyDescent="0.2">
      <c r="A528" t="s">
        <v>209</v>
      </c>
      <c r="B528" t="s">
        <v>822</v>
      </c>
      <c r="C528">
        <v>0</v>
      </c>
      <c r="I528" t="s">
        <v>789</v>
      </c>
    </row>
    <row r="529" spans="1:9" hidden="1" x14ac:dyDescent="0.2">
      <c r="A529" t="s">
        <v>210</v>
      </c>
      <c r="B529" t="s">
        <v>814</v>
      </c>
      <c r="C529">
        <v>0</v>
      </c>
      <c r="I529" t="s">
        <v>789</v>
      </c>
    </row>
    <row r="530" spans="1:9" hidden="1" x14ac:dyDescent="0.2">
      <c r="A530" t="s">
        <v>210</v>
      </c>
      <c r="B530" t="s">
        <v>810</v>
      </c>
      <c r="C530">
        <v>0</v>
      </c>
      <c r="I530" t="s">
        <v>789</v>
      </c>
    </row>
    <row r="531" spans="1:9" hidden="1" x14ac:dyDescent="0.2">
      <c r="A531" t="s">
        <v>210</v>
      </c>
      <c r="B531" t="s">
        <v>822</v>
      </c>
      <c r="C531">
        <v>0</v>
      </c>
      <c r="I531" t="s">
        <v>789</v>
      </c>
    </row>
    <row r="532" spans="1:9" hidden="1" x14ac:dyDescent="0.2">
      <c r="A532" t="s">
        <v>211</v>
      </c>
      <c r="B532" t="s">
        <v>814</v>
      </c>
      <c r="C532">
        <v>0</v>
      </c>
      <c r="I532" t="s">
        <v>789</v>
      </c>
    </row>
    <row r="533" spans="1:9" hidden="1" x14ac:dyDescent="0.2">
      <c r="A533" t="s">
        <v>211</v>
      </c>
      <c r="B533" t="s">
        <v>825</v>
      </c>
      <c r="C533">
        <v>0</v>
      </c>
      <c r="I533" t="s">
        <v>789</v>
      </c>
    </row>
    <row r="534" spans="1:9" hidden="1" x14ac:dyDescent="0.2">
      <c r="A534" t="s">
        <v>212</v>
      </c>
      <c r="B534" t="s">
        <v>814</v>
      </c>
      <c r="C534">
        <v>0</v>
      </c>
      <c r="D534">
        <v>2.1814341439509871E-4</v>
      </c>
      <c r="E534">
        <v>0</v>
      </c>
      <c r="F534">
        <v>0</v>
      </c>
      <c r="G534">
        <v>0</v>
      </c>
      <c r="I534" t="s">
        <v>789</v>
      </c>
    </row>
    <row r="535" spans="1:9" hidden="1" x14ac:dyDescent="0.2">
      <c r="A535" t="s">
        <v>212</v>
      </c>
      <c r="B535" t="s">
        <v>822</v>
      </c>
      <c r="C535">
        <v>0</v>
      </c>
      <c r="D535">
        <v>0</v>
      </c>
      <c r="E535">
        <v>0</v>
      </c>
      <c r="F535">
        <v>0</v>
      </c>
      <c r="G535">
        <v>0</v>
      </c>
      <c r="I535" t="s">
        <v>789</v>
      </c>
    </row>
    <row r="536" spans="1:9" hidden="1" x14ac:dyDescent="0.2">
      <c r="A536" t="s">
        <v>213</v>
      </c>
      <c r="B536" t="s">
        <v>822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 t="s">
        <v>798</v>
      </c>
    </row>
    <row r="537" spans="1:9" hidden="1" x14ac:dyDescent="0.2">
      <c r="A537" t="s">
        <v>213</v>
      </c>
      <c r="B537" t="s">
        <v>812</v>
      </c>
      <c r="C537">
        <v>0</v>
      </c>
      <c r="D537">
        <v>3.7456392414871281E-4</v>
      </c>
      <c r="E537">
        <v>0</v>
      </c>
      <c r="F537">
        <v>0</v>
      </c>
      <c r="G537">
        <v>0</v>
      </c>
      <c r="H537">
        <v>0</v>
      </c>
      <c r="I537" t="s">
        <v>798</v>
      </c>
    </row>
    <row r="538" spans="1:9" hidden="1" x14ac:dyDescent="0.2">
      <c r="A538" t="s">
        <v>214</v>
      </c>
      <c r="B538" t="s">
        <v>814</v>
      </c>
      <c r="C538">
        <v>0</v>
      </c>
      <c r="I538" t="s">
        <v>798</v>
      </c>
    </row>
    <row r="539" spans="1:9" hidden="1" x14ac:dyDescent="0.2">
      <c r="A539" t="s">
        <v>214</v>
      </c>
      <c r="B539" t="s">
        <v>815</v>
      </c>
      <c r="C539">
        <v>0</v>
      </c>
      <c r="I539" t="s">
        <v>798</v>
      </c>
    </row>
    <row r="540" spans="1:9" hidden="1" x14ac:dyDescent="0.2">
      <c r="A540" t="s">
        <v>214</v>
      </c>
      <c r="B540" t="s">
        <v>810</v>
      </c>
      <c r="C540">
        <v>0</v>
      </c>
      <c r="I540" t="s">
        <v>798</v>
      </c>
    </row>
    <row r="541" spans="1:9" hidden="1" x14ac:dyDescent="0.2">
      <c r="A541" t="s">
        <v>214</v>
      </c>
      <c r="B541" t="s">
        <v>822</v>
      </c>
      <c r="C541">
        <v>0</v>
      </c>
      <c r="I541" t="s">
        <v>798</v>
      </c>
    </row>
    <row r="542" spans="1:9" hidden="1" x14ac:dyDescent="0.2">
      <c r="A542" t="s">
        <v>215</v>
      </c>
      <c r="B542" t="s">
        <v>816</v>
      </c>
      <c r="C542">
        <v>0</v>
      </c>
      <c r="I542" t="s">
        <v>798</v>
      </c>
    </row>
    <row r="543" spans="1:9" hidden="1" x14ac:dyDescent="0.2">
      <c r="A543" t="s">
        <v>215</v>
      </c>
      <c r="B543" t="s">
        <v>815</v>
      </c>
      <c r="C543">
        <v>0</v>
      </c>
      <c r="I543" t="s">
        <v>798</v>
      </c>
    </row>
    <row r="544" spans="1:9" hidden="1" x14ac:dyDescent="0.2">
      <c r="A544" t="s">
        <v>215</v>
      </c>
      <c r="B544" t="s">
        <v>810</v>
      </c>
      <c r="C544">
        <v>0</v>
      </c>
      <c r="I544" t="s">
        <v>798</v>
      </c>
    </row>
    <row r="545" spans="1:9" hidden="1" x14ac:dyDescent="0.2">
      <c r="A545" t="s">
        <v>215</v>
      </c>
      <c r="B545" t="s">
        <v>822</v>
      </c>
      <c r="C545">
        <v>0</v>
      </c>
      <c r="I545" t="s">
        <v>798</v>
      </c>
    </row>
    <row r="546" spans="1:9" hidden="1" x14ac:dyDescent="0.2">
      <c r="A546" t="s">
        <v>216</v>
      </c>
      <c r="B546" t="s">
        <v>814</v>
      </c>
      <c r="I546" t="s">
        <v>798</v>
      </c>
    </row>
    <row r="547" spans="1:9" hidden="1" x14ac:dyDescent="0.2">
      <c r="A547" t="s">
        <v>216</v>
      </c>
      <c r="B547" t="s">
        <v>825</v>
      </c>
      <c r="I547" t="s">
        <v>798</v>
      </c>
    </row>
    <row r="548" spans="1:9" hidden="1" x14ac:dyDescent="0.2">
      <c r="A548" t="s">
        <v>217</v>
      </c>
      <c r="B548" t="s">
        <v>814</v>
      </c>
      <c r="C548">
        <v>0</v>
      </c>
      <c r="D548">
        <v>1.3622911389875899E-3</v>
      </c>
      <c r="E548">
        <v>0</v>
      </c>
      <c r="F548">
        <v>0</v>
      </c>
      <c r="G548">
        <v>0</v>
      </c>
      <c r="H548">
        <v>0</v>
      </c>
      <c r="I548" t="s">
        <v>798</v>
      </c>
    </row>
    <row r="549" spans="1:9" hidden="1" x14ac:dyDescent="0.2">
      <c r="A549" t="s">
        <v>217</v>
      </c>
      <c r="B549" t="s">
        <v>822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 t="s">
        <v>798</v>
      </c>
    </row>
    <row r="550" spans="1:9" hidden="1" x14ac:dyDescent="0.2">
      <c r="A550" t="s">
        <v>218</v>
      </c>
      <c r="B550" t="s">
        <v>814</v>
      </c>
      <c r="C550">
        <v>0</v>
      </c>
      <c r="I550" t="s">
        <v>801</v>
      </c>
    </row>
    <row r="551" spans="1:9" hidden="1" x14ac:dyDescent="0.2">
      <c r="A551" t="s">
        <v>218</v>
      </c>
      <c r="B551" t="s">
        <v>810</v>
      </c>
      <c r="C551">
        <v>0</v>
      </c>
      <c r="I551" t="s">
        <v>801</v>
      </c>
    </row>
    <row r="552" spans="1:9" hidden="1" x14ac:dyDescent="0.2">
      <c r="A552" t="s">
        <v>218</v>
      </c>
      <c r="B552" t="s">
        <v>822</v>
      </c>
      <c r="C552">
        <v>0</v>
      </c>
      <c r="I552" t="s">
        <v>801</v>
      </c>
    </row>
    <row r="553" spans="1:9" hidden="1" x14ac:dyDescent="0.2">
      <c r="A553" t="s">
        <v>219</v>
      </c>
      <c r="B553" t="s">
        <v>814</v>
      </c>
      <c r="C553">
        <v>0</v>
      </c>
      <c r="I553" t="s">
        <v>798</v>
      </c>
    </row>
    <row r="554" spans="1:9" hidden="1" x14ac:dyDescent="0.2">
      <c r="A554" t="s">
        <v>219</v>
      </c>
      <c r="B554" t="s">
        <v>810</v>
      </c>
      <c r="C554">
        <v>0</v>
      </c>
      <c r="I554" t="s">
        <v>798</v>
      </c>
    </row>
    <row r="555" spans="1:9" hidden="1" x14ac:dyDescent="0.2">
      <c r="A555" t="s">
        <v>219</v>
      </c>
      <c r="B555" t="s">
        <v>822</v>
      </c>
      <c r="C555">
        <v>0</v>
      </c>
      <c r="I555" t="s">
        <v>798</v>
      </c>
    </row>
    <row r="556" spans="1:9" hidden="1" x14ac:dyDescent="0.2">
      <c r="A556" t="s">
        <v>219</v>
      </c>
      <c r="B556" t="s">
        <v>811</v>
      </c>
      <c r="C556">
        <v>0</v>
      </c>
      <c r="I556" t="s">
        <v>798</v>
      </c>
    </row>
    <row r="557" spans="1:9" x14ac:dyDescent="0.2">
      <c r="A557" t="s">
        <v>220</v>
      </c>
      <c r="B557" t="s">
        <v>810</v>
      </c>
      <c r="C557">
        <v>265.54062213002737</v>
      </c>
      <c r="D557">
        <v>0</v>
      </c>
      <c r="E557">
        <v>0</v>
      </c>
      <c r="F557">
        <v>0</v>
      </c>
      <c r="G557">
        <v>0</v>
      </c>
      <c r="H557">
        <v>0</v>
      </c>
      <c r="I557" t="s">
        <v>794</v>
      </c>
    </row>
    <row r="558" spans="1:9" x14ac:dyDescent="0.2">
      <c r="A558" t="s">
        <v>221</v>
      </c>
      <c r="B558" t="s">
        <v>810</v>
      </c>
      <c r="I558" t="s">
        <v>794</v>
      </c>
    </row>
    <row r="559" spans="1:9" x14ac:dyDescent="0.2">
      <c r="A559" t="s">
        <v>221</v>
      </c>
      <c r="B559" t="s">
        <v>817</v>
      </c>
      <c r="I559" t="s">
        <v>794</v>
      </c>
    </row>
    <row r="560" spans="1:9" x14ac:dyDescent="0.2">
      <c r="A560" t="s">
        <v>222</v>
      </c>
      <c r="B560" t="s">
        <v>815</v>
      </c>
      <c r="I560" t="s">
        <v>794</v>
      </c>
    </row>
    <row r="561" spans="1:9" x14ac:dyDescent="0.2">
      <c r="A561" t="s">
        <v>222</v>
      </c>
      <c r="B561" t="s">
        <v>810</v>
      </c>
      <c r="I561" t="s">
        <v>794</v>
      </c>
    </row>
    <row r="562" spans="1:9" x14ac:dyDescent="0.2">
      <c r="A562" t="s">
        <v>222</v>
      </c>
      <c r="B562" t="s">
        <v>817</v>
      </c>
      <c r="I562" t="s">
        <v>794</v>
      </c>
    </row>
    <row r="563" spans="1:9" x14ac:dyDescent="0.2">
      <c r="A563" t="s">
        <v>223</v>
      </c>
      <c r="B563" t="s">
        <v>810</v>
      </c>
      <c r="C563">
        <v>870.4569634861715</v>
      </c>
      <c r="D563">
        <v>0</v>
      </c>
      <c r="E563">
        <v>0</v>
      </c>
      <c r="F563">
        <v>0</v>
      </c>
      <c r="G563">
        <v>0</v>
      </c>
      <c r="H563">
        <v>0</v>
      </c>
      <c r="I563" t="s">
        <v>794</v>
      </c>
    </row>
    <row r="564" spans="1:9" hidden="1" x14ac:dyDescent="0.2">
      <c r="A564" t="s">
        <v>224</v>
      </c>
      <c r="B564" t="s">
        <v>810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 t="s">
        <v>795</v>
      </c>
    </row>
    <row r="565" spans="1:9" hidden="1" x14ac:dyDescent="0.2">
      <c r="A565" t="s">
        <v>224</v>
      </c>
      <c r="B565" t="s">
        <v>813</v>
      </c>
      <c r="C565">
        <v>0</v>
      </c>
      <c r="D565">
        <v>4.9961816225639838E-4</v>
      </c>
      <c r="E565">
        <v>0</v>
      </c>
      <c r="F565">
        <v>36.964193489215937</v>
      </c>
      <c r="G565">
        <v>0</v>
      </c>
      <c r="H565">
        <v>0</v>
      </c>
      <c r="I565" t="s">
        <v>795</v>
      </c>
    </row>
    <row r="566" spans="1:9" hidden="1" x14ac:dyDescent="0.2">
      <c r="A566" t="s">
        <v>225</v>
      </c>
      <c r="B566" t="s">
        <v>810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 t="s">
        <v>790</v>
      </c>
    </row>
    <row r="567" spans="1:9" hidden="1" x14ac:dyDescent="0.2">
      <c r="A567" t="s">
        <v>225</v>
      </c>
      <c r="B567" t="s">
        <v>813</v>
      </c>
      <c r="C567">
        <v>0</v>
      </c>
      <c r="D567">
        <v>1.2294887835810199E-4</v>
      </c>
      <c r="E567">
        <v>0</v>
      </c>
      <c r="F567">
        <v>0</v>
      </c>
      <c r="G567">
        <v>0</v>
      </c>
      <c r="H567">
        <v>0</v>
      </c>
      <c r="I567" t="s">
        <v>790</v>
      </c>
    </row>
    <row r="568" spans="1:9" hidden="1" x14ac:dyDescent="0.2">
      <c r="A568" t="s">
        <v>226</v>
      </c>
      <c r="B568" t="s">
        <v>810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 t="s">
        <v>795</v>
      </c>
    </row>
    <row r="569" spans="1:9" hidden="1" x14ac:dyDescent="0.2">
      <c r="A569" t="s">
        <v>226</v>
      </c>
      <c r="B569" t="s">
        <v>813</v>
      </c>
      <c r="C569">
        <v>3037.4509841239451</v>
      </c>
      <c r="D569">
        <v>0</v>
      </c>
      <c r="E569">
        <v>0</v>
      </c>
      <c r="F569">
        <v>0</v>
      </c>
      <c r="G569">
        <v>0</v>
      </c>
      <c r="H569">
        <v>0</v>
      </c>
      <c r="I569" t="s">
        <v>795</v>
      </c>
    </row>
    <row r="570" spans="1:9" x14ac:dyDescent="0.2">
      <c r="A570" t="s">
        <v>227</v>
      </c>
      <c r="B570" t="s">
        <v>810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 t="s">
        <v>794</v>
      </c>
    </row>
    <row r="571" spans="1:9" x14ac:dyDescent="0.2">
      <c r="A571" t="s">
        <v>227</v>
      </c>
      <c r="B571" t="s">
        <v>813</v>
      </c>
      <c r="C571">
        <v>2249.0731433103279</v>
      </c>
      <c r="D571">
        <v>0</v>
      </c>
      <c r="E571">
        <v>0</v>
      </c>
      <c r="F571">
        <v>0</v>
      </c>
      <c r="G571">
        <v>0</v>
      </c>
      <c r="H571">
        <v>0</v>
      </c>
      <c r="I571" t="s">
        <v>794</v>
      </c>
    </row>
    <row r="572" spans="1:9" hidden="1" x14ac:dyDescent="0.2">
      <c r="A572" t="s">
        <v>228</v>
      </c>
      <c r="B572" t="s">
        <v>815</v>
      </c>
      <c r="D572">
        <v>0</v>
      </c>
      <c r="E572">
        <v>0</v>
      </c>
      <c r="F572">
        <v>0</v>
      </c>
      <c r="G572">
        <v>0</v>
      </c>
      <c r="H572">
        <v>0</v>
      </c>
      <c r="I572" t="s">
        <v>800</v>
      </c>
    </row>
    <row r="573" spans="1:9" hidden="1" x14ac:dyDescent="0.2">
      <c r="A573" t="s">
        <v>228</v>
      </c>
      <c r="B573" t="s">
        <v>810</v>
      </c>
      <c r="D573">
        <v>1.004956247623465</v>
      </c>
      <c r="E573">
        <v>1.433695248531373</v>
      </c>
      <c r="F573">
        <v>0</v>
      </c>
      <c r="G573">
        <v>0</v>
      </c>
      <c r="H573">
        <v>0</v>
      </c>
      <c r="I573" t="s">
        <v>800</v>
      </c>
    </row>
    <row r="574" spans="1:9" hidden="1" x14ac:dyDescent="0.2">
      <c r="A574" t="s">
        <v>229</v>
      </c>
      <c r="B574" t="s">
        <v>816</v>
      </c>
      <c r="I574" t="s">
        <v>798</v>
      </c>
    </row>
    <row r="575" spans="1:9" hidden="1" x14ac:dyDescent="0.2">
      <c r="A575" t="s">
        <v>229</v>
      </c>
      <c r="B575" t="s">
        <v>825</v>
      </c>
      <c r="I575" t="s">
        <v>798</v>
      </c>
    </row>
    <row r="576" spans="1:9" hidden="1" x14ac:dyDescent="0.2">
      <c r="A576" t="s">
        <v>230</v>
      </c>
      <c r="B576" t="s">
        <v>816</v>
      </c>
      <c r="C576">
        <v>0</v>
      </c>
      <c r="I576" t="s">
        <v>801</v>
      </c>
    </row>
    <row r="577" spans="1:9" hidden="1" x14ac:dyDescent="0.2">
      <c r="A577" t="s">
        <v>230</v>
      </c>
      <c r="B577" t="s">
        <v>825</v>
      </c>
      <c r="C577">
        <v>0</v>
      </c>
      <c r="I577" t="s">
        <v>801</v>
      </c>
    </row>
    <row r="578" spans="1:9" hidden="1" x14ac:dyDescent="0.2">
      <c r="A578" t="s">
        <v>231</v>
      </c>
      <c r="B578" t="s">
        <v>816</v>
      </c>
      <c r="C578">
        <v>0</v>
      </c>
      <c r="I578" t="s">
        <v>789</v>
      </c>
    </row>
    <row r="579" spans="1:9" hidden="1" x14ac:dyDescent="0.2">
      <c r="A579" t="s">
        <v>231</v>
      </c>
      <c r="B579" t="s">
        <v>825</v>
      </c>
      <c r="C579">
        <v>0</v>
      </c>
      <c r="I579" t="s">
        <v>789</v>
      </c>
    </row>
    <row r="580" spans="1:9" hidden="1" x14ac:dyDescent="0.2">
      <c r="A580" t="s">
        <v>232</v>
      </c>
      <c r="B580" t="s">
        <v>812</v>
      </c>
      <c r="D580">
        <v>0</v>
      </c>
      <c r="F580">
        <v>0</v>
      </c>
      <c r="G580">
        <v>0</v>
      </c>
      <c r="H580">
        <v>0</v>
      </c>
      <c r="I580" t="s">
        <v>796</v>
      </c>
    </row>
    <row r="581" spans="1:9" hidden="1" x14ac:dyDescent="0.2">
      <c r="A581" t="s">
        <v>233</v>
      </c>
      <c r="B581" t="s">
        <v>812</v>
      </c>
      <c r="C581">
        <v>0</v>
      </c>
      <c r="D581">
        <v>0</v>
      </c>
      <c r="E581">
        <v>0</v>
      </c>
      <c r="F581">
        <v>0</v>
      </c>
      <c r="I581" t="s">
        <v>796</v>
      </c>
    </row>
    <row r="582" spans="1:9" hidden="1" x14ac:dyDescent="0.2">
      <c r="A582" t="s">
        <v>234</v>
      </c>
      <c r="B582" t="s">
        <v>812</v>
      </c>
      <c r="C582">
        <v>1.5535983179870929E-13</v>
      </c>
      <c r="E582">
        <v>0</v>
      </c>
      <c r="F582">
        <v>0</v>
      </c>
      <c r="G582">
        <v>0</v>
      </c>
      <c r="I582" t="s">
        <v>796</v>
      </c>
    </row>
    <row r="583" spans="1:9" hidden="1" x14ac:dyDescent="0.2">
      <c r="A583" t="s">
        <v>235</v>
      </c>
      <c r="B583" t="s">
        <v>812</v>
      </c>
      <c r="C583">
        <v>5.0419982301907096E-4</v>
      </c>
      <c r="D583">
        <v>0</v>
      </c>
      <c r="F583">
        <v>0</v>
      </c>
      <c r="G583">
        <v>0</v>
      </c>
      <c r="I583" t="s">
        <v>796</v>
      </c>
    </row>
    <row r="584" spans="1:9" hidden="1" x14ac:dyDescent="0.2">
      <c r="A584" t="s">
        <v>236</v>
      </c>
      <c r="B584" t="s">
        <v>812</v>
      </c>
      <c r="C584">
        <v>0</v>
      </c>
      <c r="E584">
        <v>0</v>
      </c>
      <c r="F584">
        <v>0</v>
      </c>
      <c r="I584" t="s">
        <v>796</v>
      </c>
    </row>
    <row r="585" spans="1:9" hidden="1" x14ac:dyDescent="0.2">
      <c r="A585" t="s">
        <v>237</v>
      </c>
      <c r="B585" t="s">
        <v>810</v>
      </c>
      <c r="C585">
        <v>0</v>
      </c>
      <c r="D585">
        <v>0</v>
      </c>
      <c r="F585">
        <v>0</v>
      </c>
      <c r="G585">
        <v>0</v>
      </c>
      <c r="H585">
        <v>0</v>
      </c>
      <c r="I585" t="s">
        <v>796</v>
      </c>
    </row>
    <row r="586" spans="1:9" hidden="1" x14ac:dyDescent="0.2">
      <c r="A586" t="s">
        <v>238</v>
      </c>
      <c r="B586" t="s">
        <v>810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 t="s">
        <v>796</v>
      </c>
    </row>
    <row r="587" spans="1:9" hidden="1" x14ac:dyDescent="0.2">
      <c r="A587" t="s">
        <v>239</v>
      </c>
      <c r="B587" t="s">
        <v>810</v>
      </c>
      <c r="G587">
        <v>0</v>
      </c>
      <c r="I587" t="s">
        <v>796</v>
      </c>
    </row>
    <row r="588" spans="1:9" hidden="1" x14ac:dyDescent="0.2">
      <c r="A588" t="s">
        <v>240</v>
      </c>
      <c r="B588" t="s">
        <v>810</v>
      </c>
      <c r="C588">
        <v>0</v>
      </c>
      <c r="H588">
        <v>0</v>
      </c>
      <c r="I588" t="s">
        <v>796</v>
      </c>
    </row>
    <row r="589" spans="1:9" hidden="1" x14ac:dyDescent="0.2">
      <c r="A589" t="s">
        <v>241</v>
      </c>
      <c r="B589" t="s">
        <v>810</v>
      </c>
      <c r="C589">
        <v>0</v>
      </c>
      <c r="F589">
        <v>0</v>
      </c>
      <c r="G589">
        <v>0</v>
      </c>
      <c r="H589">
        <v>0</v>
      </c>
      <c r="I589" t="s">
        <v>796</v>
      </c>
    </row>
    <row r="590" spans="1:9" hidden="1" x14ac:dyDescent="0.2">
      <c r="A590" t="s">
        <v>242</v>
      </c>
      <c r="B590" t="s">
        <v>810</v>
      </c>
      <c r="C590">
        <v>0</v>
      </c>
      <c r="D590">
        <v>0</v>
      </c>
      <c r="F590">
        <v>0</v>
      </c>
      <c r="G590">
        <v>0</v>
      </c>
      <c r="H590">
        <v>0</v>
      </c>
      <c r="I590" t="s">
        <v>796</v>
      </c>
    </row>
    <row r="591" spans="1:9" x14ac:dyDescent="0.2">
      <c r="A591" t="s">
        <v>243</v>
      </c>
      <c r="B591" t="s">
        <v>810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 t="s">
        <v>794</v>
      </c>
    </row>
    <row r="592" spans="1:9" x14ac:dyDescent="0.2">
      <c r="A592" t="s">
        <v>243</v>
      </c>
      <c r="B592" t="s">
        <v>812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 t="s">
        <v>794</v>
      </c>
    </row>
    <row r="593" spans="1:9" hidden="1" x14ac:dyDescent="0.2">
      <c r="A593" t="s">
        <v>244</v>
      </c>
      <c r="B593" t="s">
        <v>843</v>
      </c>
      <c r="C593">
        <v>0</v>
      </c>
      <c r="D593">
        <v>0</v>
      </c>
      <c r="I593" t="s">
        <v>796</v>
      </c>
    </row>
    <row r="594" spans="1:9" hidden="1" x14ac:dyDescent="0.2">
      <c r="A594" t="s">
        <v>244</v>
      </c>
      <c r="B594" t="s">
        <v>844</v>
      </c>
      <c r="C594">
        <v>0</v>
      </c>
      <c r="D594">
        <v>5.4165094301955947E-5</v>
      </c>
      <c r="I594" t="s">
        <v>796</v>
      </c>
    </row>
    <row r="595" spans="1:9" hidden="1" x14ac:dyDescent="0.2">
      <c r="A595" t="s">
        <v>244</v>
      </c>
      <c r="B595" t="s">
        <v>845</v>
      </c>
      <c r="C595">
        <v>0</v>
      </c>
      <c r="D595">
        <v>0</v>
      </c>
      <c r="I595" t="s">
        <v>796</v>
      </c>
    </row>
    <row r="596" spans="1:9" hidden="1" x14ac:dyDescent="0.2">
      <c r="A596" t="s">
        <v>244</v>
      </c>
      <c r="B596" t="s">
        <v>846</v>
      </c>
      <c r="C596">
        <v>0</v>
      </c>
      <c r="D596">
        <v>0</v>
      </c>
      <c r="I596" t="s">
        <v>796</v>
      </c>
    </row>
    <row r="597" spans="1:9" hidden="1" x14ac:dyDescent="0.2">
      <c r="A597" t="s">
        <v>245</v>
      </c>
      <c r="B597" t="s">
        <v>815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 t="s">
        <v>797</v>
      </c>
    </row>
    <row r="598" spans="1:9" hidden="1" x14ac:dyDescent="0.2">
      <c r="A598" t="s">
        <v>245</v>
      </c>
      <c r="B598" t="s">
        <v>810</v>
      </c>
      <c r="C598">
        <v>0</v>
      </c>
      <c r="D598">
        <v>8.8479198324925608E-7</v>
      </c>
      <c r="E598">
        <v>0</v>
      </c>
      <c r="F598">
        <v>0</v>
      </c>
      <c r="G598">
        <v>0</v>
      </c>
      <c r="H598">
        <v>9.052617284188343E-7</v>
      </c>
      <c r="I598" t="s">
        <v>797</v>
      </c>
    </row>
    <row r="599" spans="1:9" hidden="1" x14ac:dyDescent="0.2">
      <c r="A599" t="s">
        <v>245</v>
      </c>
      <c r="B599" t="s">
        <v>811</v>
      </c>
      <c r="C599">
        <v>0</v>
      </c>
      <c r="D599">
        <v>3.96593876222653E-5</v>
      </c>
      <c r="E599">
        <v>4.6430553680410969E-5</v>
      </c>
      <c r="F599">
        <v>0</v>
      </c>
      <c r="G599">
        <v>0</v>
      </c>
      <c r="H599">
        <v>2.933053859458692E-6</v>
      </c>
      <c r="I599" t="s">
        <v>797</v>
      </c>
    </row>
    <row r="600" spans="1:9" hidden="1" x14ac:dyDescent="0.2">
      <c r="A600" t="s">
        <v>246</v>
      </c>
      <c r="B600" t="s">
        <v>859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 t="s">
        <v>797</v>
      </c>
    </row>
    <row r="601" spans="1:9" hidden="1" x14ac:dyDescent="0.2">
      <c r="A601" t="s">
        <v>247</v>
      </c>
      <c r="B601" t="s">
        <v>816</v>
      </c>
      <c r="C601">
        <v>0</v>
      </c>
      <c r="I601" t="s">
        <v>801</v>
      </c>
    </row>
    <row r="602" spans="1:9" hidden="1" x14ac:dyDescent="0.2">
      <c r="A602" t="s">
        <v>247</v>
      </c>
      <c r="B602" t="s">
        <v>836</v>
      </c>
      <c r="C602">
        <v>0</v>
      </c>
      <c r="I602" t="s">
        <v>801</v>
      </c>
    </row>
    <row r="603" spans="1:9" hidden="1" x14ac:dyDescent="0.2">
      <c r="A603" t="s">
        <v>248</v>
      </c>
      <c r="B603" t="s">
        <v>816</v>
      </c>
      <c r="C603">
        <v>0</v>
      </c>
      <c r="I603" t="s">
        <v>789</v>
      </c>
    </row>
    <row r="604" spans="1:9" hidden="1" x14ac:dyDescent="0.2">
      <c r="A604" t="s">
        <v>248</v>
      </c>
      <c r="B604" t="s">
        <v>836</v>
      </c>
      <c r="C604">
        <v>0</v>
      </c>
      <c r="I604" t="s">
        <v>789</v>
      </c>
    </row>
    <row r="605" spans="1:9" hidden="1" x14ac:dyDescent="0.2">
      <c r="A605" t="s">
        <v>249</v>
      </c>
      <c r="B605" t="s">
        <v>816</v>
      </c>
      <c r="C605">
        <v>0</v>
      </c>
      <c r="I605" t="s">
        <v>791</v>
      </c>
    </row>
    <row r="606" spans="1:9" hidden="1" x14ac:dyDescent="0.2">
      <c r="A606" t="s">
        <v>249</v>
      </c>
      <c r="B606" t="s">
        <v>836</v>
      </c>
      <c r="C606">
        <v>0</v>
      </c>
      <c r="I606" t="s">
        <v>791</v>
      </c>
    </row>
    <row r="607" spans="1:9" hidden="1" x14ac:dyDescent="0.2">
      <c r="A607" s="89" t="s">
        <v>250</v>
      </c>
      <c r="B607" t="s">
        <v>815</v>
      </c>
      <c r="C607">
        <v>0</v>
      </c>
      <c r="I607" t="s">
        <v>792</v>
      </c>
    </row>
    <row r="608" spans="1:9" hidden="1" x14ac:dyDescent="0.2">
      <c r="A608" s="89" t="s">
        <v>250</v>
      </c>
      <c r="B608" t="s">
        <v>810</v>
      </c>
      <c r="C608">
        <v>0</v>
      </c>
      <c r="I608" t="s">
        <v>792</v>
      </c>
    </row>
    <row r="609" spans="1:9" hidden="1" x14ac:dyDescent="0.2">
      <c r="A609" s="89" t="s">
        <v>250</v>
      </c>
      <c r="B609" t="s">
        <v>839</v>
      </c>
      <c r="C609">
        <v>0</v>
      </c>
      <c r="I609" t="s">
        <v>792</v>
      </c>
    </row>
    <row r="610" spans="1:9" hidden="1" x14ac:dyDescent="0.2">
      <c r="A610" s="89" t="s">
        <v>250</v>
      </c>
      <c r="B610" t="s">
        <v>812</v>
      </c>
      <c r="C610">
        <v>0</v>
      </c>
      <c r="I610" t="s">
        <v>792</v>
      </c>
    </row>
    <row r="611" spans="1:9" hidden="1" x14ac:dyDescent="0.2">
      <c r="A611" t="s">
        <v>251</v>
      </c>
      <c r="B611" t="s">
        <v>823</v>
      </c>
      <c r="I611" t="s">
        <v>788</v>
      </c>
    </row>
    <row r="612" spans="1:9" hidden="1" x14ac:dyDescent="0.2">
      <c r="A612" t="s">
        <v>251</v>
      </c>
      <c r="B612" t="s">
        <v>815</v>
      </c>
      <c r="I612" t="s">
        <v>788</v>
      </c>
    </row>
    <row r="613" spans="1:9" hidden="1" x14ac:dyDescent="0.2">
      <c r="A613" t="s">
        <v>251</v>
      </c>
      <c r="B613" t="s">
        <v>810</v>
      </c>
      <c r="I613" t="s">
        <v>788</v>
      </c>
    </row>
    <row r="614" spans="1:9" hidden="1" x14ac:dyDescent="0.2">
      <c r="A614" t="s">
        <v>251</v>
      </c>
      <c r="B614" t="s">
        <v>811</v>
      </c>
      <c r="I614" t="s">
        <v>788</v>
      </c>
    </row>
    <row r="615" spans="1:9" hidden="1" x14ac:dyDescent="0.2">
      <c r="A615" t="s">
        <v>252</v>
      </c>
      <c r="B615" t="s">
        <v>814</v>
      </c>
      <c r="C615">
        <v>0</v>
      </c>
      <c r="D615">
        <v>1.2092126179958091E-5</v>
      </c>
      <c r="E615">
        <v>3.9312166114686519E-5</v>
      </c>
      <c r="F615">
        <v>0</v>
      </c>
      <c r="G615">
        <v>0</v>
      </c>
      <c r="H615">
        <v>4.0406197960866767E-5</v>
      </c>
      <c r="I615" t="s">
        <v>788</v>
      </c>
    </row>
    <row r="616" spans="1:9" hidden="1" x14ac:dyDescent="0.2">
      <c r="A616" t="s">
        <v>252</v>
      </c>
      <c r="B616" t="s">
        <v>815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 t="s">
        <v>788</v>
      </c>
    </row>
    <row r="617" spans="1:9" hidden="1" x14ac:dyDescent="0.2">
      <c r="A617" t="s">
        <v>252</v>
      </c>
      <c r="B617" t="s">
        <v>810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 t="s">
        <v>788</v>
      </c>
    </row>
    <row r="618" spans="1:9" hidden="1" x14ac:dyDescent="0.2">
      <c r="A618" t="s">
        <v>252</v>
      </c>
      <c r="B618" t="s">
        <v>822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 t="s">
        <v>788</v>
      </c>
    </row>
    <row r="619" spans="1:9" hidden="1" x14ac:dyDescent="0.2">
      <c r="A619" t="s">
        <v>253</v>
      </c>
      <c r="B619" t="s">
        <v>816</v>
      </c>
      <c r="C619">
        <v>0</v>
      </c>
      <c r="D619">
        <v>1.356643420077903E-4</v>
      </c>
      <c r="E619">
        <v>5.2731498712044108E-5</v>
      </c>
      <c r="F619">
        <v>0</v>
      </c>
      <c r="G619">
        <v>0</v>
      </c>
      <c r="H619">
        <v>0</v>
      </c>
      <c r="I619" t="s">
        <v>788</v>
      </c>
    </row>
    <row r="620" spans="1:9" hidden="1" x14ac:dyDescent="0.2">
      <c r="A620" t="s">
        <v>253</v>
      </c>
      <c r="B620" t="s">
        <v>815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 t="s">
        <v>788</v>
      </c>
    </row>
    <row r="621" spans="1:9" hidden="1" x14ac:dyDescent="0.2">
      <c r="A621" t="s">
        <v>253</v>
      </c>
      <c r="B621" t="s">
        <v>810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 t="s">
        <v>788</v>
      </c>
    </row>
    <row r="622" spans="1:9" hidden="1" x14ac:dyDescent="0.2">
      <c r="A622" t="s">
        <v>253</v>
      </c>
      <c r="B622" t="s">
        <v>822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 t="s">
        <v>788</v>
      </c>
    </row>
    <row r="623" spans="1:9" hidden="1" x14ac:dyDescent="0.2">
      <c r="A623" t="s">
        <v>254</v>
      </c>
      <c r="B623" t="s">
        <v>814</v>
      </c>
      <c r="C623">
        <v>0</v>
      </c>
      <c r="D623">
        <v>1.790325470445887E-5</v>
      </c>
      <c r="E623">
        <v>2.8561886206674672E-4</v>
      </c>
      <c r="F623">
        <v>0</v>
      </c>
      <c r="G623">
        <v>0</v>
      </c>
      <c r="H623">
        <v>0</v>
      </c>
      <c r="I623" t="s">
        <v>788</v>
      </c>
    </row>
    <row r="624" spans="1:9" hidden="1" x14ac:dyDescent="0.2">
      <c r="A624" t="s">
        <v>254</v>
      </c>
      <c r="B624" t="s">
        <v>815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 t="s">
        <v>788</v>
      </c>
    </row>
    <row r="625" spans="1:9" hidden="1" x14ac:dyDescent="0.2">
      <c r="A625" t="s">
        <v>254</v>
      </c>
      <c r="B625" t="s">
        <v>810</v>
      </c>
      <c r="C625">
        <v>0</v>
      </c>
      <c r="D625">
        <v>0</v>
      </c>
      <c r="E625">
        <v>1.3217078153348839E-5</v>
      </c>
      <c r="F625">
        <v>0</v>
      </c>
      <c r="G625">
        <v>0</v>
      </c>
      <c r="H625">
        <v>0</v>
      </c>
      <c r="I625" t="s">
        <v>788</v>
      </c>
    </row>
    <row r="626" spans="1:9" hidden="1" x14ac:dyDescent="0.2">
      <c r="A626" t="s">
        <v>254</v>
      </c>
      <c r="B626" t="s">
        <v>824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 t="s">
        <v>788</v>
      </c>
    </row>
    <row r="627" spans="1:9" hidden="1" x14ac:dyDescent="0.2">
      <c r="A627" t="s">
        <v>255</v>
      </c>
      <c r="B627" t="s">
        <v>815</v>
      </c>
      <c r="C627">
        <v>0</v>
      </c>
      <c r="I627" t="s">
        <v>788</v>
      </c>
    </row>
    <row r="628" spans="1:9" hidden="1" x14ac:dyDescent="0.2">
      <c r="A628" t="s">
        <v>255</v>
      </c>
      <c r="B628" t="s">
        <v>810</v>
      </c>
      <c r="C628">
        <v>0</v>
      </c>
      <c r="I628" t="s">
        <v>788</v>
      </c>
    </row>
    <row r="629" spans="1:9" hidden="1" x14ac:dyDescent="0.2">
      <c r="A629" t="s">
        <v>255</v>
      </c>
      <c r="B629" t="s">
        <v>824</v>
      </c>
      <c r="C629">
        <v>0</v>
      </c>
      <c r="I629" t="s">
        <v>788</v>
      </c>
    </row>
    <row r="630" spans="1:9" hidden="1" x14ac:dyDescent="0.2">
      <c r="A630" t="s">
        <v>255</v>
      </c>
      <c r="B630" t="s">
        <v>817</v>
      </c>
      <c r="C630">
        <v>0</v>
      </c>
      <c r="I630" t="s">
        <v>788</v>
      </c>
    </row>
    <row r="631" spans="1:9" hidden="1" x14ac:dyDescent="0.2">
      <c r="A631" t="s">
        <v>256</v>
      </c>
      <c r="B631" t="s">
        <v>816</v>
      </c>
      <c r="C631">
        <v>0</v>
      </c>
      <c r="D631">
        <v>4.8913733362275703E-5</v>
      </c>
      <c r="E631">
        <v>0.28228546743443661</v>
      </c>
      <c r="F631">
        <v>0</v>
      </c>
      <c r="G631">
        <v>0</v>
      </c>
      <c r="H631">
        <v>0</v>
      </c>
      <c r="I631" t="s">
        <v>788</v>
      </c>
    </row>
    <row r="632" spans="1:9" hidden="1" x14ac:dyDescent="0.2">
      <c r="A632" t="s">
        <v>256</v>
      </c>
      <c r="B632" t="s">
        <v>815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 t="s">
        <v>788</v>
      </c>
    </row>
    <row r="633" spans="1:9" hidden="1" x14ac:dyDescent="0.2">
      <c r="A633" t="s">
        <v>256</v>
      </c>
      <c r="B633" t="s">
        <v>810</v>
      </c>
      <c r="C633">
        <v>0</v>
      </c>
      <c r="D633">
        <v>2.0990098292955388E-6</v>
      </c>
      <c r="E633">
        <v>1.259621538590786E-2</v>
      </c>
      <c r="F633">
        <v>0</v>
      </c>
      <c r="G633">
        <v>0</v>
      </c>
      <c r="H633">
        <v>0</v>
      </c>
      <c r="I633" t="s">
        <v>788</v>
      </c>
    </row>
    <row r="634" spans="1:9" hidden="1" x14ac:dyDescent="0.2">
      <c r="A634" t="s">
        <v>256</v>
      </c>
      <c r="B634" t="s">
        <v>824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 t="s">
        <v>788</v>
      </c>
    </row>
    <row r="635" spans="1:9" hidden="1" x14ac:dyDescent="0.2">
      <c r="A635" t="s">
        <v>257</v>
      </c>
      <c r="B635" t="s">
        <v>814</v>
      </c>
      <c r="C635">
        <v>0</v>
      </c>
      <c r="D635">
        <v>1.8544512482867799E-5</v>
      </c>
      <c r="E635">
        <v>1.198502387109147E-4</v>
      </c>
      <c r="F635">
        <v>0</v>
      </c>
      <c r="G635">
        <v>0</v>
      </c>
      <c r="H635">
        <v>0</v>
      </c>
      <c r="I635" t="s">
        <v>788</v>
      </c>
    </row>
    <row r="636" spans="1:9" hidden="1" x14ac:dyDescent="0.2">
      <c r="A636" t="s">
        <v>257</v>
      </c>
      <c r="B636" t="s">
        <v>815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 t="s">
        <v>788</v>
      </c>
    </row>
    <row r="637" spans="1:9" hidden="1" x14ac:dyDescent="0.2">
      <c r="A637" t="s">
        <v>257</v>
      </c>
      <c r="B637" t="s">
        <v>810</v>
      </c>
      <c r="C637">
        <v>0</v>
      </c>
      <c r="D637">
        <v>0</v>
      </c>
      <c r="E637">
        <v>6.4227568363280443E-6</v>
      </c>
      <c r="F637">
        <v>0</v>
      </c>
      <c r="G637">
        <v>0</v>
      </c>
      <c r="H637">
        <v>0</v>
      </c>
      <c r="I637" t="s">
        <v>788</v>
      </c>
    </row>
    <row r="638" spans="1:9" hidden="1" x14ac:dyDescent="0.2">
      <c r="A638" t="s">
        <v>257</v>
      </c>
      <c r="B638" t="s">
        <v>822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 t="s">
        <v>788</v>
      </c>
    </row>
    <row r="639" spans="1:9" hidden="1" x14ac:dyDescent="0.2">
      <c r="A639" t="s">
        <v>258</v>
      </c>
      <c r="B639" t="s">
        <v>815</v>
      </c>
      <c r="C639">
        <v>0</v>
      </c>
      <c r="I639" t="s">
        <v>788</v>
      </c>
    </row>
    <row r="640" spans="1:9" hidden="1" x14ac:dyDescent="0.2">
      <c r="A640" t="s">
        <v>258</v>
      </c>
      <c r="B640" t="s">
        <v>810</v>
      </c>
      <c r="C640">
        <v>0</v>
      </c>
      <c r="I640" t="s">
        <v>788</v>
      </c>
    </row>
    <row r="641" spans="1:9" hidden="1" x14ac:dyDescent="0.2">
      <c r="A641" t="s">
        <v>258</v>
      </c>
      <c r="B641" t="s">
        <v>822</v>
      </c>
      <c r="C641">
        <v>0</v>
      </c>
      <c r="I641" t="s">
        <v>788</v>
      </c>
    </row>
    <row r="642" spans="1:9" hidden="1" x14ac:dyDescent="0.2">
      <c r="A642" t="s">
        <v>258</v>
      </c>
      <c r="B642" t="s">
        <v>817</v>
      </c>
      <c r="C642">
        <v>0</v>
      </c>
      <c r="I642" t="s">
        <v>788</v>
      </c>
    </row>
    <row r="643" spans="1:9" hidden="1" x14ac:dyDescent="0.2">
      <c r="A643" t="s">
        <v>259</v>
      </c>
      <c r="B643" t="s">
        <v>816</v>
      </c>
      <c r="C643">
        <v>0</v>
      </c>
      <c r="D643">
        <v>4.3479594971149227E-5</v>
      </c>
      <c r="E643">
        <v>6.8071704480060752E-2</v>
      </c>
      <c r="F643">
        <v>0</v>
      </c>
      <c r="G643">
        <v>0</v>
      </c>
      <c r="H643">
        <v>0</v>
      </c>
      <c r="I643" t="s">
        <v>788</v>
      </c>
    </row>
    <row r="644" spans="1:9" hidden="1" x14ac:dyDescent="0.2">
      <c r="A644" t="s">
        <v>259</v>
      </c>
      <c r="B644" t="s">
        <v>815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 t="s">
        <v>788</v>
      </c>
    </row>
    <row r="645" spans="1:9" hidden="1" x14ac:dyDescent="0.2">
      <c r="A645" t="s">
        <v>259</v>
      </c>
      <c r="B645" t="s">
        <v>810</v>
      </c>
      <c r="C645">
        <v>0</v>
      </c>
      <c r="D645">
        <v>1.8995688657005831E-6</v>
      </c>
      <c r="E645">
        <v>2.8386477212650422E-3</v>
      </c>
      <c r="F645">
        <v>0</v>
      </c>
      <c r="G645">
        <v>0</v>
      </c>
      <c r="H645">
        <v>0</v>
      </c>
      <c r="I645" t="s">
        <v>788</v>
      </c>
    </row>
    <row r="646" spans="1:9" hidden="1" x14ac:dyDescent="0.2">
      <c r="A646" t="s">
        <v>259</v>
      </c>
      <c r="B646" t="s">
        <v>822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 t="s">
        <v>788</v>
      </c>
    </row>
    <row r="647" spans="1:9" hidden="1" x14ac:dyDescent="0.2">
      <c r="A647" t="s">
        <v>260</v>
      </c>
      <c r="B647" t="s">
        <v>814</v>
      </c>
      <c r="C647">
        <v>0</v>
      </c>
      <c r="D647">
        <v>1.8544512482867799E-5</v>
      </c>
      <c r="E647">
        <v>1.198502387109146E-4</v>
      </c>
      <c r="F647">
        <v>0</v>
      </c>
      <c r="G647">
        <v>0</v>
      </c>
      <c r="H647">
        <v>0</v>
      </c>
      <c r="I647" t="s">
        <v>788</v>
      </c>
    </row>
    <row r="648" spans="1:9" hidden="1" x14ac:dyDescent="0.2">
      <c r="A648" t="s">
        <v>260</v>
      </c>
      <c r="B648" t="s">
        <v>815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 t="s">
        <v>788</v>
      </c>
    </row>
    <row r="649" spans="1:9" hidden="1" x14ac:dyDescent="0.2">
      <c r="A649" t="s">
        <v>260</v>
      </c>
      <c r="B649" t="s">
        <v>810</v>
      </c>
      <c r="C649">
        <v>0</v>
      </c>
      <c r="D649">
        <v>0</v>
      </c>
      <c r="E649">
        <v>6.422756836328035E-6</v>
      </c>
      <c r="F649">
        <v>0</v>
      </c>
      <c r="G649">
        <v>0</v>
      </c>
      <c r="H649">
        <v>0</v>
      </c>
      <c r="I649" t="s">
        <v>788</v>
      </c>
    </row>
    <row r="650" spans="1:9" hidden="1" x14ac:dyDescent="0.2">
      <c r="A650" t="s">
        <v>260</v>
      </c>
      <c r="B650" t="s">
        <v>822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 t="s">
        <v>788</v>
      </c>
    </row>
    <row r="651" spans="1:9" hidden="1" x14ac:dyDescent="0.2">
      <c r="A651" t="s">
        <v>261</v>
      </c>
      <c r="B651" t="s">
        <v>821</v>
      </c>
      <c r="I651" t="s">
        <v>788</v>
      </c>
    </row>
    <row r="652" spans="1:9" hidden="1" x14ac:dyDescent="0.2">
      <c r="A652" t="s">
        <v>261</v>
      </c>
      <c r="B652" t="s">
        <v>817</v>
      </c>
      <c r="I652" t="s">
        <v>788</v>
      </c>
    </row>
    <row r="653" spans="1:9" hidden="1" x14ac:dyDescent="0.2">
      <c r="A653" t="s">
        <v>262</v>
      </c>
      <c r="B653" t="s">
        <v>816</v>
      </c>
      <c r="D653">
        <v>5.7772551681435132E-3</v>
      </c>
      <c r="E653">
        <v>0</v>
      </c>
      <c r="F653">
        <v>0</v>
      </c>
      <c r="G653">
        <v>0</v>
      </c>
      <c r="H653">
        <v>1.5870020661618679E-2</v>
      </c>
      <c r="I653" t="s">
        <v>788</v>
      </c>
    </row>
    <row r="654" spans="1:9" hidden="1" x14ac:dyDescent="0.2">
      <c r="A654" t="s">
        <v>262</v>
      </c>
      <c r="B654" t="s">
        <v>825</v>
      </c>
      <c r="D654">
        <v>0</v>
      </c>
      <c r="E654">
        <v>0</v>
      </c>
      <c r="F654">
        <v>0</v>
      </c>
      <c r="G654">
        <v>0</v>
      </c>
      <c r="H654">
        <v>0</v>
      </c>
      <c r="I654" t="s">
        <v>788</v>
      </c>
    </row>
    <row r="655" spans="1:9" hidden="1" x14ac:dyDescent="0.2">
      <c r="A655" s="89" t="s">
        <v>263</v>
      </c>
      <c r="B655" t="s">
        <v>816</v>
      </c>
      <c r="C655">
        <v>2.3098147258064869E-4</v>
      </c>
      <c r="D655">
        <v>2.3632902088182431E-4</v>
      </c>
      <c r="E655">
        <v>0</v>
      </c>
      <c r="F655">
        <v>0</v>
      </c>
      <c r="G655">
        <v>0</v>
      </c>
      <c r="H655">
        <v>0</v>
      </c>
      <c r="I655" t="s">
        <v>792</v>
      </c>
    </row>
    <row r="656" spans="1:9" hidden="1" x14ac:dyDescent="0.2">
      <c r="A656" s="89" t="s">
        <v>263</v>
      </c>
      <c r="B656" t="s">
        <v>815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 t="s">
        <v>792</v>
      </c>
    </row>
    <row r="657" spans="1:9" hidden="1" x14ac:dyDescent="0.2">
      <c r="A657" s="89" t="s">
        <v>263</v>
      </c>
      <c r="B657" t="s">
        <v>812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 t="s">
        <v>792</v>
      </c>
    </row>
    <row r="658" spans="1:9" x14ac:dyDescent="0.2">
      <c r="A658" t="s">
        <v>264</v>
      </c>
      <c r="B658" t="s">
        <v>814</v>
      </c>
      <c r="D658">
        <v>0</v>
      </c>
      <c r="E658">
        <v>0</v>
      </c>
      <c r="F658">
        <v>0</v>
      </c>
      <c r="G658">
        <v>0</v>
      </c>
      <c r="H658">
        <v>0</v>
      </c>
      <c r="I658" t="s">
        <v>794</v>
      </c>
    </row>
    <row r="659" spans="1:9" x14ac:dyDescent="0.2">
      <c r="A659" t="s">
        <v>264</v>
      </c>
      <c r="B659" t="s">
        <v>815</v>
      </c>
      <c r="D659">
        <v>0</v>
      </c>
      <c r="E659">
        <v>0</v>
      </c>
      <c r="F659">
        <v>0</v>
      </c>
      <c r="G659">
        <v>0</v>
      </c>
      <c r="H659">
        <v>0</v>
      </c>
      <c r="I659" t="s">
        <v>794</v>
      </c>
    </row>
    <row r="660" spans="1:9" x14ac:dyDescent="0.2">
      <c r="A660" t="s">
        <v>264</v>
      </c>
      <c r="B660" t="s">
        <v>810</v>
      </c>
      <c r="D660">
        <v>0</v>
      </c>
      <c r="E660">
        <v>0</v>
      </c>
      <c r="F660">
        <v>0</v>
      </c>
      <c r="G660">
        <v>0</v>
      </c>
      <c r="H660">
        <v>0</v>
      </c>
      <c r="I660" t="s">
        <v>794</v>
      </c>
    </row>
    <row r="661" spans="1:9" x14ac:dyDescent="0.2">
      <c r="A661" t="s">
        <v>265</v>
      </c>
      <c r="B661" t="s">
        <v>815</v>
      </c>
      <c r="I661" t="s">
        <v>794</v>
      </c>
    </row>
    <row r="662" spans="1:9" x14ac:dyDescent="0.2">
      <c r="A662" t="s">
        <v>265</v>
      </c>
      <c r="B662" t="s">
        <v>810</v>
      </c>
      <c r="I662" t="s">
        <v>794</v>
      </c>
    </row>
    <row r="663" spans="1:9" x14ac:dyDescent="0.2">
      <c r="A663" t="s">
        <v>265</v>
      </c>
      <c r="B663" t="s">
        <v>817</v>
      </c>
      <c r="I663" t="s">
        <v>794</v>
      </c>
    </row>
    <row r="664" spans="1:9" hidden="1" x14ac:dyDescent="0.2">
      <c r="A664" t="s">
        <v>266</v>
      </c>
      <c r="B664" t="s">
        <v>816</v>
      </c>
      <c r="C664">
        <v>0</v>
      </c>
      <c r="I664" t="s">
        <v>789</v>
      </c>
    </row>
    <row r="665" spans="1:9" hidden="1" x14ac:dyDescent="0.2">
      <c r="A665" t="s">
        <v>266</v>
      </c>
      <c r="B665" t="s">
        <v>815</v>
      </c>
      <c r="C665">
        <v>0</v>
      </c>
      <c r="I665" t="s">
        <v>789</v>
      </c>
    </row>
    <row r="666" spans="1:9" hidden="1" x14ac:dyDescent="0.2">
      <c r="A666" t="s">
        <v>266</v>
      </c>
      <c r="B666" t="s">
        <v>810</v>
      </c>
      <c r="C666">
        <v>0</v>
      </c>
      <c r="I666" t="s">
        <v>789</v>
      </c>
    </row>
    <row r="667" spans="1:9" hidden="1" x14ac:dyDescent="0.2">
      <c r="A667" t="s">
        <v>266</v>
      </c>
      <c r="B667" t="s">
        <v>860</v>
      </c>
      <c r="C667">
        <v>0</v>
      </c>
      <c r="I667" t="s">
        <v>789</v>
      </c>
    </row>
    <row r="668" spans="1:9" hidden="1" x14ac:dyDescent="0.2">
      <c r="A668" t="s">
        <v>266</v>
      </c>
      <c r="B668" t="s">
        <v>832</v>
      </c>
      <c r="C668">
        <v>0</v>
      </c>
      <c r="I668" t="s">
        <v>789</v>
      </c>
    </row>
    <row r="669" spans="1:9" hidden="1" x14ac:dyDescent="0.2">
      <c r="A669" t="s">
        <v>266</v>
      </c>
      <c r="B669" t="s">
        <v>811</v>
      </c>
      <c r="C669">
        <v>0</v>
      </c>
      <c r="I669" t="s">
        <v>789</v>
      </c>
    </row>
    <row r="670" spans="1:9" x14ac:dyDescent="0.2">
      <c r="A670" t="s">
        <v>267</v>
      </c>
      <c r="B670" t="s">
        <v>816</v>
      </c>
      <c r="C670">
        <v>2.478207565373397E-3</v>
      </c>
      <c r="D670">
        <v>0</v>
      </c>
      <c r="E670">
        <v>0</v>
      </c>
      <c r="F670">
        <v>0</v>
      </c>
      <c r="G670">
        <v>0</v>
      </c>
      <c r="H670">
        <v>0</v>
      </c>
      <c r="I670" t="s">
        <v>794</v>
      </c>
    </row>
    <row r="671" spans="1:9" x14ac:dyDescent="0.2">
      <c r="A671" t="s">
        <v>267</v>
      </c>
      <c r="B671" t="s">
        <v>815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 t="s">
        <v>794</v>
      </c>
    </row>
    <row r="672" spans="1:9" x14ac:dyDescent="0.2">
      <c r="A672" t="s">
        <v>267</v>
      </c>
      <c r="B672" t="s">
        <v>810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 t="s">
        <v>794</v>
      </c>
    </row>
    <row r="673" spans="1:9" x14ac:dyDescent="0.2">
      <c r="A673" t="s">
        <v>268</v>
      </c>
      <c r="B673" t="s">
        <v>814</v>
      </c>
      <c r="I673" t="s">
        <v>794</v>
      </c>
    </row>
    <row r="674" spans="1:9" x14ac:dyDescent="0.2">
      <c r="A674" t="s">
        <v>268</v>
      </c>
      <c r="B674" t="s">
        <v>815</v>
      </c>
      <c r="I674" t="s">
        <v>794</v>
      </c>
    </row>
    <row r="675" spans="1:9" x14ac:dyDescent="0.2">
      <c r="A675" t="s">
        <v>268</v>
      </c>
      <c r="B675" t="s">
        <v>810</v>
      </c>
      <c r="I675" t="s">
        <v>794</v>
      </c>
    </row>
    <row r="676" spans="1:9" x14ac:dyDescent="0.2">
      <c r="A676" t="s">
        <v>268</v>
      </c>
      <c r="B676" t="s">
        <v>817</v>
      </c>
      <c r="I676" t="s">
        <v>794</v>
      </c>
    </row>
    <row r="677" spans="1:9" hidden="1" x14ac:dyDescent="0.2">
      <c r="A677" s="89" t="s">
        <v>269</v>
      </c>
      <c r="B677" t="s">
        <v>814</v>
      </c>
      <c r="C677">
        <v>0</v>
      </c>
      <c r="I677" t="s">
        <v>792</v>
      </c>
    </row>
    <row r="678" spans="1:9" hidden="1" x14ac:dyDescent="0.2">
      <c r="A678" s="89" t="s">
        <v>269</v>
      </c>
      <c r="B678" t="s">
        <v>815</v>
      </c>
      <c r="C678">
        <v>0</v>
      </c>
      <c r="I678" t="s">
        <v>792</v>
      </c>
    </row>
    <row r="679" spans="1:9" hidden="1" x14ac:dyDescent="0.2">
      <c r="A679" s="89" t="s">
        <v>269</v>
      </c>
      <c r="B679" t="s">
        <v>810</v>
      </c>
      <c r="C679">
        <v>0</v>
      </c>
      <c r="I679" t="s">
        <v>792</v>
      </c>
    </row>
    <row r="680" spans="1:9" hidden="1" x14ac:dyDescent="0.2">
      <c r="A680" s="89" t="s">
        <v>269</v>
      </c>
      <c r="B680" t="s">
        <v>812</v>
      </c>
      <c r="C680">
        <v>0</v>
      </c>
      <c r="I680" t="s">
        <v>792</v>
      </c>
    </row>
    <row r="681" spans="1:9" hidden="1" x14ac:dyDescent="0.2">
      <c r="A681" t="s">
        <v>270</v>
      </c>
      <c r="B681" t="s">
        <v>814</v>
      </c>
      <c r="C681">
        <v>0</v>
      </c>
      <c r="D681">
        <v>4.8872488105539882E-5</v>
      </c>
      <c r="E681">
        <v>6.4764661818147442E-4</v>
      </c>
      <c r="F681">
        <v>0</v>
      </c>
      <c r="G681">
        <v>0</v>
      </c>
      <c r="H681">
        <v>0</v>
      </c>
      <c r="I681" t="s">
        <v>801</v>
      </c>
    </row>
    <row r="682" spans="1:9" hidden="1" x14ac:dyDescent="0.2">
      <c r="A682" t="s">
        <v>270</v>
      </c>
      <c r="B682" t="s">
        <v>815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 t="s">
        <v>801</v>
      </c>
    </row>
    <row r="683" spans="1:9" hidden="1" x14ac:dyDescent="0.2">
      <c r="A683" t="s">
        <v>270</v>
      </c>
      <c r="B683" t="s">
        <v>810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 t="s">
        <v>801</v>
      </c>
    </row>
    <row r="684" spans="1:9" hidden="1" x14ac:dyDescent="0.2">
      <c r="A684" t="s">
        <v>270</v>
      </c>
      <c r="B684" t="s">
        <v>822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 t="s">
        <v>801</v>
      </c>
    </row>
    <row r="685" spans="1:9" hidden="1" x14ac:dyDescent="0.2">
      <c r="A685" t="s">
        <v>271</v>
      </c>
      <c r="B685" t="s">
        <v>816</v>
      </c>
      <c r="C685">
        <v>0</v>
      </c>
      <c r="D685">
        <v>8.0244393097334251E-5</v>
      </c>
      <c r="E685">
        <v>1.7641880028253649E-4</v>
      </c>
      <c r="F685">
        <v>0</v>
      </c>
      <c r="G685">
        <v>0</v>
      </c>
      <c r="H685">
        <v>0</v>
      </c>
      <c r="I685" t="s">
        <v>801</v>
      </c>
    </row>
    <row r="686" spans="1:9" hidden="1" x14ac:dyDescent="0.2">
      <c r="A686" t="s">
        <v>271</v>
      </c>
      <c r="B686" t="s">
        <v>815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 t="s">
        <v>801</v>
      </c>
    </row>
    <row r="687" spans="1:9" hidden="1" x14ac:dyDescent="0.2">
      <c r="A687" t="s">
        <v>271</v>
      </c>
      <c r="B687" t="s">
        <v>810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 t="s">
        <v>801</v>
      </c>
    </row>
    <row r="688" spans="1:9" hidden="1" x14ac:dyDescent="0.2">
      <c r="A688" t="s">
        <v>271</v>
      </c>
      <c r="B688" t="s">
        <v>822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 t="s">
        <v>801</v>
      </c>
    </row>
    <row r="689" spans="1:9" hidden="1" x14ac:dyDescent="0.2">
      <c r="A689" t="s">
        <v>272</v>
      </c>
      <c r="B689" t="s">
        <v>814</v>
      </c>
      <c r="C689">
        <v>0</v>
      </c>
      <c r="E689">
        <v>7.0875238727512277E-4</v>
      </c>
      <c r="F689">
        <v>0.37147097867557383</v>
      </c>
      <c r="G689">
        <v>0</v>
      </c>
      <c r="I689" t="s">
        <v>801</v>
      </c>
    </row>
    <row r="690" spans="1:9" hidden="1" x14ac:dyDescent="0.2">
      <c r="A690" t="s">
        <v>272</v>
      </c>
      <c r="B690" t="s">
        <v>822</v>
      </c>
      <c r="C690">
        <v>0</v>
      </c>
      <c r="E690">
        <v>0</v>
      </c>
      <c r="F690">
        <v>0</v>
      </c>
      <c r="G690">
        <v>0</v>
      </c>
      <c r="I690" t="s">
        <v>801</v>
      </c>
    </row>
    <row r="691" spans="1:9" hidden="1" x14ac:dyDescent="0.2">
      <c r="A691" t="s">
        <v>273</v>
      </c>
      <c r="B691" t="s">
        <v>814</v>
      </c>
      <c r="C691">
        <v>0</v>
      </c>
      <c r="D691">
        <v>1.508142835970644E-5</v>
      </c>
      <c r="E691">
        <v>9.8228260130101862E-5</v>
      </c>
      <c r="F691">
        <v>0</v>
      </c>
      <c r="G691">
        <v>0</v>
      </c>
      <c r="H691">
        <v>0</v>
      </c>
      <c r="I691" t="s">
        <v>789</v>
      </c>
    </row>
    <row r="692" spans="1:9" hidden="1" x14ac:dyDescent="0.2">
      <c r="A692" t="s">
        <v>273</v>
      </c>
      <c r="B692" t="s">
        <v>815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 t="s">
        <v>789</v>
      </c>
    </row>
    <row r="693" spans="1:9" hidden="1" x14ac:dyDescent="0.2">
      <c r="A693" t="s">
        <v>273</v>
      </c>
      <c r="B693" t="s">
        <v>810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 t="s">
        <v>789</v>
      </c>
    </row>
    <row r="694" spans="1:9" hidden="1" x14ac:dyDescent="0.2">
      <c r="A694" t="s">
        <v>273</v>
      </c>
      <c r="B694" t="s">
        <v>822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 t="s">
        <v>789</v>
      </c>
    </row>
    <row r="695" spans="1:9" hidden="1" x14ac:dyDescent="0.2">
      <c r="A695" t="s">
        <v>274</v>
      </c>
      <c r="B695" t="s">
        <v>816</v>
      </c>
      <c r="C695">
        <v>0</v>
      </c>
      <c r="D695">
        <v>1.093296557952624E-4</v>
      </c>
      <c r="E695">
        <v>7.2295021279675096E-6</v>
      </c>
      <c r="F695">
        <v>0</v>
      </c>
      <c r="G695">
        <v>0</v>
      </c>
      <c r="H695">
        <v>0</v>
      </c>
      <c r="I695" t="s">
        <v>789</v>
      </c>
    </row>
    <row r="696" spans="1:9" hidden="1" x14ac:dyDescent="0.2">
      <c r="A696" t="s">
        <v>274</v>
      </c>
      <c r="B696" t="s">
        <v>815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 t="s">
        <v>789</v>
      </c>
    </row>
    <row r="697" spans="1:9" hidden="1" x14ac:dyDescent="0.2">
      <c r="A697" t="s">
        <v>274</v>
      </c>
      <c r="B697" t="s">
        <v>810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 t="s">
        <v>789</v>
      </c>
    </row>
    <row r="698" spans="1:9" hidden="1" x14ac:dyDescent="0.2">
      <c r="A698" t="s">
        <v>274</v>
      </c>
      <c r="B698" t="s">
        <v>822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 t="s">
        <v>789</v>
      </c>
    </row>
    <row r="699" spans="1:9" hidden="1" x14ac:dyDescent="0.2">
      <c r="A699" t="s">
        <v>275</v>
      </c>
      <c r="B699" t="s">
        <v>814</v>
      </c>
      <c r="C699">
        <v>0</v>
      </c>
      <c r="D699">
        <v>2.2251032937464972E-5</v>
      </c>
      <c r="E699">
        <v>5.9753078240878683E-5</v>
      </c>
      <c r="F699">
        <v>0</v>
      </c>
      <c r="G699">
        <v>0</v>
      </c>
      <c r="H699">
        <v>0</v>
      </c>
      <c r="I699" t="s">
        <v>789</v>
      </c>
    </row>
    <row r="700" spans="1:9" hidden="1" x14ac:dyDescent="0.2">
      <c r="A700" t="s">
        <v>275</v>
      </c>
      <c r="B700" t="s">
        <v>815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 t="s">
        <v>789</v>
      </c>
    </row>
    <row r="701" spans="1:9" hidden="1" x14ac:dyDescent="0.2">
      <c r="A701" t="s">
        <v>275</v>
      </c>
      <c r="B701" t="s">
        <v>810</v>
      </c>
      <c r="C701">
        <v>0</v>
      </c>
      <c r="D701">
        <v>0</v>
      </c>
      <c r="E701">
        <v>3.196716562333689E-6</v>
      </c>
      <c r="F701">
        <v>0</v>
      </c>
      <c r="G701">
        <v>0</v>
      </c>
      <c r="H701">
        <v>0</v>
      </c>
      <c r="I701" t="s">
        <v>789</v>
      </c>
    </row>
    <row r="702" spans="1:9" hidden="1" x14ac:dyDescent="0.2">
      <c r="A702" t="s">
        <v>275</v>
      </c>
      <c r="B702" t="s">
        <v>822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 t="s">
        <v>789</v>
      </c>
    </row>
    <row r="703" spans="1:9" hidden="1" x14ac:dyDescent="0.2">
      <c r="A703" t="s">
        <v>276</v>
      </c>
      <c r="B703" t="s">
        <v>816</v>
      </c>
      <c r="C703">
        <v>0</v>
      </c>
      <c r="D703">
        <v>1.3358832183121421E-4</v>
      </c>
      <c r="E703">
        <v>4.3361838252087189E-5</v>
      </c>
      <c r="F703">
        <v>0</v>
      </c>
      <c r="G703">
        <v>0</v>
      </c>
      <c r="H703">
        <v>0</v>
      </c>
      <c r="I703" t="s">
        <v>798</v>
      </c>
    </row>
    <row r="704" spans="1:9" hidden="1" x14ac:dyDescent="0.2">
      <c r="A704" t="s">
        <v>276</v>
      </c>
      <c r="B704" t="s">
        <v>815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 t="s">
        <v>798</v>
      </c>
    </row>
    <row r="705" spans="1:9" hidden="1" x14ac:dyDescent="0.2">
      <c r="A705" t="s">
        <v>276</v>
      </c>
      <c r="B705" t="s">
        <v>810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 t="s">
        <v>798</v>
      </c>
    </row>
    <row r="706" spans="1:9" hidden="1" x14ac:dyDescent="0.2">
      <c r="A706" t="s">
        <v>276</v>
      </c>
      <c r="B706" t="s">
        <v>822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 t="s">
        <v>798</v>
      </c>
    </row>
    <row r="707" spans="1:9" hidden="1" x14ac:dyDescent="0.2">
      <c r="A707" t="s">
        <v>277</v>
      </c>
      <c r="B707" t="s">
        <v>814</v>
      </c>
      <c r="C707">
        <v>0</v>
      </c>
      <c r="D707">
        <v>7.6008559116034214E-6</v>
      </c>
      <c r="E707">
        <v>1.561259319898223E-4</v>
      </c>
      <c r="F707">
        <v>0</v>
      </c>
      <c r="G707">
        <v>0</v>
      </c>
      <c r="H707">
        <v>0</v>
      </c>
      <c r="I707" t="s">
        <v>798</v>
      </c>
    </row>
    <row r="708" spans="1:9" hidden="1" x14ac:dyDescent="0.2">
      <c r="A708" t="s">
        <v>277</v>
      </c>
      <c r="B708" t="s">
        <v>815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 t="s">
        <v>798</v>
      </c>
    </row>
    <row r="709" spans="1:9" hidden="1" x14ac:dyDescent="0.2">
      <c r="A709" t="s">
        <v>277</v>
      </c>
      <c r="B709" t="s">
        <v>810</v>
      </c>
      <c r="C709">
        <v>0</v>
      </c>
      <c r="D709">
        <v>3.7653539910269289E-7</v>
      </c>
      <c r="E709">
        <v>7.7342526685134117E-6</v>
      </c>
      <c r="F709">
        <v>0</v>
      </c>
      <c r="G709">
        <v>0</v>
      </c>
      <c r="H709">
        <v>0</v>
      </c>
      <c r="I709" t="s">
        <v>798</v>
      </c>
    </row>
    <row r="710" spans="1:9" hidden="1" x14ac:dyDescent="0.2">
      <c r="A710" t="s">
        <v>277</v>
      </c>
      <c r="B710" t="s">
        <v>822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 t="s">
        <v>798</v>
      </c>
    </row>
    <row r="711" spans="1:9" x14ac:dyDescent="0.2">
      <c r="A711" t="s">
        <v>278</v>
      </c>
      <c r="B711" t="s">
        <v>815</v>
      </c>
      <c r="I711" t="s">
        <v>794</v>
      </c>
    </row>
    <row r="712" spans="1:9" x14ac:dyDescent="0.2">
      <c r="A712" t="s">
        <v>278</v>
      </c>
      <c r="B712" t="s">
        <v>810</v>
      </c>
      <c r="I712" t="s">
        <v>794</v>
      </c>
    </row>
    <row r="713" spans="1:9" x14ac:dyDescent="0.2">
      <c r="A713" t="s">
        <v>278</v>
      </c>
      <c r="B713" t="s">
        <v>817</v>
      </c>
      <c r="I713" t="s">
        <v>794</v>
      </c>
    </row>
    <row r="714" spans="1:9" hidden="1" x14ac:dyDescent="0.2">
      <c r="A714" t="s">
        <v>279</v>
      </c>
      <c r="B714" t="s">
        <v>816</v>
      </c>
      <c r="C714">
        <v>0</v>
      </c>
      <c r="D714">
        <v>4.2264061927161113E-5</v>
      </c>
      <c r="E714">
        <v>5.8557075846939842E-5</v>
      </c>
      <c r="F714">
        <v>0</v>
      </c>
      <c r="G714">
        <v>0</v>
      </c>
      <c r="H714">
        <v>0</v>
      </c>
      <c r="I714" t="s">
        <v>798</v>
      </c>
    </row>
    <row r="715" spans="1:9" hidden="1" x14ac:dyDescent="0.2">
      <c r="A715" t="s">
        <v>279</v>
      </c>
      <c r="B715" t="s">
        <v>815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 t="s">
        <v>798</v>
      </c>
    </row>
    <row r="716" spans="1:9" hidden="1" x14ac:dyDescent="0.2">
      <c r="A716" t="s">
        <v>279</v>
      </c>
      <c r="B716" t="s">
        <v>810</v>
      </c>
      <c r="C716">
        <v>0</v>
      </c>
      <c r="D716">
        <v>1.717317786709857E-6</v>
      </c>
      <c r="E716">
        <v>2.8960599155504999E-6</v>
      </c>
      <c r="F716">
        <v>0</v>
      </c>
      <c r="G716">
        <v>0</v>
      </c>
      <c r="H716">
        <v>0</v>
      </c>
      <c r="I716" t="s">
        <v>798</v>
      </c>
    </row>
    <row r="717" spans="1:9" hidden="1" x14ac:dyDescent="0.2">
      <c r="A717" t="s">
        <v>279</v>
      </c>
      <c r="B717" t="s">
        <v>822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 t="s">
        <v>798</v>
      </c>
    </row>
    <row r="718" spans="1:9" hidden="1" x14ac:dyDescent="0.2">
      <c r="A718" t="s">
        <v>280</v>
      </c>
      <c r="B718" t="s">
        <v>816</v>
      </c>
      <c r="C718">
        <v>0</v>
      </c>
      <c r="D718">
        <v>2.5095462079612359E-5</v>
      </c>
      <c r="E718">
        <v>2.5127566785294361E-2</v>
      </c>
      <c r="F718">
        <v>0</v>
      </c>
      <c r="G718">
        <v>0</v>
      </c>
      <c r="H718">
        <v>0</v>
      </c>
      <c r="I718" t="s">
        <v>801</v>
      </c>
    </row>
    <row r="719" spans="1:9" hidden="1" x14ac:dyDescent="0.2">
      <c r="A719" t="s">
        <v>280</v>
      </c>
      <c r="B719" t="s">
        <v>815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 t="s">
        <v>801</v>
      </c>
    </row>
    <row r="720" spans="1:9" hidden="1" x14ac:dyDescent="0.2">
      <c r="A720" t="s">
        <v>280</v>
      </c>
      <c r="B720" t="s">
        <v>810</v>
      </c>
      <c r="C720">
        <v>0</v>
      </c>
      <c r="D720">
        <v>0</v>
      </c>
      <c r="E720">
        <v>1.035250553425706E-3</v>
      </c>
      <c r="F720">
        <v>0</v>
      </c>
      <c r="G720">
        <v>0</v>
      </c>
      <c r="H720">
        <v>0</v>
      </c>
      <c r="I720" t="s">
        <v>801</v>
      </c>
    </row>
    <row r="721" spans="1:9" hidden="1" x14ac:dyDescent="0.2">
      <c r="A721" t="s">
        <v>280</v>
      </c>
      <c r="B721" t="s">
        <v>822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 t="s">
        <v>801</v>
      </c>
    </row>
    <row r="722" spans="1:9" hidden="1" x14ac:dyDescent="0.2">
      <c r="A722" t="s">
        <v>281</v>
      </c>
      <c r="B722" t="s">
        <v>816</v>
      </c>
      <c r="C722">
        <v>0</v>
      </c>
      <c r="D722">
        <v>3.476107065891582E-5</v>
      </c>
      <c r="E722">
        <v>1.6836850172963468E-5</v>
      </c>
      <c r="F722">
        <v>0</v>
      </c>
      <c r="G722">
        <v>0</v>
      </c>
      <c r="H722">
        <v>0</v>
      </c>
      <c r="I722" t="s">
        <v>789</v>
      </c>
    </row>
    <row r="723" spans="1:9" hidden="1" x14ac:dyDescent="0.2">
      <c r="A723" t="s">
        <v>281</v>
      </c>
      <c r="B723" t="s">
        <v>815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 t="s">
        <v>789</v>
      </c>
    </row>
    <row r="724" spans="1:9" hidden="1" x14ac:dyDescent="0.2">
      <c r="A724" t="s">
        <v>281</v>
      </c>
      <c r="B724" t="s">
        <v>810</v>
      </c>
      <c r="C724">
        <v>0</v>
      </c>
      <c r="D724">
        <v>1.520024234395412E-6</v>
      </c>
      <c r="E724">
        <v>6.9559865994736788E-7</v>
      </c>
      <c r="F724">
        <v>0</v>
      </c>
      <c r="G724">
        <v>0</v>
      </c>
      <c r="H724">
        <v>0</v>
      </c>
      <c r="I724" t="s">
        <v>789</v>
      </c>
    </row>
    <row r="725" spans="1:9" hidden="1" x14ac:dyDescent="0.2">
      <c r="A725" t="s">
        <v>281</v>
      </c>
      <c r="B725" t="s">
        <v>822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 t="s">
        <v>789</v>
      </c>
    </row>
    <row r="726" spans="1:9" hidden="1" x14ac:dyDescent="0.2">
      <c r="A726" t="s">
        <v>282</v>
      </c>
      <c r="B726" t="s">
        <v>814</v>
      </c>
      <c r="C726">
        <v>0</v>
      </c>
      <c r="D726">
        <v>1.203021555994829E-5</v>
      </c>
      <c r="E726">
        <v>1.6685045391780961E-4</v>
      </c>
      <c r="F726">
        <v>0</v>
      </c>
      <c r="G726">
        <v>0</v>
      </c>
      <c r="H726">
        <v>0</v>
      </c>
      <c r="I726" t="s">
        <v>798</v>
      </c>
    </row>
    <row r="727" spans="1:9" hidden="1" x14ac:dyDescent="0.2">
      <c r="A727" t="s">
        <v>282</v>
      </c>
      <c r="B727" t="s">
        <v>815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 t="s">
        <v>798</v>
      </c>
    </row>
    <row r="728" spans="1:9" hidden="1" x14ac:dyDescent="0.2">
      <c r="A728" t="s">
        <v>282</v>
      </c>
      <c r="B728" t="s">
        <v>810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 t="s">
        <v>798</v>
      </c>
    </row>
    <row r="729" spans="1:9" hidden="1" x14ac:dyDescent="0.2">
      <c r="A729" t="s">
        <v>282</v>
      </c>
      <c r="B729" t="s">
        <v>822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 t="s">
        <v>798</v>
      </c>
    </row>
    <row r="730" spans="1:9" x14ac:dyDescent="0.2">
      <c r="A730" t="s">
        <v>283</v>
      </c>
      <c r="B730" t="s">
        <v>810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 t="s">
        <v>794</v>
      </c>
    </row>
    <row r="731" spans="1:9" x14ac:dyDescent="0.2">
      <c r="A731" t="s">
        <v>283</v>
      </c>
      <c r="B731" t="s">
        <v>861</v>
      </c>
      <c r="C731">
        <v>3.2394501761566139E-4</v>
      </c>
      <c r="D731">
        <v>0</v>
      </c>
      <c r="E731">
        <v>0</v>
      </c>
      <c r="F731">
        <v>0</v>
      </c>
      <c r="G731">
        <v>0</v>
      </c>
      <c r="H731">
        <v>0</v>
      </c>
      <c r="I731" t="s">
        <v>794</v>
      </c>
    </row>
    <row r="732" spans="1:9" hidden="1" x14ac:dyDescent="0.2">
      <c r="A732" t="s">
        <v>284</v>
      </c>
      <c r="B732" t="s">
        <v>824</v>
      </c>
      <c r="I732" t="s">
        <v>789</v>
      </c>
    </row>
    <row r="733" spans="1:9" hidden="1" x14ac:dyDescent="0.2">
      <c r="A733" t="s">
        <v>285</v>
      </c>
      <c r="B733" t="s">
        <v>811</v>
      </c>
      <c r="I733" t="s">
        <v>801</v>
      </c>
    </row>
    <row r="734" spans="1:9" hidden="1" x14ac:dyDescent="0.2">
      <c r="A734" t="s">
        <v>286</v>
      </c>
      <c r="B734" t="s">
        <v>811</v>
      </c>
      <c r="I734" t="s">
        <v>788</v>
      </c>
    </row>
    <row r="735" spans="1:9" hidden="1" x14ac:dyDescent="0.2">
      <c r="A735" t="s">
        <v>287</v>
      </c>
      <c r="B735" t="s">
        <v>824</v>
      </c>
      <c r="I735" t="s">
        <v>800</v>
      </c>
    </row>
    <row r="736" spans="1:9" hidden="1" x14ac:dyDescent="0.2">
      <c r="A736" t="s">
        <v>288</v>
      </c>
      <c r="B736" t="s">
        <v>810</v>
      </c>
      <c r="I736" t="s">
        <v>801</v>
      </c>
    </row>
    <row r="737" spans="1:9" hidden="1" x14ac:dyDescent="0.2">
      <c r="A737" t="s">
        <v>289</v>
      </c>
      <c r="B737" t="s">
        <v>810</v>
      </c>
      <c r="I737" t="s">
        <v>798</v>
      </c>
    </row>
    <row r="738" spans="1:9" hidden="1" x14ac:dyDescent="0.2">
      <c r="A738" t="s">
        <v>290</v>
      </c>
      <c r="B738" t="s">
        <v>810</v>
      </c>
      <c r="I738" t="s">
        <v>789</v>
      </c>
    </row>
    <row r="739" spans="1:9" hidden="1" x14ac:dyDescent="0.2">
      <c r="A739" t="s">
        <v>291</v>
      </c>
      <c r="B739" t="s">
        <v>810</v>
      </c>
      <c r="I739" t="s">
        <v>788</v>
      </c>
    </row>
    <row r="740" spans="1:9" hidden="1" x14ac:dyDescent="0.2">
      <c r="A740" t="s">
        <v>292</v>
      </c>
      <c r="B740" t="s">
        <v>810</v>
      </c>
      <c r="I740" t="s">
        <v>800</v>
      </c>
    </row>
    <row r="741" spans="1:9" hidden="1" x14ac:dyDescent="0.2">
      <c r="A741" t="s">
        <v>293</v>
      </c>
      <c r="B741" t="s">
        <v>841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 t="s">
        <v>796</v>
      </c>
    </row>
    <row r="742" spans="1:9" hidden="1" x14ac:dyDescent="0.2">
      <c r="A742" t="s">
        <v>293</v>
      </c>
      <c r="B742" t="s">
        <v>838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 t="s">
        <v>796</v>
      </c>
    </row>
    <row r="743" spans="1:9" hidden="1" x14ac:dyDescent="0.2">
      <c r="A743" t="s">
        <v>293</v>
      </c>
      <c r="B743" t="s">
        <v>842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 t="s">
        <v>796</v>
      </c>
    </row>
    <row r="744" spans="1:9" hidden="1" x14ac:dyDescent="0.2">
      <c r="A744" t="s">
        <v>294</v>
      </c>
      <c r="B744" t="s">
        <v>841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 t="s">
        <v>796</v>
      </c>
    </row>
    <row r="745" spans="1:9" hidden="1" x14ac:dyDescent="0.2">
      <c r="A745" t="s">
        <v>294</v>
      </c>
      <c r="B745" t="s">
        <v>838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 t="s">
        <v>796</v>
      </c>
    </row>
    <row r="746" spans="1:9" hidden="1" x14ac:dyDescent="0.2">
      <c r="A746" t="s">
        <v>294</v>
      </c>
      <c r="B746" t="s">
        <v>842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 t="s">
        <v>796</v>
      </c>
    </row>
    <row r="747" spans="1:9" hidden="1" x14ac:dyDescent="0.2">
      <c r="A747" t="s">
        <v>295</v>
      </c>
      <c r="B747" t="s">
        <v>812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 t="s">
        <v>796</v>
      </c>
    </row>
    <row r="748" spans="1:9" hidden="1" x14ac:dyDescent="0.2">
      <c r="A748" t="s">
        <v>296</v>
      </c>
      <c r="B748" t="s">
        <v>816</v>
      </c>
      <c r="C748">
        <v>2.010882610559328</v>
      </c>
      <c r="D748">
        <v>0</v>
      </c>
      <c r="E748">
        <v>0</v>
      </c>
      <c r="F748">
        <v>0</v>
      </c>
      <c r="G748">
        <v>0</v>
      </c>
      <c r="H748">
        <v>0</v>
      </c>
      <c r="I748" t="s">
        <v>796</v>
      </c>
    </row>
    <row r="749" spans="1:9" hidden="1" x14ac:dyDescent="0.2">
      <c r="A749" t="s">
        <v>297</v>
      </c>
      <c r="B749" t="s">
        <v>810</v>
      </c>
      <c r="C749">
        <v>385.77053244135323</v>
      </c>
      <c r="D749">
        <v>0</v>
      </c>
      <c r="E749">
        <v>0</v>
      </c>
      <c r="F749">
        <v>0</v>
      </c>
      <c r="G749">
        <v>0</v>
      </c>
      <c r="H749">
        <v>0</v>
      </c>
      <c r="I749" t="s">
        <v>796</v>
      </c>
    </row>
    <row r="750" spans="1:9" hidden="1" x14ac:dyDescent="0.2">
      <c r="A750" t="s">
        <v>298</v>
      </c>
      <c r="B750" t="s">
        <v>841</v>
      </c>
      <c r="I750" t="s">
        <v>796</v>
      </c>
    </row>
    <row r="751" spans="1:9" hidden="1" x14ac:dyDescent="0.2">
      <c r="A751" t="s">
        <v>298</v>
      </c>
      <c r="B751" t="s">
        <v>838</v>
      </c>
      <c r="I751" t="s">
        <v>796</v>
      </c>
    </row>
    <row r="752" spans="1:9" hidden="1" x14ac:dyDescent="0.2">
      <c r="A752" t="s">
        <v>298</v>
      </c>
      <c r="B752" t="s">
        <v>842</v>
      </c>
      <c r="I752" t="s">
        <v>796</v>
      </c>
    </row>
    <row r="753" spans="1:9" hidden="1" x14ac:dyDescent="0.2">
      <c r="A753" t="s">
        <v>299</v>
      </c>
      <c r="B753" t="s">
        <v>843</v>
      </c>
      <c r="C753">
        <v>0</v>
      </c>
      <c r="D753">
        <v>370.43285312578189</v>
      </c>
      <c r="E753">
        <v>0</v>
      </c>
      <c r="I753" t="s">
        <v>796</v>
      </c>
    </row>
    <row r="754" spans="1:9" hidden="1" x14ac:dyDescent="0.2">
      <c r="A754" t="s">
        <v>299</v>
      </c>
      <c r="B754" t="s">
        <v>845</v>
      </c>
      <c r="C754">
        <v>0</v>
      </c>
      <c r="D754">
        <v>109.8409314937831</v>
      </c>
      <c r="E754">
        <v>0</v>
      </c>
      <c r="I754" t="s">
        <v>796</v>
      </c>
    </row>
    <row r="755" spans="1:9" hidden="1" x14ac:dyDescent="0.2">
      <c r="A755" t="s">
        <v>299</v>
      </c>
      <c r="B755" t="s">
        <v>846</v>
      </c>
      <c r="C755">
        <v>0</v>
      </c>
      <c r="D755">
        <v>62.182728815412133</v>
      </c>
      <c r="E755">
        <v>0</v>
      </c>
      <c r="I755" t="s">
        <v>796</v>
      </c>
    </row>
    <row r="756" spans="1:9" hidden="1" x14ac:dyDescent="0.2">
      <c r="A756" t="s">
        <v>300</v>
      </c>
      <c r="B756" t="s">
        <v>837</v>
      </c>
      <c r="E756">
        <v>0</v>
      </c>
      <c r="F756">
        <v>0</v>
      </c>
      <c r="H756">
        <v>0</v>
      </c>
      <c r="I756" t="s">
        <v>802</v>
      </c>
    </row>
    <row r="757" spans="1:9" hidden="1" x14ac:dyDescent="0.2">
      <c r="A757" t="s">
        <v>301</v>
      </c>
      <c r="B757" t="s">
        <v>824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 t="s">
        <v>803</v>
      </c>
    </row>
    <row r="758" spans="1:9" hidden="1" x14ac:dyDescent="0.2">
      <c r="A758" t="s">
        <v>301</v>
      </c>
      <c r="B758" t="s">
        <v>811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 t="s">
        <v>803</v>
      </c>
    </row>
    <row r="759" spans="1:9" hidden="1" x14ac:dyDescent="0.2">
      <c r="A759" t="s">
        <v>302</v>
      </c>
      <c r="B759" t="s">
        <v>810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 t="s">
        <v>803</v>
      </c>
    </row>
    <row r="760" spans="1:9" hidden="1" x14ac:dyDescent="0.2">
      <c r="A760" t="s">
        <v>303</v>
      </c>
      <c r="B760" t="s">
        <v>814</v>
      </c>
      <c r="D760">
        <v>1.79227097972064E-2</v>
      </c>
      <c r="E760">
        <v>0</v>
      </c>
      <c r="F760">
        <v>0</v>
      </c>
      <c r="G760">
        <v>0</v>
      </c>
      <c r="H760">
        <v>0</v>
      </c>
      <c r="I760" t="s">
        <v>788</v>
      </c>
    </row>
    <row r="761" spans="1:9" hidden="1" x14ac:dyDescent="0.2">
      <c r="A761" t="s">
        <v>303</v>
      </c>
      <c r="B761" t="s">
        <v>821</v>
      </c>
      <c r="D761">
        <v>0</v>
      </c>
      <c r="E761">
        <v>0</v>
      </c>
      <c r="F761">
        <v>0</v>
      </c>
      <c r="G761">
        <v>0</v>
      </c>
      <c r="H761">
        <v>0</v>
      </c>
      <c r="I761" t="s">
        <v>788</v>
      </c>
    </row>
    <row r="762" spans="1:9" hidden="1" x14ac:dyDescent="0.2">
      <c r="A762" t="s">
        <v>304</v>
      </c>
      <c r="B762" t="s">
        <v>862</v>
      </c>
      <c r="C762">
        <v>63.714311645501368</v>
      </c>
      <c r="D762">
        <v>0</v>
      </c>
      <c r="E762">
        <v>0</v>
      </c>
      <c r="F762">
        <v>0</v>
      </c>
      <c r="G762">
        <v>0</v>
      </c>
      <c r="H762">
        <v>0</v>
      </c>
      <c r="I762" t="s">
        <v>803</v>
      </c>
    </row>
    <row r="763" spans="1:9" hidden="1" x14ac:dyDescent="0.2">
      <c r="A763" t="s">
        <v>304</v>
      </c>
      <c r="B763" t="s">
        <v>841</v>
      </c>
      <c r="C763">
        <v>5.79361367180795E-6</v>
      </c>
      <c r="D763">
        <v>0</v>
      </c>
      <c r="E763">
        <v>0</v>
      </c>
      <c r="F763">
        <v>0</v>
      </c>
      <c r="G763">
        <v>0</v>
      </c>
      <c r="H763">
        <v>0</v>
      </c>
      <c r="I763" t="s">
        <v>803</v>
      </c>
    </row>
    <row r="764" spans="1:9" hidden="1" x14ac:dyDescent="0.2">
      <c r="A764" t="s">
        <v>304</v>
      </c>
      <c r="B764" t="s">
        <v>863</v>
      </c>
      <c r="C764">
        <v>71.848168945731786</v>
      </c>
      <c r="D764">
        <v>0</v>
      </c>
      <c r="E764">
        <v>0</v>
      </c>
      <c r="F764">
        <v>0</v>
      </c>
      <c r="G764">
        <v>0</v>
      </c>
      <c r="H764">
        <v>0</v>
      </c>
      <c r="I764" t="s">
        <v>803</v>
      </c>
    </row>
    <row r="765" spans="1:9" hidden="1" x14ac:dyDescent="0.2">
      <c r="A765" t="s">
        <v>304</v>
      </c>
      <c r="B765" t="s">
        <v>838</v>
      </c>
      <c r="C765">
        <v>0.3626129001101987</v>
      </c>
      <c r="D765">
        <v>0</v>
      </c>
      <c r="E765">
        <v>0</v>
      </c>
      <c r="F765">
        <v>0</v>
      </c>
      <c r="G765">
        <v>0</v>
      </c>
      <c r="H765">
        <v>0</v>
      </c>
      <c r="I765" t="s">
        <v>803</v>
      </c>
    </row>
    <row r="766" spans="1:9" hidden="1" x14ac:dyDescent="0.2">
      <c r="A766" t="s">
        <v>304</v>
      </c>
      <c r="B766" t="s">
        <v>810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 t="s">
        <v>803</v>
      </c>
    </row>
    <row r="767" spans="1:9" hidden="1" x14ac:dyDescent="0.2">
      <c r="A767" t="s">
        <v>304</v>
      </c>
      <c r="B767" t="s">
        <v>842</v>
      </c>
      <c r="C767">
        <v>5.4853110703352746E-6</v>
      </c>
      <c r="D767">
        <v>0</v>
      </c>
      <c r="E767">
        <v>0</v>
      </c>
      <c r="F767">
        <v>0</v>
      </c>
      <c r="G767">
        <v>0</v>
      </c>
      <c r="H767">
        <v>0</v>
      </c>
      <c r="I767" t="s">
        <v>803</v>
      </c>
    </row>
    <row r="768" spans="1:9" hidden="1" x14ac:dyDescent="0.2">
      <c r="A768" t="s">
        <v>304</v>
      </c>
      <c r="B768" t="s">
        <v>811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 t="s">
        <v>803</v>
      </c>
    </row>
    <row r="769" spans="1:9" hidden="1" x14ac:dyDescent="0.2">
      <c r="A769" t="s">
        <v>305</v>
      </c>
      <c r="B769" t="s">
        <v>816</v>
      </c>
      <c r="C769">
        <v>0</v>
      </c>
      <c r="I769" t="s">
        <v>789</v>
      </c>
    </row>
    <row r="770" spans="1:9" hidden="1" x14ac:dyDescent="0.2">
      <c r="A770" t="s">
        <v>305</v>
      </c>
      <c r="B770" t="s">
        <v>819</v>
      </c>
      <c r="C770">
        <v>0</v>
      </c>
      <c r="I770" t="s">
        <v>789</v>
      </c>
    </row>
    <row r="771" spans="1:9" hidden="1" x14ac:dyDescent="0.2">
      <c r="A771" t="s">
        <v>305</v>
      </c>
      <c r="B771" t="s">
        <v>811</v>
      </c>
      <c r="C771">
        <v>0</v>
      </c>
      <c r="I771" t="s">
        <v>789</v>
      </c>
    </row>
    <row r="772" spans="1:9" hidden="1" x14ac:dyDescent="0.2">
      <c r="A772" t="s">
        <v>306</v>
      </c>
      <c r="B772" t="s">
        <v>816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 t="s">
        <v>801</v>
      </c>
    </row>
    <row r="773" spans="1:9" hidden="1" x14ac:dyDescent="0.2">
      <c r="A773" t="s">
        <v>306</v>
      </c>
      <c r="B773" t="s">
        <v>819</v>
      </c>
      <c r="C773">
        <v>0</v>
      </c>
      <c r="D773">
        <v>8.8253089659658004E-5</v>
      </c>
      <c r="E773">
        <v>0</v>
      </c>
      <c r="F773">
        <v>0</v>
      </c>
      <c r="G773">
        <v>0</v>
      </c>
      <c r="H773">
        <v>0</v>
      </c>
      <c r="I773" t="s">
        <v>801</v>
      </c>
    </row>
    <row r="774" spans="1:9" hidden="1" x14ac:dyDescent="0.2">
      <c r="A774" t="s">
        <v>306</v>
      </c>
      <c r="B774" t="s">
        <v>811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 t="s">
        <v>801</v>
      </c>
    </row>
    <row r="775" spans="1:9" hidden="1" x14ac:dyDescent="0.2">
      <c r="A775" t="s">
        <v>307</v>
      </c>
      <c r="B775" t="s">
        <v>835</v>
      </c>
      <c r="D775">
        <v>1.257051670503291E-3</v>
      </c>
      <c r="E775">
        <v>0</v>
      </c>
      <c r="F775">
        <v>0</v>
      </c>
      <c r="G775">
        <v>0</v>
      </c>
      <c r="H775">
        <v>0</v>
      </c>
      <c r="I775" t="s">
        <v>788</v>
      </c>
    </row>
    <row r="776" spans="1:9" hidden="1" x14ac:dyDescent="0.2">
      <c r="A776" t="s">
        <v>307</v>
      </c>
      <c r="B776" t="s">
        <v>810</v>
      </c>
      <c r="D776">
        <v>1.2626509811791559E-4</v>
      </c>
      <c r="E776">
        <v>0</v>
      </c>
      <c r="F776">
        <v>0</v>
      </c>
      <c r="G776">
        <v>0</v>
      </c>
      <c r="H776">
        <v>0</v>
      </c>
      <c r="I776" t="s">
        <v>788</v>
      </c>
    </row>
    <row r="777" spans="1:9" hidden="1" x14ac:dyDescent="0.2">
      <c r="A777" t="s">
        <v>307</v>
      </c>
      <c r="B777" t="s">
        <v>811</v>
      </c>
      <c r="D777">
        <v>0</v>
      </c>
      <c r="E777">
        <v>0</v>
      </c>
      <c r="F777">
        <v>0</v>
      </c>
      <c r="G777">
        <v>0</v>
      </c>
      <c r="H777">
        <v>0</v>
      </c>
      <c r="I777" t="s">
        <v>788</v>
      </c>
    </row>
    <row r="778" spans="1:9" hidden="1" x14ac:dyDescent="0.2">
      <c r="A778" t="s">
        <v>308</v>
      </c>
      <c r="B778" t="s">
        <v>810</v>
      </c>
      <c r="C778">
        <v>6.9176887678191502E-3</v>
      </c>
      <c r="D778">
        <v>0</v>
      </c>
      <c r="E778">
        <v>0</v>
      </c>
      <c r="F778">
        <v>0</v>
      </c>
      <c r="G778">
        <v>0</v>
      </c>
      <c r="H778">
        <v>10.69326715918867</v>
      </c>
      <c r="I778" t="s">
        <v>795</v>
      </c>
    </row>
    <row r="779" spans="1:9" hidden="1" x14ac:dyDescent="0.2">
      <c r="A779" t="s">
        <v>308</v>
      </c>
      <c r="B779" t="s">
        <v>819</v>
      </c>
      <c r="C779">
        <v>1.45271501483915E-2</v>
      </c>
      <c r="D779">
        <v>0</v>
      </c>
      <c r="E779">
        <v>0</v>
      </c>
      <c r="F779">
        <v>0</v>
      </c>
      <c r="G779">
        <v>0</v>
      </c>
      <c r="H779">
        <v>22.455878817718801</v>
      </c>
      <c r="I779" t="s">
        <v>795</v>
      </c>
    </row>
    <row r="780" spans="1:9" hidden="1" x14ac:dyDescent="0.2">
      <c r="A780" t="s">
        <v>308</v>
      </c>
      <c r="B780" t="s">
        <v>811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 t="s">
        <v>795</v>
      </c>
    </row>
    <row r="781" spans="1:9" hidden="1" x14ac:dyDescent="0.2">
      <c r="A781" t="s">
        <v>309</v>
      </c>
      <c r="B781" t="s">
        <v>810</v>
      </c>
      <c r="C781">
        <v>5.6488844274176068E-5</v>
      </c>
      <c r="D781">
        <v>0</v>
      </c>
      <c r="E781">
        <v>0</v>
      </c>
      <c r="F781">
        <v>0</v>
      </c>
      <c r="G781">
        <v>0</v>
      </c>
      <c r="H781">
        <v>0</v>
      </c>
      <c r="I781" t="s">
        <v>793</v>
      </c>
    </row>
    <row r="782" spans="1:9" hidden="1" x14ac:dyDescent="0.2">
      <c r="A782" t="s">
        <v>309</v>
      </c>
      <c r="B782" t="s">
        <v>819</v>
      </c>
      <c r="C782">
        <v>1.446521787160814E-4</v>
      </c>
      <c r="D782">
        <v>0</v>
      </c>
      <c r="E782">
        <v>0</v>
      </c>
      <c r="F782">
        <v>0</v>
      </c>
      <c r="G782">
        <v>0</v>
      </c>
      <c r="H782">
        <v>0</v>
      </c>
      <c r="I782" t="s">
        <v>793</v>
      </c>
    </row>
    <row r="783" spans="1:9" hidden="1" x14ac:dyDescent="0.2">
      <c r="A783" t="s">
        <v>309</v>
      </c>
      <c r="B783" t="s">
        <v>811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 t="s">
        <v>793</v>
      </c>
    </row>
    <row r="784" spans="1:9" hidden="1" x14ac:dyDescent="0.2">
      <c r="A784" t="s">
        <v>310</v>
      </c>
      <c r="B784" t="s">
        <v>816</v>
      </c>
      <c r="C784">
        <v>3.0855749228437282E-4</v>
      </c>
      <c r="I784" t="s">
        <v>797</v>
      </c>
    </row>
    <row r="785" spans="1:9" hidden="1" x14ac:dyDescent="0.2">
      <c r="A785" t="s">
        <v>310</v>
      </c>
      <c r="B785" t="s">
        <v>811</v>
      </c>
      <c r="C785">
        <v>0</v>
      </c>
      <c r="I785" t="s">
        <v>797</v>
      </c>
    </row>
    <row r="786" spans="1:9" hidden="1" x14ac:dyDescent="0.2">
      <c r="A786" t="s">
        <v>311</v>
      </c>
      <c r="B786" t="s">
        <v>816</v>
      </c>
      <c r="C786">
        <v>9.517482631770189E-4</v>
      </c>
      <c r="D786">
        <v>0</v>
      </c>
      <c r="E786">
        <v>0</v>
      </c>
      <c r="F786">
        <v>0</v>
      </c>
      <c r="G786">
        <v>0</v>
      </c>
      <c r="H786">
        <v>0</v>
      </c>
      <c r="I786" t="s">
        <v>797</v>
      </c>
    </row>
    <row r="787" spans="1:9" hidden="1" x14ac:dyDescent="0.2">
      <c r="A787" t="s">
        <v>311</v>
      </c>
      <c r="B787" t="s">
        <v>810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 t="s">
        <v>797</v>
      </c>
    </row>
    <row r="788" spans="1:9" hidden="1" x14ac:dyDescent="0.2">
      <c r="A788" t="s">
        <v>311</v>
      </c>
      <c r="B788" t="s">
        <v>811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 t="s">
        <v>797</v>
      </c>
    </row>
    <row r="789" spans="1:9" hidden="1" x14ac:dyDescent="0.2">
      <c r="A789" t="s">
        <v>312</v>
      </c>
      <c r="B789" t="s">
        <v>864</v>
      </c>
      <c r="C789">
        <v>0</v>
      </c>
      <c r="I789" t="s">
        <v>790</v>
      </c>
    </row>
    <row r="790" spans="1:9" hidden="1" x14ac:dyDescent="0.2">
      <c r="A790" t="s">
        <v>312</v>
      </c>
      <c r="B790" t="s">
        <v>810</v>
      </c>
      <c r="C790">
        <v>0</v>
      </c>
      <c r="I790" t="s">
        <v>790</v>
      </c>
    </row>
    <row r="791" spans="1:9" hidden="1" x14ac:dyDescent="0.2">
      <c r="A791" t="s">
        <v>312</v>
      </c>
      <c r="B791" t="s">
        <v>811</v>
      </c>
      <c r="C791">
        <v>0</v>
      </c>
      <c r="I791" t="s">
        <v>790</v>
      </c>
    </row>
    <row r="792" spans="1:9" hidden="1" x14ac:dyDescent="0.2">
      <c r="A792" t="s">
        <v>313</v>
      </c>
      <c r="B792" t="s">
        <v>865</v>
      </c>
      <c r="C792">
        <v>7.6669082288232313E-3</v>
      </c>
      <c r="D792">
        <v>0</v>
      </c>
      <c r="E792">
        <v>0</v>
      </c>
      <c r="F792">
        <v>0</v>
      </c>
      <c r="G792">
        <v>0</v>
      </c>
      <c r="H792">
        <v>0</v>
      </c>
      <c r="I792" t="s">
        <v>803</v>
      </c>
    </row>
    <row r="793" spans="1:9" hidden="1" x14ac:dyDescent="0.2">
      <c r="A793" t="s">
        <v>313</v>
      </c>
      <c r="B793" t="s">
        <v>810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 t="s">
        <v>803</v>
      </c>
    </row>
    <row r="794" spans="1:9" hidden="1" x14ac:dyDescent="0.2">
      <c r="A794" t="s">
        <v>313</v>
      </c>
      <c r="B794" t="s">
        <v>811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 t="s">
        <v>803</v>
      </c>
    </row>
    <row r="795" spans="1:9" hidden="1" x14ac:dyDescent="0.2">
      <c r="A795" t="s">
        <v>314</v>
      </c>
      <c r="B795" t="s">
        <v>836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 t="s">
        <v>803</v>
      </c>
    </row>
    <row r="796" spans="1:9" hidden="1" x14ac:dyDescent="0.2">
      <c r="A796" t="s">
        <v>314</v>
      </c>
      <c r="B796" t="s">
        <v>866</v>
      </c>
      <c r="C796">
        <v>1.205343157506415E-4</v>
      </c>
      <c r="D796">
        <v>1.4052017257541859E-3</v>
      </c>
      <c r="E796">
        <v>0</v>
      </c>
      <c r="F796">
        <v>0</v>
      </c>
      <c r="G796">
        <v>0</v>
      </c>
      <c r="H796">
        <v>0</v>
      </c>
      <c r="I796" t="s">
        <v>803</v>
      </c>
    </row>
    <row r="797" spans="1:9" hidden="1" x14ac:dyDescent="0.2">
      <c r="A797" t="s">
        <v>314</v>
      </c>
      <c r="B797" t="s">
        <v>811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 t="s">
        <v>803</v>
      </c>
    </row>
    <row r="798" spans="1:9" hidden="1" x14ac:dyDescent="0.2">
      <c r="A798" t="s">
        <v>315</v>
      </c>
      <c r="B798" t="s">
        <v>814</v>
      </c>
      <c r="C798">
        <v>0</v>
      </c>
      <c r="D798">
        <v>23.01627074460648</v>
      </c>
      <c r="E798">
        <v>0</v>
      </c>
      <c r="F798">
        <v>0</v>
      </c>
      <c r="G798">
        <v>0</v>
      </c>
      <c r="H798">
        <v>0</v>
      </c>
      <c r="I798" t="s">
        <v>798</v>
      </c>
    </row>
    <row r="799" spans="1:9" hidden="1" x14ac:dyDescent="0.2">
      <c r="A799" t="s">
        <v>315</v>
      </c>
      <c r="B799" t="s">
        <v>810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 t="s">
        <v>798</v>
      </c>
    </row>
    <row r="800" spans="1:9" hidden="1" x14ac:dyDescent="0.2">
      <c r="A800" t="s">
        <v>315</v>
      </c>
      <c r="B800" t="s">
        <v>822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 t="s">
        <v>798</v>
      </c>
    </row>
    <row r="801" spans="1:9" hidden="1" x14ac:dyDescent="0.2">
      <c r="A801" t="s">
        <v>316</v>
      </c>
      <c r="B801" t="s">
        <v>814</v>
      </c>
      <c r="C801">
        <v>0</v>
      </c>
      <c r="E801">
        <v>2.7632721163355091E-3</v>
      </c>
      <c r="F801">
        <v>0</v>
      </c>
      <c r="G801">
        <v>0</v>
      </c>
      <c r="I801" t="s">
        <v>801</v>
      </c>
    </row>
    <row r="802" spans="1:9" hidden="1" x14ac:dyDescent="0.2">
      <c r="A802" t="s">
        <v>316</v>
      </c>
      <c r="B802" t="s">
        <v>810</v>
      </c>
      <c r="C802">
        <v>0</v>
      </c>
      <c r="E802">
        <v>0</v>
      </c>
      <c r="F802">
        <v>0</v>
      </c>
      <c r="G802">
        <v>0</v>
      </c>
      <c r="I802" t="s">
        <v>801</v>
      </c>
    </row>
    <row r="803" spans="1:9" hidden="1" x14ac:dyDescent="0.2">
      <c r="A803" t="s">
        <v>316</v>
      </c>
      <c r="B803" t="s">
        <v>822</v>
      </c>
      <c r="C803">
        <v>0</v>
      </c>
      <c r="E803">
        <v>0</v>
      </c>
      <c r="F803">
        <v>0</v>
      </c>
      <c r="G803">
        <v>0</v>
      </c>
      <c r="I803" t="s">
        <v>801</v>
      </c>
    </row>
    <row r="804" spans="1:9" hidden="1" x14ac:dyDescent="0.2">
      <c r="A804" t="s">
        <v>317</v>
      </c>
      <c r="B804" t="s">
        <v>814</v>
      </c>
      <c r="C804">
        <v>0</v>
      </c>
      <c r="D804">
        <v>2.0944889341755661E-3</v>
      </c>
      <c r="E804">
        <v>0</v>
      </c>
      <c r="F804">
        <v>0</v>
      </c>
      <c r="G804">
        <v>0</v>
      </c>
      <c r="I804" t="s">
        <v>789</v>
      </c>
    </row>
    <row r="805" spans="1:9" hidden="1" x14ac:dyDescent="0.2">
      <c r="A805" t="s">
        <v>317</v>
      </c>
      <c r="B805" t="s">
        <v>810</v>
      </c>
      <c r="C805">
        <v>0</v>
      </c>
      <c r="D805">
        <v>0</v>
      </c>
      <c r="E805">
        <v>0</v>
      </c>
      <c r="F805">
        <v>0</v>
      </c>
      <c r="G805">
        <v>0</v>
      </c>
      <c r="I805" t="s">
        <v>789</v>
      </c>
    </row>
    <row r="806" spans="1:9" hidden="1" x14ac:dyDescent="0.2">
      <c r="A806" t="s">
        <v>317</v>
      </c>
      <c r="B806" t="s">
        <v>822</v>
      </c>
      <c r="C806">
        <v>0</v>
      </c>
      <c r="D806">
        <v>0</v>
      </c>
      <c r="E806">
        <v>0</v>
      </c>
      <c r="F806">
        <v>0</v>
      </c>
      <c r="G806">
        <v>0</v>
      </c>
      <c r="I806" t="s">
        <v>789</v>
      </c>
    </row>
    <row r="807" spans="1:9" hidden="1" x14ac:dyDescent="0.2">
      <c r="A807" t="s">
        <v>318</v>
      </c>
      <c r="B807" t="s">
        <v>814</v>
      </c>
      <c r="C807">
        <v>0</v>
      </c>
      <c r="D807">
        <v>7.0000314489772047E-3</v>
      </c>
      <c r="E807">
        <v>0</v>
      </c>
      <c r="F807">
        <v>0</v>
      </c>
      <c r="G807">
        <v>0</v>
      </c>
      <c r="I807" t="s">
        <v>788</v>
      </c>
    </row>
    <row r="808" spans="1:9" hidden="1" x14ac:dyDescent="0.2">
      <c r="A808" t="s">
        <v>318</v>
      </c>
      <c r="B808" t="s">
        <v>810</v>
      </c>
      <c r="C808">
        <v>0</v>
      </c>
      <c r="D808">
        <v>0</v>
      </c>
      <c r="E808">
        <v>0</v>
      </c>
      <c r="F808">
        <v>0</v>
      </c>
      <c r="G808">
        <v>0</v>
      </c>
      <c r="I808" t="s">
        <v>788</v>
      </c>
    </row>
    <row r="809" spans="1:9" hidden="1" x14ac:dyDescent="0.2">
      <c r="A809" t="s">
        <v>318</v>
      </c>
      <c r="B809" t="s">
        <v>822</v>
      </c>
      <c r="C809">
        <v>0</v>
      </c>
      <c r="D809">
        <v>0</v>
      </c>
      <c r="E809">
        <v>0</v>
      </c>
      <c r="F809">
        <v>0</v>
      </c>
      <c r="G809">
        <v>0</v>
      </c>
      <c r="I809" t="s">
        <v>788</v>
      </c>
    </row>
    <row r="810" spans="1:9" hidden="1" x14ac:dyDescent="0.2">
      <c r="A810" t="s">
        <v>319</v>
      </c>
      <c r="B810" t="s">
        <v>816</v>
      </c>
      <c r="C810">
        <v>0</v>
      </c>
      <c r="I810" t="s">
        <v>797</v>
      </c>
    </row>
    <row r="811" spans="1:9" hidden="1" x14ac:dyDescent="0.2">
      <c r="A811" t="s">
        <v>319</v>
      </c>
      <c r="B811" t="s">
        <v>836</v>
      </c>
      <c r="C811">
        <v>0</v>
      </c>
      <c r="I811" t="s">
        <v>797</v>
      </c>
    </row>
    <row r="812" spans="1:9" hidden="1" x14ac:dyDescent="0.2">
      <c r="A812" t="s">
        <v>320</v>
      </c>
      <c r="B812" t="s">
        <v>814</v>
      </c>
      <c r="C812">
        <v>0</v>
      </c>
      <c r="I812" t="s">
        <v>795</v>
      </c>
    </row>
    <row r="813" spans="1:9" hidden="1" x14ac:dyDescent="0.2">
      <c r="A813" t="s">
        <v>320</v>
      </c>
      <c r="B813" t="s">
        <v>810</v>
      </c>
      <c r="C813">
        <v>0</v>
      </c>
      <c r="I813" t="s">
        <v>795</v>
      </c>
    </row>
    <row r="814" spans="1:9" hidden="1" x14ac:dyDescent="0.2">
      <c r="A814" t="s">
        <v>320</v>
      </c>
      <c r="B814" t="s">
        <v>811</v>
      </c>
      <c r="C814">
        <v>0</v>
      </c>
      <c r="I814" t="s">
        <v>795</v>
      </c>
    </row>
    <row r="815" spans="1:9" hidden="1" x14ac:dyDescent="0.2">
      <c r="A815" t="s">
        <v>321</v>
      </c>
      <c r="B815" t="s">
        <v>810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 t="s">
        <v>788</v>
      </c>
    </row>
    <row r="816" spans="1:9" hidden="1" x14ac:dyDescent="0.2">
      <c r="A816" t="s">
        <v>321</v>
      </c>
      <c r="B816" t="s">
        <v>813</v>
      </c>
      <c r="C816">
        <v>954.98316346818797</v>
      </c>
      <c r="D816">
        <v>0</v>
      </c>
      <c r="E816">
        <v>0</v>
      </c>
      <c r="F816">
        <v>0</v>
      </c>
      <c r="G816">
        <v>0</v>
      </c>
      <c r="H816">
        <v>0</v>
      </c>
      <c r="I816" t="s">
        <v>788</v>
      </c>
    </row>
    <row r="817" spans="1:9" hidden="1" x14ac:dyDescent="0.2">
      <c r="A817" t="s">
        <v>322</v>
      </c>
      <c r="B817" t="s">
        <v>835</v>
      </c>
      <c r="C817">
        <v>5.8509402115182434</v>
      </c>
      <c r="D817">
        <v>0</v>
      </c>
      <c r="E817">
        <v>0</v>
      </c>
      <c r="F817">
        <v>0</v>
      </c>
      <c r="G817">
        <v>0</v>
      </c>
      <c r="H817">
        <v>0</v>
      </c>
      <c r="I817" t="s">
        <v>802</v>
      </c>
    </row>
    <row r="818" spans="1:9" hidden="1" x14ac:dyDescent="0.2">
      <c r="A818" t="s">
        <v>322</v>
      </c>
      <c r="B818" t="s">
        <v>810</v>
      </c>
      <c r="C818">
        <v>0.42138819634312619</v>
      </c>
      <c r="D818">
        <v>0</v>
      </c>
      <c r="E818">
        <v>0</v>
      </c>
      <c r="F818">
        <v>0</v>
      </c>
      <c r="G818">
        <v>0</v>
      </c>
      <c r="H818">
        <v>0</v>
      </c>
      <c r="I818" t="s">
        <v>802</v>
      </c>
    </row>
    <row r="819" spans="1:9" hidden="1" x14ac:dyDescent="0.2">
      <c r="A819" t="s">
        <v>322</v>
      </c>
      <c r="B819" t="s">
        <v>811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 t="s">
        <v>802</v>
      </c>
    </row>
    <row r="820" spans="1:9" hidden="1" x14ac:dyDescent="0.2">
      <c r="A820" t="s">
        <v>323</v>
      </c>
      <c r="B820" t="s">
        <v>836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 t="s">
        <v>803</v>
      </c>
    </row>
    <row r="821" spans="1:9" hidden="1" x14ac:dyDescent="0.2">
      <c r="A821" t="s">
        <v>323</v>
      </c>
      <c r="B821" t="s">
        <v>865</v>
      </c>
      <c r="C821">
        <v>159.28425205018539</v>
      </c>
      <c r="D821">
        <v>0</v>
      </c>
      <c r="E821">
        <v>0</v>
      </c>
      <c r="F821">
        <v>0</v>
      </c>
      <c r="G821">
        <v>0</v>
      </c>
      <c r="H821">
        <v>0</v>
      </c>
      <c r="I821" t="s">
        <v>803</v>
      </c>
    </row>
    <row r="822" spans="1:9" hidden="1" x14ac:dyDescent="0.2">
      <c r="A822" t="s">
        <v>323</v>
      </c>
      <c r="B822" t="s">
        <v>810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 t="s">
        <v>803</v>
      </c>
    </row>
    <row r="823" spans="1:9" hidden="1" x14ac:dyDescent="0.2">
      <c r="A823" t="s">
        <v>324</v>
      </c>
      <c r="B823" t="s">
        <v>816</v>
      </c>
      <c r="I823" t="s">
        <v>797</v>
      </c>
    </row>
    <row r="824" spans="1:9" hidden="1" x14ac:dyDescent="0.2">
      <c r="A824" t="s">
        <v>324</v>
      </c>
      <c r="B824" t="s">
        <v>810</v>
      </c>
      <c r="I824" t="s">
        <v>797</v>
      </c>
    </row>
    <row r="825" spans="1:9" hidden="1" x14ac:dyDescent="0.2">
      <c r="A825" t="s">
        <v>324</v>
      </c>
      <c r="B825" t="s">
        <v>867</v>
      </c>
      <c r="I825" t="s">
        <v>797</v>
      </c>
    </row>
    <row r="826" spans="1:9" hidden="1" x14ac:dyDescent="0.2">
      <c r="A826" t="s">
        <v>324</v>
      </c>
      <c r="B826" t="s">
        <v>868</v>
      </c>
      <c r="I826" t="s">
        <v>797</v>
      </c>
    </row>
    <row r="827" spans="1:9" hidden="1" x14ac:dyDescent="0.2">
      <c r="A827" t="s">
        <v>324</v>
      </c>
      <c r="B827" t="s">
        <v>811</v>
      </c>
      <c r="I827" t="s">
        <v>797</v>
      </c>
    </row>
    <row r="828" spans="1:9" hidden="1" x14ac:dyDescent="0.2">
      <c r="A828" t="s">
        <v>325</v>
      </c>
      <c r="B828" t="s">
        <v>812</v>
      </c>
      <c r="C828">
        <v>4.7906993074324352E-3</v>
      </c>
      <c r="F828">
        <v>0</v>
      </c>
      <c r="H828">
        <v>0</v>
      </c>
      <c r="I828" t="s">
        <v>796</v>
      </c>
    </row>
    <row r="829" spans="1:9" x14ac:dyDescent="0.2">
      <c r="A829" t="s">
        <v>326</v>
      </c>
      <c r="B829" t="s">
        <v>810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 t="s">
        <v>794</v>
      </c>
    </row>
    <row r="830" spans="1:9" x14ac:dyDescent="0.2">
      <c r="A830" t="s">
        <v>326</v>
      </c>
      <c r="B830" t="s">
        <v>869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 t="s">
        <v>794</v>
      </c>
    </row>
    <row r="831" spans="1:9" x14ac:dyDescent="0.2">
      <c r="A831" t="s">
        <v>327</v>
      </c>
      <c r="B831" t="s">
        <v>810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 t="s">
        <v>794</v>
      </c>
    </row>
    <row r="832" spans="1:9" x14ac:dyDescent="0.2">
      <c r="A832" t="s">
        <v>327</v>
      </c>
      <c r="B832" t="s">
        <v>870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 t="s">
        <v>794</v>
      </c>
    </row>
    <row r="833" spans="1:9" hidden="1" x14ac:dyDescent="0.2">
      <c r="A833" t="s">
        <v>328</v>
      </c>
      <c r="B833" t="s">
        <v>837</v>
      </c>
      <c r="C833">
        <v>0</v>
      </c>
      <c r="D833">
        <v>0</v>
      </c>
      <c r="E833">
        <v>0</v>
      </c>
      <c r="I833" t="s">
        <v>801</v>
      </c>
    </row>
    <row r="834" spans="1:9" hidden="1" x14ac:dyDescent="0.2">
      <c r="A834" t="s">
        <v>328</v>
      </c>
      <c r="B834" t="s">
        <v>850</v>
      </c>
      <c r="C834">
        <v>0</v>
      </c>
      <c r="D834">
        <v>0</v>
      </c>
      <c r="E834">
        <v>0</v>
      </c>
      <c r="I834" t="s">
        <v>801</v>
      </c>
    </row>
    <row r="835" spans="1:9" hidden="1" x14ac:dyDescent="0.2">
      <c r="A835" t="s">
        <v>328</v>
      </c>
      <c r="B835" t="s">
        <v>838</v>
      </c>
      <c r="C835">
        <v>6.8501626625922336</v>
      </c>
      <c r="D835">
        <v>0</v>
      </c>
      <c r="E835">
        <v>0</v>
      </c>
      <c r="I835" t="s">
        <v>801</v>
      </c>
    </row>
    <row r="836" spans="1:9" hidden="1" x14ac:dyDescent="0.2">
      <c r="A836" t="s">
        <v>328</v>
      </c>
      <c r="B836" t="s">
        <v>821</v>
      </c>
      <c r="C836">
        <v>107.3192071432328</v>
      </c>
      <c r="D836">
        <v>0</v>
      </c>
      <c r="E836">
        <v>0</v>
      </c>
      <c r="I836" t="s">
        <v>801</v>
      </c>
    </row>
    <row r="837" spans="1:9" hidden="1" x14ac:dyDescent="0.2">
      <c r="A837" t="s">
        <v>328</v>
      </c>
      <c r="B837" t="s">
        <v>851</v>
      </c>
      <c r="C837">
        <v>0</v>
      </c>
      <c r="D837">
        <v>0</v>
      </c>
      <c r="E837">
        <v>0</v>
      </c>
      <c r="I837" t="s">
        <v>801</v>
      </c>
    </row>
    <row r="838" spans="1:9" hidden="1" x14ac:dyDescent="0.2">
      <c r="A838" t="s">
        <v>328</v>
      </c>
      <c r="B838" t="s">
        <v>817</v>
      </c>
      <c r="C838">
        <v>4047.7934233779888</v>
      </c>
      <c r="D838">
        <v>0</v>
      </c>
      <c r="E838">
        <v>0</v>
      </c>
      <c r="I838" t="s">
        <v>801</v>
      </c>
    </row>
    <row r="839" spans="1:9" hidden="1" x14ac:dyDescent="0.2">
      <c r="A839" t="s">
        <v>329</v>
      </c>
      <c r="B839" t="s">
        <v>816</v>
      </c>
      <c r="C839">
        <v>0</v>
      </c>
      <c r="I839" t="s">
        <v>801</v>
      </c>
    </row>
    <row r="840" spans="1:9" hidden="1" x14ac:dyDescent="0.2">
      <c r="A840" t="s">
        <v>329</v>
      </c>
      <c r="B840" t="s">
        <v>815</v>
      </c>
      <c r="C840">
        <v>0</v>
      </c>
      <c r="I840" t="s">
        <v>801</v>
      </c>
    </row>
    <row r="841" spans="1:9" hidden="1" x14ac:dyDescent="0.2">
      <c r="A841" t="s">
        <v>329</v>
      </c>
      <c r="B841" t="s">
        <v>810</v>
      </c>
      <c r="C841">
        <v>0</v>
      </c>
      <c r="I841" t="s">
        <v>801</v>
      </c>
    </row>
    <row r="842" spans="1:9" hidden="1" x14ac:dyDescent="0.2">
      <c r="A842" t="s">
        <v>329</v>
      </c>
      <c r="B842" t="s">
        <v>817</v>
      </c>
      <c r="C842">
        <v>0</v>
      </c>
      <c r="I842" t="s">
        <v>801</v>
      </c>
    </row>
    <row r="843" spans="1:9" hidden="1" x14ac:dyDescent="0.2">
      <c r="A843" t="s">
        <v>330</v>
      </c>
      <c r="B843" t="s">
        <v>816</v>
      </c>
      <c r="C843">
        <v>4.4108195680539751E-4</v>
      </c>
      <c r="D843">
        <v>48.399388791495063</v>
      </c>
      <c r="I843" t="s">
        <v>801</v>
      </c>
    </row>
    <row r="844" spans="1:9" hidden="1" x14ac:dyDescent="0.2">
      <c r="A844" t="s">
        <v>330</v>
      </c>
      <c r="B844" t="s">
        <v>815</v>
      </c>
      <c r="C844">
        <v>0</v>
      </c>
      <c r="D844">
        <v>0</v>
      </c>
      <c r="I844" t="s">
        <v>801</v>
      </c>
    </row>
    <row r="845" spans="1:9" hidden="1" x14ac:dyDescent="0.2">
      <c r="A845" t="s">
        <v>330</v>
      </c>
      <c r="B845" t="s">
        <v>810</v>
      </c>
      <c r="C845">
        <v>6.9954275051219839E-5</v>
      </c>
      <c r="D845">
        <v>7.2836594192336968</v>
      </c>
      <c r="I845" t="s">
        <v>801</v>
      </c>
    </row>
    <row r="846" spans="1:9" hidden="1" x14ac:dyDescent="0.2">
      <c r="A846" t="s">
        <v>331</v>
      </c>
      <c r="B846" t="s">
        <v>814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 t="s">
        <v>801</v>
      </c>
    </row>
    <row r="847" spans="1:9" hidden="1" x14ac:dyDescent="0.2">
      <c r="A847" t="s">
        <v>331</v>
      </c>
      <c r="B847" t="s">
        <v>810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 t="s">
        <v>801</v>
      </c>
    </row>
    <row r="848" spans="1:9" hidden="1" x14ac:dyDescent="0.2">
      <c r="A848" t="s">
        <v>331</v>
      </c>
      <c r="B848" t="s">
        <v>817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 t="s">
        <v>801</v>
      </c>
    </row>
    <row r="849" spans="1:9" hidden="1" x14ac:dyDescent="0.2">
      <c r="A849" t="s">
        <v>331</v>
      </c>
      <c r="B849" t="s">
        <v>812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 t="s">
        <v>801</v>
      </c>
    </row>
    <row r="850" spans="1:9" hidden="1" x14ac:dyDescent="0.2">
      <c r="A850" t="s">
        <v>332</v>
      </c>
      <c r="B850" t="s">
        <v>816</v>
      </c>
      <c r="C850">
        <v>3.8519114642856547E-6</v>
      </c>
      <c r="I850" t="s">
        <v>801</v>
      </c>
    </row>
    <row r="851" spans="1:9" hidden="1" x14ac:dyDescent="0.2">
      <c r="A851" t="s">
        <v>332</v>
      </c>
      <c r="B851" t="s">
        <v>810</v>
      </c>
      <c r="C851">
        <v>3.8519114642856547E-6</v>
      </c>
      <c r="I851" t="s">
        <v>801</v>
      </c>
    </row>
    <row r="852" spans="1:9" hidden="1" x14ac:dyDescent="0.2">
      <c r="A852" t="s">
        <v>332</v>
      </c>
      <c r="B852" t="s">
        <v>817</v>
      </c>
      <c r="C852">
        <v>5.1160090009285918E-5</v>
      </c>
      <c r="I852" t="s">
        <v>801</v>
      </c>
    </row>
    <row r="853" spans="1:9" hidden="1" x14ac:dyDescent="0.2">
      <c r="A853" t="s">
        <v>333</v>
      </c>
      <c r="B853" t="s">
        <v>816</v>
      </c>
      <c r="C853">
        <v>0</v>
      </c>
      <c r="I853" t="s">
        <v>801</v>
      </c>
    </row>
    <row r="854" spans="1:9" hidden="1" x14ac:dyDescent="0.2">
      <c r="A854" t="s">
        <v>333</v>
      </c>
      <c r="B854" t="s">
        <v>815</v>
      </c>
      <c r="C854">
        <v>0</v>
      </c>
      <c r="I854" t="s">
        <v>801</v>
      </c>
    </row>
    <row r="855" spans="1:9" hidden="1" x14ac:dyDescent="0.2">
      <c r="A855" t="s">
        <v>333</v>
      </c>
      <c r="B855" t="s">
        <v>810</v>
      </c>
      <c r="C855">
        <v>6.6763121076501934E-6</v>
      </c>
      <c r="I855" t="s">
        <v>801</v>
      </c>
    </row>
    <row r="856" spans="1:9" hidden="1" x14ac:dyDescent="0.2">
      <c r="A856" t="s">
        <v>333</v>
      </c>
      <c r="B856" t="s">
        <v>817</v>
      </c>
      <c r="C856">
        <v>5.4946148976940537E-5</v>
      </c>
      <c r="I856" t="s">
        <v>801</v>
      </c>
    </row>
    <row r="857" spans="1:9" hidden="1" x14ac:dyDescent="0.2">
      <c r="A857" t="s">
        <v>334</v>
      </c>
      <c r="B857" t="s">
        <v>841</v>
      </c>
      <c r="C857">
        <v>1.106903695485555E-2</v>
      </c>
      <c r="D857">
        <v>0</v>
      </c>
      <c r="E857">
        <v>0</v>
      </c>
      <c r="F857">
        <v>0</v>
      </c>
      <c r="G857">
        <v>0</v>
      </c>
      <c r="H857">
        <v>0</v>
      </c>
      <c r="I857" t="s">
        <v>804</v>
      </c>
    </row>
    <row r="858" spans="1:9" hidden="1" x14ac:dyDescent="0.2">
      <c r="A858" t="s">
        <v>334</v>
      </c>
      <c r="B858" t="s">
        <v>838</v>
      </c>
      <c r="C858">
        <v>8884.8497843831119</v>
      </c>
      <c r="D858">
        <v>0</v>
      </c>
      <c r="E858">
        <v>0</v>
      </c>
      <c r="F858">
        <v>0</v>
      </c>
      <c r="G858">
        <v>0</v>
      </c>
      <c r="H858">
        <v>0</v>
      </c>
      <c r="I858" t="s">
        <v>804</v>
      </c>
    </row>
    <row r="859" spans="1:9" hidden="1" x14ac:dyDescent="0.2">
      <c r="A859" t="s">
        <v>334</v>
      </c>
      <c r="B859" t="s">
        <v>842</v>
      </c>
      <c r="C859">
        <v>8.9566249848751014E-3</v>
      </c>
      <c r="D859">
        <v>0</v>
      </c>
      <c r="E859">
        <v>0</v>
      </c>
      <c r="F859">
        <v>0</v>
      </c>
      <c r="G859">
        <v>0</v>
      </c>
      <c r="H859">
        <v>0</v>
      </c>
      <c r="I859" t="s">
        <v>804</v>
      </c>
    </row>
    <row r="860" spans="1:9" hidden="1" x14ac:dyDescent="0.2">
      <c r="A860" t="s">
        <v>335</v>
      </c>
      <c r="B860" t="s">
        <v>841</v>
      </c>
      <c r="C860">
        <v>9.5356600328276794E-3</v>
      </c>
      <c r="D860">
        <v>0</v>
      </c>
      <c r="E860">
        <v>0</v>
      </c>
      <c r="F860">
        <v>0</v>
      </c>
      <c r="G860">
        <v>0</v>
      </c>
      <c r="H860">
        <v>0</v>
      </c>
      <c r="I860" t="s">
        <v>804</v>
      </c>
    </row>
    <row r="861" spans="1:9" hidden="1" x14ac:dyDescent="0.2">
      <c r="A861" t="s">
        <v>335</v>
      </c>
      <c r="B861" t="s">
        <v>838</v>
      </c>
      <c r="C861">
        <v>1748.6300218968111</v>
      </c>
      <c r="D861">
        <v>0</v>
      </c>
      <c r="E861">
        <v>0</v>
      </c>
      <c r="F861">
        <v>0</v>
      </c>
      <c r="G861">
        <v>0</v>
      </c>
      <c r="H861">
        <v>0</v>
      </c>
      <c r="I861" t="s">
        <v>804</v>
      </c>
    </row>
    <row r="862" spans="1:9" hidden="1" x14ac:dyDescent="0.2">
      <c r="A862" t="s">
        <v>335</v>
      </c>
      <c r="B862" t="s">
        <v>830</v>
      </c>
      <c r="C862">
        <v>14.76373743433744</v>
      </c>
      <c r="D862">
        <v>0</v>
      </c>
      <c r="E862">
        <v>0</v>
      </c>
      <c r="F862">
        <v>0</v>
      </c>
      <c r="G862">
        <v>0</v>
      </c>
      <c r="H862">
        <v>0</v>
      </c>
      <c r="I862" t="s">
        <v>804</v>
      </c>
    </row>
    <row r="863" spans="1:9" hidden="1" x14ac:dyDescent="0.2">
      <c r="A863" t="s">
        <v>335</v>
      </c>
      <c r="B863" t="s">
        <v>831</v>
      </c>
      <c r="C863">
        <v>132.43247084004139</v>
      </c>
      <c r="D863">
        <v>0</v>
      </c>
      <c r="E863">
        <v>0</v>
      </c>
      <c r="F863">
        <v>0</v>
      </c>
      <c r="G863">
        <v>0</v>
      </c>
      <c r="H863">
        <v>0</v>
      </c>
      <c r="I863" t="s">
        <v>804</v>
      </c>
    </row>
    <row r="864" spans="1:9" hidden="1" x14ac:dyDescent="0.2">
      <c r="A864" t="s">
        <v>335</v>
      </c>
      <c r="B864" t="s">
        <v>832</v>
      </c>
      <c r="C864">
        <v>602.22426667450122</v>
      </c>
      <c r="D864">
        <v>0</v>
      </c>
      <c r="E864">
        <v>0</v>
      </c>
      <c r="F864">
        <v>0</v>
      </c>
      <c r="G864">
        <v>0</v>
      </c>
      <c r="H864">
        <v>0</v>
      </c>
      <c r="I864" t="s">
        <v>804</v>
      </c>
    </row>
    <row r="865" spans="1:9" hidden="1" x14ac:dyDescent="0.2">
      <c r="A865" t="s">
        <v>335</v>
      </c>
      <c r="B865" t="s">
        <v>842</v>
      </c>
      <c r="C865">
        <v>8.0609816618177812E-3</v>
      </c>
      <c r="D865">
        <v>0</v>
      </c>
      <c r="E865">
        <v>0</v>
      </c>
      <c r="F865">
        <v>0</v>
      </c>
      <c r="G865">
        <v>0</v>
      </c>
      <c r="H865">
        <v>0</v>
      </c>
      <c r="I865" t="s">
        <v>804</v>
      </c>
    </row>
    <row r="866" spans="1:9" hidden="1" x14ac:dyDescent="0.2">
      <c r="A866" t="s">
        <v>336</v>
      </c>
      <c r="B866" t="s">
        <v>843</v>
      </c>
      <c r="C866">
        <v>676.3681712601126</v>
      </c>
      <c r="D866">
        <v>0</v>
      </c>
      <c r="E866">
        <v>0</v>
      </c>
      <c r="F866">
        <v>0</v>
      </c>
      <c r="G866">
        <v>0</v>
      </c>
      <c r="H866">
        <v>0</v>
      </c>
      <c r="I866" t="s">
        <v>804</v>
      </c>
    </row>
    <row r="867" spans="1:9" hidden="1" x14ac:dyDescent="0.2">
      <c r="A867" t="s">
        <v>336</v>
      </c>
      <c r="B867" t="s">
        <v>853</v>
      </c>
      <c r="C867">
        <v>12.929636264623349</v>
      </c>
      <c r="D867">
        <v>0</v>
      </c>
      <c r="E867">
        <v>0</v>
      </c>
      <c r="F867">
        <v>0</v>
      </c>
      <c r="G867">
        <v>0</v>
      </c>
      <c r="H867">
        <v>0</v>
      </c>
      <c r="I867" t="s">
        <v>804</v>
      </c>
    </row>
    <row r="868" spans="1:9" hidden="1" x14ac:dyDescent="0.2">
      <c r="A868" t="s">
        <v>336</v>
      </c>
      <c r="B868" t="s">
        <v>844</v>
      </c>
      <c r="C868">
        <v>53.576733677640043</v>
      </c>
      <c r="D868">
        <v>0</v>
      </c>
      <c r="E868">
        <v>0</v>
      </c>
      <c r="F868">
        <v>0</v>
      </c>
      <c r="G868">
        <v>0</v>
      </c>
      <c r="H868">
        <v>0</v>
      </c>
      <c r="I868" t="s">
        <v>804</v>
      </c>
    </row>
    <row r="869" spans="1:9" hidden="1" x14ac:dyDescent="0.2">
      <c r="A869" t="s">
        <v>336</v>
      </c>
      <c r="B869" t="s">
        <v>845</v>
      </c>
      <c r="C869">
        <v>1.7027265241584381E-2</v>
      </c>
      <c r="D869">
        <v>0</v>
      </c>
      <c r="E869">
        <v>0</v>
      </c>
      <c r="F869">
        <v>0</v>
      </c>
      <c r="G869">
        <v>0</v>
      </c>
      <c r="H869">
        <v>0</v>
      </c>
      <c r="I869" t="s">
        <v>804</v>
      </c>
    </row>
    <row r="870" spans="1:9" hidden="1" x14ac:dyDescent="0.2">
      <c r="A870" t="s">
        <v>336</v>
      </c>
      <c r="B870" t="s">
        <v>841</v>
      </c>
      <c r="C870">
        <v>1.463136017450588E-2</v>
      </c>
      <c r="D870">
        <v>0</v>
      </c>
      <c r="E870">
        <v>0</v>
      </c>
      <c r="F870">
        <v>0</v>
      </c>
      <c r="G870">
        <v>0</v>
      </c>
      <c r="H870">
        <v>0</v>
      </c>
      <c r="I870" t="s">
        <v>804</v>
      </c>
    </row>
    <row r="871" spans="1:9" hidden="1" x14ac:dyDescent="0.2">
      <c r="A871" t="s">
        <v>336</v>
      </c>
      <c r="B871" t="s">
        <v>838</v>
      </c>
      <c r="C871">
        <v>10629.386924130011</v>
      </c>
      <c r="D871">
        <v>0</v>
      </c>
      <c r="E871">
        <v>0</v>
      </c>
      <c r="F871">
        <v>0</v>
      </c>
      <c r="G871">
        <v>0</v>
      </c>
      <c r="H871">
        <v>0</v>
      </c>
      <c r="I871" t="s">
        <v>804</v>
      </c>
    </row>
    <row r="872" spans="1:9" hidden="1" x14ac:dyDescent="0.2">
      <c r="A872" t="s">
        <v>336</v>
      </c>
      <c r="B872" t="s">
        <v>840</v>
      </c>
      <c r="C872">
        <v>575.55160424686562</v>
      </c>
      <c r="D872">
        <v>0</v>
      </c>
      <c r="E872">
        <v>0</v>
      </c>
      <c r="F872">
        <v>0</v>
      </c>
      <c r="G872">
        <v>0</v>
      </c>
      <c r="H872">
        <v>0</v>
      </c>
      <c r="I872" t="s">
        <v>804</v>
      </c>
    </row>
    <row r="873" spans="1:9" hidden="1" x14ac:dyDescent="0.2">
      <c r="A873" t="s">
        <v>336</v>
      </c>
      <c r="B873" t="s">
        <v>854</v>
      </c>
      <c r="C873">
        <v>12.977119053855519</v>
      </c>
      <c r="D873">
        <v>0</v>
      </c>
      <c r="E873">
        <v>0</v>
      </c>
      <c r="F873">
        <v>0</v>
      </c>
      <c r="G873">
        <v>0</v>
      </c>
      <c r="H873">
        <v>0</v>
      </c>
      <c r="I873" t="s">
        <v>804</v>
      </c>
    </row>
    <row r="874" spans="1:9" hidden="1" x14ac:dyDescent="0.2">
      <c r="A874" t="s">
        <v>336</v>
      </c>
      <c r="B874" t="s">
        <v>846</v>
      </c>
      <c r="C874">
        <v>9.4939477199937485</v>
      </c>
      <c r="D874">
        <v>0</v>
      </c>
      <c r="E874">
        <v>0</v>
      </c>
      <c r="F874">
        <v>0</v>
      </c>
      <c r="G874">
        <v>0</v>
      </c>
      <c r="H874">
        <v>0</v>
      </c>
      <c r="I874" t="s">
        <v>804</v>
      </c>
    </row>
    <row r="875" spans="1:9" hidden="1" x14ac:dyDescent="0.2">
      <c r="A875" t="s">
        <v>336</v>
      </c>
      <c r="B875" t="s">
        <v>842</v>
      </c>
      <c r="C875">
        <v>1.194633529420912E-2</v>
      </c>
      <c r="D875">
        <v>0</v>
      </c>
      <c r="E875">
        <v>0</v>
      </c>
      <c r="F875">
        <v>0</v>
      </c>
      <c r="G875">
        <v>0</v>
      </c>
      <c r="H875">
        <v>0</v>
      </c>
      <c r="I875" t="s">
        <v>804</v>
      </c>
    </row>
    <row r="876" spans="1:9" hidden="1" x14ac:dyDescent="0.2">
      <c r="A876" t="s">
        <v>337</v>
      </c>
      <c r="B876" t="s">
        <v>841</v>
      </c>
      <c r="C876">
        <v>1.4774891381244109E-4</v>
      </c>
      <c r="D876">
        <v>0</v>
      </c>
      <c r="E876">
        <v>0</v>
      </c>
      <c r="F876">
        <v>0</v>
      </c>
      <c r="G876">
        <v>0</v>
      </c>
      <c r="H876">
        <v>0</v>
      </c>
      <c r="I876" t="s">
        <v>804</v>
      </c>
    </row>
    <row r="877" spans="1:9" hidden="1" x14ac:dyDescent="0.2">
      <c r="A877" t="s">
        <v>337</v>
      </c>
      <c r="B877" t="s">
        <v>838</v>
      </c>
      <c r="C877">
        <v>3.0758923561660721E-4</v>
      </c>
      <c r="D877">
        <v>0</v>
      </c>
      <c r="E877">
        <v>0</v>
      </c>
      <c r="F877">
        <v>0</v>
      </c>
      <c r="G877">
        <v>0</v>
      </c>
      <c r="H877">
        <v>0</v>
      </c>
      <c r="I877" t="s">
        <v>804</v>
      </c>
    </row>
    <row r="878" spans="1:9" hidden="1" x14ac:dyDescent="0.2">
      <c r="A878" t="s">
        <v>337</v>
      </c>
      <c r="B878" t="s">
        <v>842</v>
      </c>
      <c r="C878">
        <v>1.2222759266189491E-4</v>
      </c>
      <c r="D878">
        <v>0</v>
      </c>
      <c r="E878">
        <v>0</v>
      </c>
      <c r="F878">
        <v>0</v>
      </c>
      <c r="G878">
        <v>0</v>
      </c>
      <c r="H878">
        <v>0</v>
      </c>
      <c r="I878" t="s">
        <v>804</v>
      </c>
    </row>
    <row r="879" spans="1:9" hidden="1" x14ac:dyDescent="0.2">
      <c r="A879" t="s">
        <v>338</v>
      </c>
      <c r="B879" t="s">
        <v>841</v>
      </c>
      <c r="C879">
        <v>4.3116552713636132E-4</v>
      </c>
      <c r="D879">
        <v>0</v>
      </c>
      <c r="E879">
        <v>0</v>
      </c>
      <c r="F879">
        <v>0</v>
      </c>
      <c r="G879">
        <v>0</v>
      </c>
      <c r="H879">
        <v>0</v>
      </c>
      <c r="I879" t="s">
        <v>804</v>
      </c>
    </row>
    <row r="880" spans="1:9" hidden="1" x14ac:dyDescent="0.2">
      <c r="A880" t="s">
        <v>338</v>
      </c>
      <c r="B880" t="s">
        <v>838</v>
      </c>
      <c r="C880">
        <v>2.060197149217909E-3</v>
      </c>
      <c r="D880">
        <v>0</v>
      </c>
      <c r="E880">
        <v>0</v>
      </c>
      <c r="F880">
        <v>0</v>
      </c>
      <c r="G880">
        <v>0</v>
      </c>
      <c r="H880">
        <v>0</v>
      </c>
      <c r="I880" t="s">
        <v>804</v>
      </c>
    </row>
    <row r="881" spans="1:9" hidden="1" x14ac:dyDescent="0.2">
      <c r="A881" t="s">
        <v>338</v>
      </c>
      <c r="B881" t="s">
        <v>830</v>
      </c>
      <c r="C881">
        <v>3.4808287530426721E-4</v>
      </c>
      <c r="D881">
        <v>0</v>
      </c>
      <c r="E881">
        <v>0</v>
      </c>
      <c r="F881">
        <v>0</v>
      </c>
      <c r="G881">
        <v>0</v>
      </c>
      <c r="H881">
        <v>0</v>
      </c>
      <c r="I881" t="s">
        <v>804</v>
      </c>
    </row>
    <row r="882" spans="1:9" hidden="1" x14ac:dyDescent="0.2">
      <c r="A882" t="s">
        <v>338</v>
      </c>
      <c r="B882" t="s">
        <v>831</v>
      </c>
      <c r="C882">
        <v>3.9342630539773309E-4</v>
      </c>
      <c r="D882">
        <v>0</v>
      </c>
      <c r="E882">
        <v>0</v>
      </c>
      <c r="F882">
        <v>0</v>
      </c>
      <c r="G882">
        <v>0</v>
      </c>
      <c r="H882">
        <v>0</v>
      </c>
      <c r="I882" t="s">
        <v>804</v>
      </c>
    </row>
    <row r="883" spans="1:9" hidden="1" x14ac:dyDescent="0.2">
      <c r="A883" t="s">
        <v>338</v>
      </c>
      <c r="B883" t="s">
        <v>832</v>
      </c>
      <c r="C883">
        <v>4.3294974624382923E-4</v>
      </c>
      <c r="D883">
        <v>0</v>
      </c>
      <c r="E883">
        <v>0</v>
      </c>
      <c r="F883">
        <v>0</v>
      </c>
      <c r="G883">
        <v>0</v>
      </c>
      <c r="H883">
        <v>0</v>
      </c>
      <c r="I883" t="s">
        <v>804</v>
      </c>
    </row>
    <row r="884" spans="1:9" hidden="1" x14ac:dyDescent="0.2">
      <c r="A884" t="s">
        <v>338</v>
      </c>
      <c r="B884" t="s">
        <v>842</v>
      </c>
      <c r="C884">
        <v>3.457452750331241E-4</v>
      </c>
      <c r="D884">
        <v>0</v>
      </c>
      <c r="E884">
        <v>0</v>
      </c>
      <c r="F884">
        <v>0</v>
      </c>
      <c r="G884">
        <v>0</v>
      </c>
      <c r="H884">
        <v>0</v>
      </c>
      <c r="I884" t="s">
        <v>804</v>
      </c>
    </row>
    <row r="885" spans="1:9" hidden="1" x14ac:dyDescent="0.2">
      <c r="A885" t="s">
        <v>339</v>
      </c>
      <c r="B885" t="s">
        <v>810</v>
      </c>
      <c r="C885">
        <v>3.5121727684906632E-4</v>
      </c>
      <c r="D885">
        <v>0</v>
      </c>
      <c r="E885">
        <v>0</v>
      </c>
      <c r="F885">
        <v>0</v>
      </c>
      <c r="G885">
        <v>0</v>
      </c>
      <c r="H885">
        <v>0</v>
      </c>
      <c r="I885" t="s">
        <v>804</v>
      </c>
    </row>
    <row r="886" spans="1:9" hidden="1" x14ac:dyDescent="0.2">
      <c r="A886" t="s">
        <v>340</v>
      </c>
      <c r="B886" t="s">
        <v>814</v>
      </c>
      <c r="C886">
        <v>983.26146419335976</v>
      </c>
      <c r="D886">
        <v>0</v>
      </c>
      <c r="E886">
        <v>0</v>
      </c>
      <c r="F886">
        <v>0</v>
      </c>
      <c r="G886">
        <v>0</v>
      </c>
      <c r="H886">
        <v>0</v>
      </c>
      <c r="I886" t="s">
        <v>793</v>
      </c>
    </row>
    <row r="887" spans="1:9" hidden="1" x14ac:dyDescent="0.2">
      <c r="A887" t="s">
        <v>340</v>
      </c>
      <c r="B887" t="s">
        <v>811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 t="s">
        <v>793</v>
      </c>
    </row>
    <row r="888" spans="1:9" hidden="1" x14ac:dyDescent="0.2">
      <c r="A888" t="s">
        <v>341</v>
      </c>
      <c r="B888" t="s">
        <v>824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 t="s">
        <v>800</v>
      </c>
    </row>
    <row r="889" spans="1:9" hidden="1" x14ac:dyDescent="0.2">
      <c r="A889" t="s">
        <v>341</v>
      </c>
      <c r="B889" t="s">
        <v>822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 t="s">
        <v>800</v>
      </c>
    </row>
    <row r="890" spans="1:9" hidden="1" x14ac:dyDescent="0.2">
      <c r="A890" t="s">
        <v>341</v>
      </c>
      <c r="B890" t="s">
        <v>825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 t="s">
        <v>800</v>
      </c>
    </row>
    <row r="891" spans="1:9" hidden="1" x14ac:dyDescent="0.2">
      <c r="A891" t="s">
        <v>341</v>
      </c>
      <c r="B891" t="s">
        <v>821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 t="s">
        <v>800</v>
      </c>
    </row>
    <row r="892" spans="1:9" hidden="1" x14ac:dyDescent="0.2">
      <c r="A892" t="s">
        <v>341</v>
      </c>
      <c r="B892" t="s">
        <v>811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 t="s">
        <v>800</v>
      </c>
    </row>
    <row r="893" spans="1:9" hidden="1" x14ac:dyDescent="0.2">
      <c r="A893" t="s">
        <v>342</v>
      </c>
      <c r="B893" t="s">
        <v>810</v>
      </c>
      <c r="D893">
        <v>0</v>
      </c>
      <c r="E893">
        <v>0</v>
      </c>
      <c r="F893">
        <v>0</v>
      </c>
      <c r="G893">
        <v>0</v>
      </c>
      <c r="H893">
        <v>0</v>
      </c>
      <c r="I893" t="s">
        <v>800</v>
      </c>
    </row>
    <row r="894" spans="1:9" hidden="1" x14ac:dyDescent="0.2">
      <c r="A894" t="s">
        <v>343</v>
      </c>
      <c r="B894" t="s">
        <v>816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 t="s">
        <v>789</v>
      </c>
    </row>
    <row r="895" spans="1:9" hidden="1" x14ac:dyDescent="0.2">
      <c r="A895" t="s">
        <v>343</v>
      </c>
      <c r="B895" t="s">
        <v>855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 t="s">
        <v>789</v>
      </c>
    </row>
    <row r="896" spans="1:9" hidden="1" x14ac:dyDescent="0.2">
      <c r="A896" t="s">
        <v>343</v>
      </c>
      <c r="B896" t="s">
        <v>810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 t="s">
        <v>789</v>
      </c>
    </row>
    <row r="897" spans="1:9" hidden="1" x14ac:dyDescent="0.2">
      <c r="A897" t="s">
        <v>343</v>
      </c>
      <c r="B897" t="s">
        <v>830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 t="s">
        <v>789</v>
      </c>
    </row>
    <row r="898" spans="1:9" hidden="1" x14ac:dyDescent="0.2">
      <c r="A898" t="s">
        <v>343</v>
      </c>
      <c r="B898" t="s">
        <v>831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 t="s">
        <v>789</v>
      </c>
    </row>
    <row r="899" spans="1:9" hidden="1" x14ac:dyDescent="0.2">
      <c r="A899" t="s">
        <v>343</v>
      </c>
      <c r="B899" t="s">
        <v>832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 t="s">
        <v>789</v>
      </c>
    </row>
    <row r="900" spans="1:9" hidden="1" x14ac:dyDescent="0.2">
      <c r="A900" t="s">
        <v>343</v>
      </c>
      <c r="B900" t="s">
        <v>849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 t="s">
        <v>789</v>
      </c>
    </row>
    <row r="901" spans="1:9" hidden="1" x14ac:dyDescent="0.2">
      <c r="A901" t="s">
        <v>343</v>
      </c>
      <c r="B901" t="s">
        <v>856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 t="s">
        <v>789</v>
      </c>
    </row>
    <row r="902" spans="1:9" hidden="1" x14ac:dyDescent="0.2">
      <c r="A902" t="s">
        <v>343</v>
      </c>
      <c r="B902" t="s">
        <v>811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 t="s">
        <v>789</v>
      </c>
    </row>
    <row r="903" spans="1:9" hidden="1" x14ac:dyDescent="0.2">
      <c r="A903" t="s">
        <v>343</v>
      </c>
      <c r="B903" t="s">
        <v>812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 t="s">
        <v>789</v>
      </c>
    </row>
    <row r="904" spans="1:9" hidden="1" x14ac:dyDescent="0.2">
      <c r="A904" t="s">
        <v>344</v>
      </c>
      <c r="B904" t="s">
        <v>843</v>
      </c>
      <c r="C904">
        <v>2.3435752073469379E-4</v>
      </c>
      <c r="D904">
        <v>0</v>
      </c>
      <c r="E904">
        <v>0</v>
      </c>
      <c r="F904">
        <v>0</v>
      </c>
      <c r="G904">
        <v>0</v>
      </c>
      <c r="H904">
        <v>0</v>
      </c>
      <c r="I904" t="s">
        <v>804</v>
      </c>
    </row>
    <row r="905" spans="1:9" hidden="1" x14ac:dyDescent="0.2">
      <c r="A905" t="s">
        <v>344</v>
      </c>
      <c r="B905" t="s">
        <v>853</v>
      </c>
      <c r="C905">
        <v>2.0618346046949511E-4</v>
      </c>
      <c r="D905">
        <v>0</v>
      </c>
      <c r="E905">
        <v>0</v>
      </c>
      <c r="F905">
        <v>0</v>
      </c>
      <c r="G905">
        <v>0</v>
      </c>
      <c r="H905">
        <v>0</v>
      </c>
      <c r="I905" t="s">
        <v>804</v>
      </c>
    </row>
    <row r="906" spans="1:9" hidden="1" x14ac:dyDescent="0.2">
      <c r="A906" t="s">
        <v>344</v>
      </c>
      <c r="B906" t="s">
        <v>845</v>
      </c>
      <c r="C906">
        <v>1.56181691490817E-4</v>
      </c>
      <c r="D906">
        <v>0</v>
      </c>
      <c r="E906">
        <v>0</v>
      </c>
      <c r="F906">
        <v>0</v>
      </c>
      <c r="G906">
        <v>0</v>
      </c>
      <c r="H906">
        <v>0</v>
      </c>
      <c r="I906" t="s">
        <v>804</v>
      </c>
    </row>
    <row r="907" spans="1:9" hidden="1" x14ac:dyDescent="0.2">
      <c r="A907" t="s">
        <v>344</v>
      </c>
      <c r="B907" t="s">
        <v>841</v>
      </c>
      <c r="C907">
        <v>7.5021377524792066E-4</v>
      </c>
      <c r="D907">
        <v>0</v>
      </c>
      <c r="E907">
        <v>0</v>
      </c>
      <c r="F907">
        <v>0</v>
      </c>
      <c r="G907">
        <v>0</v>
      </c>
      <c r="H907">
        <v>0</v>
      </c>
      <c r="I907" t="s">
        <v>804</v>
      </c>
    </row>
    <row r="908" spans="1:9" hidden="1" x14ac:dyDescent="0.2">
      <c r="A908" t="s">
        <v>344</v>
      </c>
      <c r="B908" t="s">
        <v>838</v>
      </c>
      <c r="C908">
        <v>4.5876044815428493E-3</v>
      </c>
      <c r="D908">
        <v>0</v>
      </c>
      <c r="E908">
        <v>0</v>
      </c>
      <c r="F908">
        <v>0</v>
      </c>
      <c r="G908">
        <v>0</v>
      </c>
      <c r="H908">
        <v>0</v>
      </c>
      <c r="I908" t="s">
        <v>804</v>
      </c>
    </row>
    <row r="909" spans="1:9" hidden="1" x14ac:dyDescent="0.2">
      <c r="A909" t="s">
        <v>344</v>
      </c>
      <c r="B909" t="s">
        <v>840</v>
      </c>
      <c r="C909">
        <v>2.432324011718479E-4</v>
      </c>
      <c r="D909">
        <v>0</v>
      </c>
      <c r="E909">
        <v>0</v>
      </c>
      <c r="F909">
        <v>0</v>
      </c>
      <c r="G909">
        <v>0</v>
      </c>
      <c r="H909">
        <v>0</v>
      </c>
      <c r="I909" t="s">
        <v>804</v>
      </c>
    </row>
    <row r="910" spans="1:9" hidden="1" x14ac:dyDescent="0.2">
      <c r="A910" t="s">
        <v>344</v>
      </c>
      <c r="B910" t="s">
        <v>854</v>
      </c>
      <c r="C910">
        <v>2.301983425341074E-4</v>
      </c>
      <c r="D910">
        <v>0</v>
      </c>
      <c r="E910">
        <v>0</v>
      </c>
      <c r="F910">
        <v>0</v>
      </c>
      <c r="G910">
        <v>0</v>
      </c>
      <c r="H910">
        <v>0</v>
      </c>
      <c r="I910" t="s">
        <v>804</v>
      </c>
    </row>
    <row r="911" spans="1:9" hidden="1" x14ac:dyDescent="0.2">
      <c r="A911" t="s">
        <v>344</v>
      </c>
      <c r="B911" t="s">
        <v>846</v>
      </c>
      <c r="C911">
        <v>2.0048723206851109E-4</v>
      </c>
      <c r="D911">
        <v>0</v>
      </c>
      <c r="E911">
        <v>0</v>
      </c>
      <c r="F911">
        <v>0</v>
      </c>
      <c r="G911">
        <v>0</v>
      </c>
      <c r="H911">
        <v>0</v>
      </c>
      <c r="I911" t="s">
        <v>804</v>
      </c>
    </row>
    <row r="912" spans="1:9" hidden="1" x14ac:dyDescent="0.2">
      <c r="A912" t="s">
        <v>344</v>
      </c>
      <c r="B912" t="s">
        <v>842</v>
      </c>
      <c r="C912">
        <v>5.9964916692424423E-4</v>
      </c>
      <c r="D912">
        <v>0</v>
      </c>
      <c r="E912">
        <v>0</v>
      </c>
      <c r="F912">
        <v>0</v>
      </c>
      <c r="G912">
        <v>0</v>
      </c>
      <c r="H912">
        <v>0</v>
      </c>
      <c r="I912" t="s">
        <v>804</v>
      </c>
    </row>
    <row r="913" spans="1:9" hidden="1" x14ac:dyDescent="0.2">
      <c r="A913" t="s">
        <v>345</v>
      </c>
      <c r="B913" t="s">
        <v>810</v>
      </c>
      <c r="C913">
        <v>1683.931524336803</v>
      </c>
      <c r="D913">
        <v>0</v>
      </c>
      <c r="E913">
        <v>0</v>
      </c>
      <c r="F913">
        <v>0</v>
      </c>
      <c r="I913" t="s">
        <v>804</v>
      </c>
    </row>
    <row r="914" spans="1:9" hidden="1" x14ac:dyDescent="0.2">
      <c r="A914" t="s">
        <v>346</v>
      </c>
      <c r="B914" t="s">
        <v>816</v>
      </c>
      <c r="C914">
        <v>0</v>
      </c>
      <c r="I914" t="s">
        <v>801</v>
      </c>
    </row>
    <row r="915" spans="1:9" hidden="1" x14ac:dyDescent="0.2">
      <c r="A915" t="s">
        <v>346</v>
      </c>
      <c r="B915" t="s">
        <v>810</v>
      </c>
      <c r="C915">
        <v>0</v>
      </c>
      <c r="I915" t="s">
        <v>801</v>
      </c>
    </row>
    <row r="916" spans="1:9" hidden="1" x14ac:dyDescent="0.2">
      <c r="A916" t="s">
        <v>347</v>
      </c>
      <c r="B916" t="s">
        <v>816</v>
      </c>
      <c r="C916">
        <v>0</v>
      </c>
      <c r="I916" t="s">
        <v>801</v>
      </c>
    </row>
    <row r="917" spans="1:9" hidden="1" x14ac:dyDescent="0.2">
      <c r="A917" t="s">
        <v>347</v>
      </c>
      <c r="B917" t="s">
        <v>810</v>
      </c>
      <c r="C917">
        <v>0</v>
      </c>
      <c r="I917" t="s">
        <v>801</v>
      </c>
    </row>
    <row r="918" spans="1:9" hidden="1" x14ac:dyDescent="0.2">
      <c r="A918" t="s">
        <v>348</v>
      </c>
      <c r="B918" t="s">
        <v>810</v>
      </c>
      <c r="C918">
        <v>0</v>
      </c>
      <c r="D918">
        <v>2.3206694416662261E-4</v>
      </c>
      <c r="E918">
        <v>0.2279878156569124</v>
      </c>
      <c r="F918">
        <v>0</v>
      </c>
      <c r="G918">
        <v>0.25671725085844738</v>
      </c>
      <c r="H918">
        <v>0</v>
      </c>
      <c r="I918" t="s">
        <v>788</v>
      </c>
    </row>
    <row r="919" spans="1:9" hidden="1" x14ac:dyDescent="0.2">
      <c r="A919" t="s">
        <v>348</v>
      </c>
      <c r="B919" t="s">
        <v>824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 t="s">
        <v>788</v>
      </c>
    </row>
    <row r="920" spans="1:9" hidden="1" x14ac:dyDescent="0.2">
      <c r="A920" t="s">
        <v>349</v>
      </c>
      <c r="B920" t="s">
        <v>862</v>
      </c>
      <c r="C920">
        <v>3.0386711107317722E-4</v>
      </c>
      <c r="D920">
        <v>0</v>
      </c>
      <c r="E920">
        <v>0.94659589101706409</v>
      </c>
      <c r="F920">
        <v>0</v>
      </c>
      <c r="G920">
        <v>0</v>
      </c>
      <c r="H920">
        <v>0</v>
      </c>
      <c r="I920" t="s">
        <v>803</v>
      </c>
    </row>
    <row r="921" spans="1:9" hidden="1" x14ac:dyDescent="0.2">
      <c r="A921" t="s">
        <v>349</v>
      </c>
      <c r="B921" t="s">
        <v>841</v>
      </c>
      <c r="C921">
        <v>6.1041523463675337E-10</v>
      </c>
      <c r="D921">
        <v>0</v>
      </c>
      <c r="E921">
        <v>1.0072415743898401E-7</v>
      </c>
      <c r="F921">
        <v>0</v>
      </c>
      <c r="G921">
        <v>0</v>
      </c>
      <c r="H921">
        <v>0</v>
      </c>
      <c r="I921" t="s">
        <v>803</v>
      </c>
    </row>
    <row r="922" spans="1:9" hidden="1" x14ac:dyDescent="0.2">
      <c r="A922" t="s">
        <v>349</v>
      </c>
      <c r="B922" t="s">
        <v>863</v>
      </c>
      <c r="C922">
        <v>3.2461531066241831E-4</v>
      </c>
      <c r="D922">
        <v>0</v>
      </c>
      <c r="E922">
        <v>1.0674396337374921</v>
      </c>
      <c r="F922">
        <v>0</v>
      </c>
      <c r="G922">
        <v>0</v>
      </c>
      <c r="H922">
        <v>0</v>
      </c>
      <c r="I922" t="s">
        <v>803</v>
      </c>
    </row>
    <row r="923" spans="1:9" hidden="1" x14ac:dyDescent="0.2">
      <c r="A923" t="s">
        <v>349</v>
      </c>
      <c r="B923" t="s">
        <v>815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 t="s">
        <v>803</v>
      </c>
    </row>
    <row r="924" spans="1:9" hidden="1" x14ac:dyDescent="0.2">
      <c r="A924" t="s">
        <v>349</v>
      </c>
      <c r="B924" t="s">
        <v>838</v>
      </c>
      <c r="C924">
        <v>4.5134251202430141E-6</v>
      </c>
      <c r="D924">
        <v>0</v>
      </c>
      <c r="E924">
        <v>5.3874586981418789E-3</v>
      </c>
      <c r="F924">
        <v>0</v>
      </c>
      <c r="G924">
        <v>0</v>
      </c>
      <c r="H924">
        <v>0</v>
      </c>
      <c r="I924" t="s">
        <v>803</v>
      </c>
    </row>
    <row r="925" spans="1:9" hidden="1" x14ac:dyDescent="0.2">
      <c r="A925" t="s">
        <v>349</v>
      </c>
      <c r="B925" t="s">
        <v>810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 t="s">
        <v>803</v>
      </c>
    </row>
    <row r="926" spans="1:9" hidden="1" x14ac:dyDescent="0.2">
      <c r="A926" t="s">
        <v>349</v>
      </c>
      <c r="B926" t="s">
        <v>842</v>
      </c>
      <c r="C926">
        <v>5.7374280939698774E-10</v>
      </c>
      <c r="D926">
        <v>0</v>
      </c>
      <c r="E926">
        <v>9.9479208566446031E-8</v>
      </c>
      <c r="F926">
        <v>0</v>
      </c>
      <c r="G926">
        <v>0</v>
      </c>
      <c r="H926">
        <v>0</v>
      </c>
      <c r="I926" t="s">
        <v>803</v>
      </c>
    </row>
    <row r="927" spans="1:9" hidden="1" x14ac:dyDescent="0.2">
      <c r="A927" t="s">
        <v>349</v>
      </c>
      <c r="B927" t="s">
        <v>811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 t="s">
        <v>803</v>
      </c>
    </row>
    <row r="928" spans="1:9" hidden="1" x14ac:dyDescent="0.2">
      <c r="A928" t="s">
        <v>350</v>
      </c>
      <c r="B928" t="s">
        <v>815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 t="s">
        <v>798</v>
      </c>
    </row>
    <row r="929" spans="1:9" hidden="1" x14ac:dyDescent="0.2">
      <c r="A929" t="s">
        <v>350</v>
      </c>
      <c r="B929" t="s">
        <v>810</v>
      </c>
      <c r="C929">
        <v>2.2970450383628032E-5</v>
      </c>
      <c r="D929">
        <v>0</v>
      </c>
      <c r="E929">
        <v>0</v>
      </c>
      <c r="F929">
        <v>0</v>
      </c>
      <c r="G929">
        <v>0</v>
      </c>
      <c r="H929">
        <v>0</v>
      </c>
      <c r="I929" t="s">
        <v>798</v>
      </c>
    </row>
    <row r="930" spans="1:9" hidden="1" x14ac:dyDescent="0.2">
      <c r="A930" t="s">
        <v>350</v>
      </c>
      <c r="B930" t="s">
        <v>824</v>
      </c>
      <c r="C930">
        <v>1.3857583184784361E-4</v>
      </c>
      <c r="D930">
        <v>0</v>
      </c>
      <c r="E930">
        <v>0</v>
      </c>
      <c r="F930">
        <v>0</v>
      </c>
      <c r="G930">
        <v>0</v>
      </c>
      <c r="H930">
        <v>0</v>
      </c>
      <c r="I930" t="s">
        <v>798</v>
      </c>
    </row>
    <row r="931" spans="1:9" hidden="1" x14ac:dyDescent="0.2">
      <c r="A931" t="s">
        <v>351</v>
      </c>
      <c r="B931" t="s">
        <v>815</v>
      </c>
      <c r="C931">
        <v>0</v>
      </c>
      <c r="I931" t="s">
        <v>789</v>
      </c>
    </row>
    <row r="932" spans="1:9" hidden="1" x14ac:dyDescent="0.2">
      <c r="A932" t="s">
        <v>351</v>
      </c>
      <c r="B932" t="s">
        <v>810</v>
      </c>
      <c r="C932">
        <v>0</v>
      </c>
      <c r="I932" t="s">
        <v>789</v>
      </c>
    </row>
    <row r="933" spans="1:9" hidden="1" x14ac:dyDescent="0.2">
      <c r="A933" t="s">
        <v>351</v>
      </c>
      <c r="B933" t="s">
        <v>822</v>
      </c>
      <c r="C933">
        <v>0</v>
      </c>
      <c r="I933" t="s">
        <v>789</v>
      </c>
    </row>
    <row r="934" spans="1:9" hidden="1" x14ac:dyDescent="0.2">
      <c r="A934" t="s">
        <v>352</v>
      </c>
      <c r="B934" t="s">
        <v>815</v>
      </c>
      <c r="C934">
        <v>0</v>
      </c>
      <c r="I934" t="s">
        <v>801</v>
      </c>
    </row>
    <row r="935" spans="1:9" hidden="1" x14ac:dyDescent="0.2">
      <c r="A935" t="s">
        <v>352</v>
      </c>
      <c r="B935" t="s">
        <v>810</v>
      </c>
      <c r="C935">
        <v>3.6218693530698342E-6</v>
      </c>
      <c r="I935" t="s">
        <v>801</v>
      </c>
    </row>
    <row r="936" spans="1:9" hidden="1" x14ac:dyDescent="0.2">
      <c r="A936" t="s">
        <v>352</v>
      </c>
      <c r="B936" t="s">
        <v>822</v>
      </c>
      <c r="C936">
        <v>2.817861359738753E-4</v>
      </c>
      <c r="I936" t="s">
        <v>801</v>
      </c>
    </row>
    <row r="937" spans="1:9" hidden="1" x14ac:dyDescent="0.2">
      <c r="A937" t="s">
        <v>353</v>
      </c>
      <c r="B937" t="s">
        <v>816</v>
      </c>
      <c r="C937">
        <v>1.0044888749299369E-2</v>
      </c>
      <c r="D937">
        <v>1.322529663291877</v>
      </c>
      <c r="E937">
        <v>0</v>
      </c>
      <c r="F937">
        <v>0</v>
      </c>
      <c r="G937">
        <v>0</v>
      </c>
      <c r="H937">
        <v>1.7903923908077319</v>
      </c>
      <c r="I937" t="s">
        <v>793</v>
      </c>
    </row>
    <row r="938" spans="1:9" hidden="1" x14ac:dyDescent="0.2">
      <c r="A938" t="s">
        <v>353</v>
      </c>
      <c r="B938" t="s">
        <v>811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 t="s">
        <v>793</v>
      </c>
    </row>
    <row r="939" spans="1:9" hidden="1" x14ac:dyDescent="0.2">
      <c r="A939" t="s">
        <v>354</v>
      </c>
      <c r="B939" t="s">
        <v>810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 t="s">
        <v>793</v>
      </c>
    </row>
    <row r="940" spans="1:9" hidden="1" x14ac:dyDescent="0.2">
      <c r="A940" t="s">
        <v>354</v>
      </c>
      <c r="B940" t="s">
        <v>819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 t="s">
        <v>793</v>
      </c>
    </row>
    <row r="941" spans="1:9" hidden="1" x14ac:dyDescent="0.2">
      <c r="A941" t="s">
        <v>354</v>
      </c>
      <c r="B941" t="s">
        <v>811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 t="s">
        <v>793</v>
      </c>
    </row>
    <row r="942" spans="1:9" hidden="1" x14ac:dyDescent="0.2">
      <c r="A942" t="s">
        <v>355</v>
      </c>
      <c r="B942" t="s">
        <v>816</v>
      </c>
      <c r="C942">
        <v>0</v>
      </c>
      <c r="D942">
        <v>5.2521785879127651E-4</v>
      </c>
      <c r="E942">
        <v>0</v>
      </c>
      <c r="I942" t="s">
        <v>796</v>
      </c>
    </row>
    <row r="943" spans="1:9" hidden="1" x14ac:dyDescent="0.2">
      <c r="A943" t="s">
        <v>356</v>
      </c>
      <c r="B943" t="s">
        <v>812</v>
      </c>
      <c r="C943">
        <v>0</v>
      </c>
      <c r="E943">
        <v>4.7155232225426407E-5</v>
      </c>
      <c r="F943">
        <v>0</v>
      </c>
      <c r="H943">
        <v>0</v>
      </c>
      <c r="I943" t="s">
        <v>796</v>
      </c>
    </row>
    <row r="944" spans="1:9" hidden="1" x14ac:dyDescent="0.2">
      <c r="A944" t="s">
        <v>357</v>
      </c>
      <c r="B944" t="s">
        <v>810</v>
      </c>
      <c r="C944">
        <v>0</v>
      </c>
      <c r="E944">
        <v>0</v>
      </c>
      <c r="F944">
        <v>0</v>
      </c>
      <c r="G944">
        <v>0</v>
      </c>
      <c r="H944">
        <v>0</v>
      </c>
      <c r="I944" t="s">
        <v>796</v>
      </c>
    </row>
    <row r="945" spans="1:9" hidden="1" x14ac:dyDescent="0.2">
      <c r="A945" t="s">
        <v>358</v>
      </c>
      <c r="B945" t="s">
        <v>841</v>
      </c>
      <c r="C945">
        <v>4.0162836323296303E-3</v>
      </c>
      <c r="D945">
        <v>5.6054599456736116E-3</v>
      </c>
      <c r="E945">
        <v>0</v>
      </c>
      <c r="F945">
        <v>0</v>
      </c>
      <c r="G945">
        <v>0</v>
      </c>
      <c r="H945">
        <v>0</v>
      </c>
      <c r="I945" t="s">
        <v>796</v>
      </c>
    </row>
    <row r="946" spans="1:9" hidden="1" x14ac:dyDescent="0.2">
      <c r="A946" t="s">
        <v>358</v>
      </c>
      <c r="B946" t="s">
        <v>838</v>
      </c>
      <c r="C946">
        <v>1.1546329152239279E-2</v>
      </c>
      <c r="D946">
        <v>1.1688649743550319E-2</v>
      </c>
      <c r="E946">
        <v>0</v>
      </c>
      <c r="F946">
        <v>0</v>
      </c>
      <c r="G946">
        <v>0</v>
      </c>
      <c r="H946">
        <v>0</v>
      </c>
      <c r="I946" t="s">
        <v>796</v>
      </c>
    </row>
    <row r="947" spans="1:9" hidden="1" x14ac:dyDescent="0.2">
      <c r="A947" t="s">
        <v>358</v>
      </c>
      <c r="B947" t="s">
        <v>810</v>
      </c>
      <c r="C947">
        <v>2.6066687706749511E-2</v>
      </c>
      <c r="D947">
        <v>2.7188670710251869E-2</v>
      </c>
      <c r="E947">
        <v>0</v>
      </c>
      <c r="F947">
        <v>0</v>
      </c>
      <c r="G947">
        <v>0</v>
      </c>
      <c r="H947">
        <v>0</v>
      </c>
      <c r="I947" t="s">
        <v>796</v>
      </c>
    </row>
    <row r="948" spans="1:9" hidden="1" x14ac:dyDescent="0.2">
      <c r="A948" t="s">
        <v>358</v>
      </c>
      <c r="B948" t="s">
        <v>842</v>
      </c>
      <c r="C948">
        <v>3.3307349603823532E-3</v>
      </c>
      <c r="D948">
        <v>2.2392339264355578E-3</v>
      </c>
      <c r="E948">
        <v>0</v>
      </c>
      <c r="F948">
        <v>0</v>
      </c>
      <c r="G948">
        <v>0</v>
      </c>
      <c r="H948">
        <v>0</v>
      </c>
      <c r="I948" t="s">
        <v>796</v>
      </c>
    </row>
    <row r="949" spans="1:9" hidden="1" x14ac:dyDescent="0.2">
      <c r="A949" t="s">
        <v>359</v>
      </c>
      <c r="B949" t="s">
        <v>816</v>
      </c>
      <c r="F949">
        <v>0</v>
      </c>
      <c r="I949" t="s">
        <v>796</v>
      </c>
    </row>
    <row r="950" spans="1:9" hidden="1" x14ac:dyDescent="0.2">
      <c r="A950" t="s">
        <v>360</v>
      </c>
      <c r="B950" t="s">
        <v>816</v>
      </c>
      <c r="C950">
        <v>68.819453830547573</v>
      </c>
      <c r="D950">
        <v>0</v>
      </c>
      <c r="E950">
        <v>0</v>
      </c>
      <c r="I950" t="s">
        <v>796</v>
      </c>
    </row>
    <row r="951" spans="1:9" hidden="1" x14ac:dyDescent="0.2">
      <c r="A951" t="s">
        <v>360</v>
      </c>
      <c r="B951" t="s">
        <v>843</v>
      </c>
      <c r="C951">
        <v>117.9321856126263</v>
      </c>
      <c r="D951">
        <v>0</v>
      </c>
      <c r="E951">
        <v>0</v>
      </c>
      <c r="I951" t="s">
        <v>796</v>
      </c>
    </row>
    <row r="952" spans="1:9" hidden="1" x14ac:dyDescent="0.2">
      <c r="A952" t="s">
        <v>360</v>
      </c>
      <c r="B952" t="s">
        <v>853</v>
      </c>
      <c r="C952">
        <v>5.8113665554818166</v>
      </c>
      <c r="D952">
        <v>0</v>
      </c>
      <c r="E952">
        <v>0</v>
      </c>
      <c r="I952" t="s">
        <v>796</v>
      </c>
    </row>
    <row r="953" spans="1:9" hidden="1" x14ac:dyDescent="0.2">
      <c r="A953" t="s">
        <v>360</v>
      </c>
      <c r="B953" t="s">
        <v>844</v>
      </c>
      <c r="C953">
        <v>9.6421581759138277</v>
      </c>
      <c r="D953">
        <v>0</v>
      </c>
      <c r="E953">
        <v>0</v>
      </c>
      <c r="I953" t="s">
        <v>796</v>
      </c>
    </row>
    <row r="954" spans="1:9" hidden="1" x14ac:dyDescent="0.2">
      <c r="A954" t="s">
        <v>360</v>
      </c>
      <c r="B954" t="s">
        <v>845</v>
      </c>
      <c r="C954">
        <v>7.9653780036864751E-3</v>
      </c>
      <c r="D954">
        <v>0</v>
      </c>
      <c r="E954">
        <v>0</v>
      </c>
      <c r="I954" t="s">
        <v>796</v>
      </c>
    </row>
    <row r="955" spans="1:9" hidden="1" x14ac:dyDescent="0.2">
      <c r="A955" t="s">
        <v>360</v>
      </c>
      <c r="B955" t="s">
        <v>841</v>
      </c>
      <c r="C955">
        <v>6.5465916749794274E-3</v>
      </c>
      <c r="D955">
        <v>0</v>
      </c>
      <c r="E955">
        <v>0</v>
      </c>
      <c r="I955" t="s">
        <v>796</v>
      </c>
    </row>
    <row r="956" spans="1:9" hidden="1" x14ac:dyDescent="0.2">
      <c r="A956" t="s">
        <v>360</v>
      </c>
      <c r="B956" t="s">
        <v>838</v>
      </c>
      <c r="C956">
        <v>12774.81132964859</v>
      </c>
      <c r="D956">
        <v>0</v>
      </c>
      <c r="E956">
        <v>0</v>
      </c>
      <c r="I956" t="s">
        <v>796</v>
      </c>
    </row>
    <row r="957" spans="1:9" hidden="1" x14ac:dyDescent="0.2">
      <c r="A957" t="s">
        <v>360</v>
      </c>
      <c r="B957" t="s">
        <v>840</v>
      </c>
      <c r="C957">
        <v>184.37313545015749</v>
      </c>
      <c r="D957">
        <v>0</v>
      </c>
      <c r="E957">
        <v>0</v>
      </c>
      <c r="I957" t="s">
        <v>796</v>
      </c>
    </row>
    <row r="958" spans="1:9" hidden="1" x14ac:dyDescent="0.2">
      <c r="A958" t="s">
        <v>360</v>
      </c>
      <c r="B958" t="s">
        <v>854</v>
      </c>
      <c r="C958">
        <v>5.7324740560135181</v>
      </c>
      <c r="D958">
        <v>0</v>
      </c>
      <c r="E958">
        <v>0</v>
      </c>
      <c r="I958" t="s">
        <v>796</v>
      </c>
    </row>
    <row r="959" spans="1:9" hidden="1" x14ac:dyDescent="0.2">
      <c r="A959" t="s">
        <v>360</v>
      </c>
      <c r="B959" t="s">
        <v>846</v>
      </c>
      <c r="C959">
        <v>3.7594655650872801</v>
      </c>
      <c r="D959">
        <v>0</v>
      </c>
      <c r="E959">
        <v>0</v>
      </c>
      <c r="I959" t="s">
        <v>796</v>
      </c>
    </row>
    <row r="960" spans="1:9" hidden="1" x14ac:dyDescent="0.2">
      <c r="A960" t="s">
        <v>360</v>
      </c>
      <c r="B960" t="s">
        <v>842</v>
      </c>
      <c r="C960">
        <v>5.2597341580010006E-3</v>
      </c>
      <c r="D960">
        <v>0</v>
      </c>
      <c r="E960">
        <v>0</v>
      </c>
      <c r="I960" t="s">
        <v>796</v>
      </c>
    </row>
    <row r="961" spans="1:9" hidden="1" x14ac:dyDescent="0.2">
      <c r="A961" t="s">
        <v>361</v>
      </c>
      <c r="B961" t="s">
        <v>855</v>
      </c>
      <c r="I961" t="s">
        <v>798</v>
      </c>
    </row>
    <row r="962" spans="1:9" hidden="1" x14ac:dyDescent="0.2">
      <c r="A962" t="s">
        <v>361</v>
      </c>
      <c r="B962" t="s">
        <v>849</v>
      </c>
      <c r="I962" t="s">
        <v>798</v>
      </c>
    </row>
    <row r="963" spans="1:9" hidden="1" x14ac:dyDescent="0.2">
      <c r="A963" t="s">
        <v>362</v>
      </c>
      <c r="B963" t="s">
        <v>810</v>
      </c>
      <c r="H963">
        <v>0</v>
      </c>
      <c r="I963" t="s">
        <v>790</v>
      </c>
    </row>
    <row r="964" spans="1:9" hidden="1" x14ac:dyDescent="0.2">
      <c r="A964" t="s">
        <v>363</v>
      </c>
      <c r="B964" t="s">
        <v>871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 t="s">
        <v>805</v>
      </c>
    </row>
    <row r="965" spans="1:9" hidden="1" x14ac:dyDescent="0.2">
      <c r="A965" t="s">
        <v>363</v>
      </c>
      <c r="B965" t="s">
        <v>814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 t="s">
        <v>805</v>
      </c>
    </row>
    <row r="966" spans="1:9" hidden="1" x14ac:dyDescent="0.2">
      <c r="A966" t="s">
        <v>364</v>
      </c>
      <c r="B966" t="s">
        <v>872</v>
      </c>
      <c r="C966">
        <v>0</v>
      </c>
      <c r="D966">
        <v>0.71414217105894084</v>
      </c>
      <c r="E966">
        <v>0.37234112496256411</v>
      </c>
      <c r="F966">
        <v>3.0981990746714012</v>
      </c>
      <c r="G966">
        <v>4.9864546678435318E-6</v>
      </c>
      <c r="H966">
        <v>1.4370351708237189E-4</v>
      </c>
      <c r="I966" t="s">
        <v>805</v>
      </c>
    </row>
    <row r="967" spans="1:9" hidden="1" x14ac:dyDescent="0.2">
      <c r="A967" t="s">
        <v>364</v>
      </c>
      <c r="B967" t="s">
        <v>814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 t="s">
        <v>805</v>
      </c>
    </row>
    <row r="968" spans="1:9" x14ac:dyDescent="0.2">
      <c r="A968" t="s">
        <v>365</v>
      </c>
      <c r="B968" t="s">
        <v>810</v>
      </c>
      <c r="C968">
        <v>0</v>
      </c>
      <c r="D968">
        <v>0</v>
      </c>
      <c r="E968">
        <v>0</v>
      </c>
      <c r="F968">
        <v>0</v>
      </c>
      <c r="I968" t="s">
        <v>794</v>
      </c>
    </row>
    <row r="969" spans="1:9" x14ac:dyDescent="0.2">
      <c r="A969" t="s">
        <v>365</v>
      </c>
      <c r="B969" t="s">
        <v>873</v>
      </c>
      <c r="C969">
        <v>2940.8715648068251</v>
      </c>
      <c r="D969">
        <v>0</v>
      </c>
      <c r="E969">
        <v>0</v>
      </c>
      <c r="F969">
        <v>0</v>
      </c>
      <c r="I969" t="s">
        <v>794</v>
      </c>
    </row>
    <row r="970" spans="1:9" x14ac:dyDescent="0.2">
      <c r="A970" t="s">
        <v>366</v>
      </c>
      <c r="B970" t="s">
        <v>810</v>
      </c>
      <c r="H970">
        <v>0</v>
      </c>
      <c r="I970" t="s">
        <v>794</v>
      </c>
    </row>
    <row r="971" spans="1:9" x14ac:dyDescent="0.2">
      <c r="A971" t="s">
        <v>366</v>
      </c>
      <c r="B971" t="s">
        <v>873</v>
      </c>
      <c r="H971">
        <v>0</v>
      </c>
      <c r="I971" t="s">
        <v>794</v>
      </c>
    </row>
    <row r="972" spans="1:9" hidden="1" x14ac:dyDescent="0.2">
      <c r="A972" t="s">
        <v>367</v>
      </c>
      <c r="B972" t="s">
        <v>836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 t="s">
        <v>797</v>
      </c>
    </row>
    <row r="973" spans="1:9" hidden="1" x14ac:dyDescent="0.2">
      <c r="A973" t="s">
        <v>367</v>
      </c>
      <c r="B973" t="s">
        <v>814</v>
      </c>
      <c r="C973">
        <v>0</v>
      </c>
      <c r="D973">
        <v>7.3869980280154136E-5</v>
      </c>
      <c r="E973">
        <v>1.7709762456238309E-5</v>
      </c>
      <c r="F973">
        <v>0</v>
      </c>
      <c r="G973">
        <v>0</v>
      </c>
      <c r="H973">
        <v>5.8889150404144839E-5</v>
      </c>
      <c r="I973" t="s">
        <v>797</v>
      </c>
    </row>
    <row r="974" spans="1:9" hidden="1" x14ac:dyDescent="0.2">
      <c r="A974" t="s">
        <v>368</v>
      </c>
      <c r="B974" t="s">
        <v>836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 t="s">
        <v>797</v>
      </c>
    </row>
    <row r="975" spans="1:9" hidden="1" x14ac:dyDescent="0.2">
      <c r="A975" t="s">
        <v>368</v>
      </c>
      <c r="B975" t="s">
        <v>814</v>
      </c>
      <c r="C975">
        <v>0</v>
      </c>
      <c r="D975">
        <v>8.3902063397549943E-5</v>
      </c>
      <c r="E975">
        <v>5.092387068351714E-5</v>
      </c>
      <c r="F975">
        <v>0</v>
      </c>
      <c r="G975">
        <v>0</v>
      </c>
      <c r="H975">
        <v>0</v>
      </c>
      <c r="I975" t="s">
        <v>797</v>
      </c>
    </row>
    <row r="976" spans="1:9" hidden="1" x14ac:dyDescent="0.2">
      <c r="A976" t="s">
        <v>368</v>
      </c>
      <c r="B976" t="s">
        <v>815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 t="s">
        <v>797</v>
      </c>
    </row>
    <row r="977" spans="1:9" hidden="1" x14ac:dyDescent="0.2">
      <c r="A977" t="s">
        <v>368</v>
      </c>
      <c r="B977" t="s">
        <v>810</v>
      </c>
      <c r="C977">
        <v>0</v>
      </c>
      <c r="D977">
        <v>1.270000947210582E-6</v>
      </c>
      <c r="E977">
        <v>7.7081908644193318E-7</v>
      </c>
      <c r="F977">
        <v>0</v>
      </c>
      <c r="G977">
        <v>0</v>
      </c>
      <c r="H977">
        <v>0</v>
      </c>
      <c r="I977" t="s">
        <v>797</v>
      </c>
    </row>
    <row r="978" spans="1:9" hidden="1" x14ac:dyDescent="0.2">
      <c r="A978" t="s">
        <v>369</v>
      </c>
      <c r="B978" t="s">
        <v>874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 t="s">
        <v>791</v>
      </c>
    </row>
    <row r="979" spans="1:9" hidden="1" x14ac:dyDescent="0.2">
      <c r="A979" t="s">
        <v>369</v>
      </c>
      <c r="B979" t="s">
        <v>814</v>
      </c>
      <c r="C979">
        <v>0</v>
      </c>
      <c r="D979">
        <v>1.063623096075464E-4</v>
      </c>
      <c r="E979">
        <v>0</v>
      </c>
      <c r="F979">
        <v>0</v>
      </c>
      <c r="G979">
        <v>0</v>
      </c>
      <c r="H979">
        <v>0</v>
      </c>
      <c r="I979" t="s">
        <v>791</v>
      </c>
    </row>
    <row r="980" spans="1:9" hidden="1" x14ac:dyDescent="0.2">
      <c r="A980" t="s">
        <v>369</v>
      </c>
      <c r="B980" t="s">
        <v>810</v>
      </c>
      <c r="C980">
        <v>0</v>
      </c>
      <c r="D980">
        <v>1.841496682060783E-6</v>
      </c>
      <c r="E980">
        <v>0</v>
      </c>
      <c r="F980">
        <v>0</v>
      </c>
      <c r="G980">
        <v>0</v>
      </c>
      <c r="H980">
        <v>0</v>
      </c>
      <c r="I980" t="s">
        <v>791</v>
      </c>
    </row>
    <row r="981" spans="1:9" hidden="1" x14ac:dyDescent="0.2">
      <c r="A981" t="s">
        <v>369</v>
      </c>
      <c r="B981" t="s">
        <v>858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 t="s">
        <v>791</v>
      </c>
    </row>
    <row r="982" spans="1:9" hidden="1" x14ac:dyDescent="0.2">
      <c r="A982" t="s">
        <v>370</v>
      </c>
      <c r="B982" t="s">
        <v>841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 t="s">
        <v>791</v>
      </c>
    </row>
    <row r="983" spans="1:9" hidden="1" x14ac:dyDescent="0.2">
      <c r="A983" t="s">
        <v>370</v>
      </c>
      <c r="B983" t="s">
        <v>875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 t="s">
        <v>791</v>
      </c>
    </row>
    <row r="984" spans="1:9" hidden="1" x14ac:dyDescent="0.2">
      <c r="A984" t="s">
        <v>370</v>
      </c>
      <c r="B984" t="s">
        <v>814</v>
      </c>
      <c r="C984">
        <v>0</v>
      </c>
      <c r="D984">
        <v>9.54946319752518E-4</v>
      </c>
      <c r="E984">
        <v>0</v>
      </c>
      <c r="F984">
        <v>0</v>
      </c>
      <c r="G984">
        <v>0</v>
      </c>
      <c r="H984">
        <v>111.1921181383987</v>
      </c>
      <c r="I984" t="s">
        <v>791</v>
      </c>
    </row>
    <row r="985" spans="1:9" hidden="1" x14ac:dyDescent="0.2">
      <c r="A985" t="s">
        <v>370</v>
      </c>
      <c r="B985" t="s">
        <v>828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 t="s">
        <v>791</v>
      </c>
    </row>
    <row r="986" spans="1:9" hidden="1" x14ac:dyDescent="0.2">
      <c r="A986" t="s">
        <v>370</v>
      </c>
      <c r="B986" t="s">
        <v>810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 t="s">
        <v>791</v>
      </c>
    </row>
    <row r="987" spans="1:9" hidden="1" x14ac:dyDescent="0.2">
      <c r="A987" t="s">
        <v>370</v>
      </c>
      <c r="B987" t="s">
        <v>858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 t="s">
        <v>791</v>
      </c>
    </row>
    <row r="988" spans="1:9" hidden="1" x14ac:dyDescent="0.2">
      <c r="A988" t="s">
        <v>371</v>
      </c>
      <c r="B988" t="s">
        <v>853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 t="s">
        <v>791</v>
      </c>
    </row>
    <row r="989" spans="1:9" hidden="1" x14ac:dyDescent="0.2">
      <c r="A989" t="s">
        <v>371</v>
      </c>
      <c r="B989" t="s">
        <v>845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 t="s">
        <v>791</v>
      </c>
    </row>
    <row r="990" spans="1:9" hidden="1" x14ac:dyDescent="0.2">
      <c r="A990" t="s">
        <v>371</v>
      </c>
      <c r="B990" t="s">
        <v>814</v>
      </c>
      <c r="C990">
        <v>0</v>
      </c>
      <c r="D990">
        <v>5.2077058983047216E-4</v>
      </c>
      <c r="E990">
        <v>0</v>
      </c>
      <c r="F990">
        <v>0</v>
      </c>
      <c r="G990">
        <v>2.079062739756829E-4</v>
      </c>
      <c r="H990">
        <v>0</v>
      </c>
      <c r="I990" t="s">
        <v>791</v>
      </c>
    </row>
    <row r="991" spans="1:9" hidden="1" x14ac:dyDescent="0.2">
      <c r="A991" t="s">
        <v>371</v>
      </c>
      <c r="B991" t="s">
        <v>810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 t="s">
        <v>791</v>
      </c>
    </row>
    <row r="992" spans="1:9" hidden="1" x14ac:dyDescent="0.2">
      <c r="A992" t="s">
        <v>372</v>
      </c>
      <c r="B992" t="s">
        <v>853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 t="s">
        <v>791</v>
      </c>
    </row>
    <row r="993" spans="1:9" hidden="1" x14ac:dyDescent="0.2">
      <c r="A993" t="s">
        <v>372</v>
      </c>
      <c r="B993" t="s">
        <v>845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 t="s">
        <v>791</v>
      </c>
    </row>
    <row r="994" spans="1:9" hidden="1" x14ac:dyDescent="0.2">
      <c r="A994" t="s">
        <v>372</v>
      </c>
      <c r="B994" t="s">
        <v>814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 t="s">
        <v>791</v>
      </c>
    </row>
    <row r="995" spans="1:9" hidden="1" x14ac:dyDescent="0.2">
      <c r="A995" t="s">
        <v>372</v>
      </c>
      <c r="B995" t="s">
        <v>810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 t="s">
        <v>791</v>
      </c>
    </row>
    <row r="996" spans="1:9" hidden="1" x14ac:dyDescent="0.2">
      <c r="A996" t="s">
        <v>372</v>
      </c>
      <c r="B996" t="s">
        <v>811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 t="s">
        <v>791</v>
      </c>
    </row>
    <row r="997" spans="1:9" hidden="1" x14ac:dyDescent="0.2">
      <c r="A997" t="s">
        <v>373</v>
      </c>
      <c r="B997" t="s">
        <v>853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 t="s">
        <v>791</v>
      </c>
    </row>
    <row r="998" spans="1:9" hidden="1" x14ac:dyDescent="0.2">
      <c r="A998" t="s">
        <v>373</v>
      </c>
      <c r="B998" t="s">
        <v>845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 t="s">
        <v>791</v>
      </c>
    </row>
    <row r="999" spans="1:9" hidden="1" x14ac:dyDescent="0.2">
      <c r="A999" t="s">
        <v>373</v>
      </c>
      <c r="B999" t="s">
        <v>814</v>
      </c>
      <c r="C999">
        <v>0</v>
      </c>
      <c r="D999">
        <v>5.943751010909214E-4</v>
      </c>
      <c r="E999">
        <v>7.9171091440193743E-6</v>
      </c>
      <c r="F999">
        <v>0</v>
      </c>
      <c r="G999">
        <v>0.65805018144366512</v>
      </c>
      <c r="H999">
        <v>0</v>
      </c>
      <c r="I999" t="s">
        <v>791</v>
      </c>
    </row>
    <row r="1000" spans="1:9" hidden="1" x14ac:dyDescent="0.2">
      <c r="A1000" t="s">
        <v>373</v>
      </c>
      <c r="B1000" t="s">
        <v>810</v>
      </c>
      <c r="C1000">
        <v>0</v>
      </c>
      <c r="D1000">
        <v>4.3587507402694498E-6</v>
      </c>
      <c r="E1000">
        <v>5.8058800383060459E-8</v>
      </c>
      <c r="F1000">
        <v>0</v>
      </c>
      <c r="G1000">
        <v>0</v>
      </c>
      <c r="H1000">
        <v>0</v>
      </c>
      <c r="I1000" t="s">
        <v>791</v>
      </c>
    </row>
    <row r="1001" spans="1:9" hidden="1" x14ac:dyDescent="0.2">
      <c r="A1001" t="s">
        <v>373</v>
      </c>
      <c r="B1001" t="s">
        <v>811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 t="s">
        <v>791</v>
      </c>
    </row>
    <row r="1002" spans="1:9" hidden="1" x14ac:dyDescent="0.2">
      <c r="A1002" t="s">
        <v>374</v>
      </c>
      <c r="B1002" t="s">
        <v>853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 t="s">
        <v>791</v>
      </c>
    </row>
    <row r="1003" spans="1:9" hidden="1" x14ac:dyDescent="0.2">
      <c r="A1003" t="s">
        <v>374</v>
      </c>
      <c r="B1003" t="s">
        <v>845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 t="s">
        <v>791</v>
      </c>
    </row>
    <row r="1004" spans="1:9" hidden="1" x14ac:dyDescent="0.2">
      <c r="A1004" t="s">
        <v>374</v>
      </c>
      <c r="B1004" t="s">
        <v>814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 t="s">
        <v>791</v>
      </c>
    </row>
    <row r="1005" spans="1:9" hidden="1" x14ac:dyDescent="0.2">
      <c r="A1005" t="s">
        <v>374</v>
      </c>
      <c r="B1005" t="s">
        <v>810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 t="s">
        <v>791</v>
      </c>
    </row>
    <row r="1006" spans="1:9" hidden="1" x14ac:dyDescent="0.2">
      <c r="A1006" t="s">
        <v>374</v>
      </c>
      <c r="B1006" t="s">
        <v>811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 t="s">
        <v>791</v>
      </c>
    </row>
    <row r="1007" spans="1:9" hidden="1" x14ac:dyDescent="0.2">
      <c r="A1007" s="89" t="s">
        <v>375</v>
      </c>
      <c r="B1007" t="s">
        <v>816</v>
      </c>
      <c r="C1007">
        <v>0</v>
      </c>
      <c r="D1007">
        <v>53.755465815964961</v>
      </c>
      <c r="E1007">
        <v>0</v>
      </c>
      <c r="F1007">
        <v>0</v>
      </c>
      <c r="G1007">
        <v>0</v>
      </c>
      <c r="H1007">
        <v>0</v>
      </c>
      <c r="I1007" t="s">
        <v>792</v>
      </c>
    </row>
    <row r="1008" spans="1:9" hidden="1" x14ac:dyDescent="0.2">
      <c r="A1008" s="89" t="s">
        <v>375</v>
      </c>
      <c r="B1008" t="s">
        <v>815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 t="s">
        <v>792</v>
      </c>
    </row>
    <row r="1009" spans="1:9" hidden="1" x14ac:dyDescent="0.2">
      <c r="A1009" s="89" t="s">
        <v>375</v>
      </c>
      <c r="B1009" t="s">
        <v>810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 t="s">
        <v>792</v>
      </c>
    </row>
    <row r="1010" spans="1:9" hidden="1" x14ac:dyDescent="0.2">
      <c r="A1010" s="89" t="s">
        <v>375</v>
      </c>
      <c r="B1010" t="s">
        <v>812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 t="s">
        <v>792</v>
      </c>
    </row>
    <row r="1011" spans="1:9" hidden="1" x14ac:dyDescent="0.2">
      <c r="A1011" s="89" t="s">
        <v>376</v>
      </c>
      <c r="B1011" t="s">
        <v>816</v>
      </c>
      <c r="C1011">
        <v>0</v>
      </c>
      <c r="D1011">
        <v>5.5919457791389583E-4</v>
      </c>
      <c r="E1011">
        <v>0</v>
      </c>
      <c r="F1011">
        <v>0</v>
      </c>
      <c r="G1011">
        <v>0</v>
      </c>
      <c r="H1011">
        <v>0</v>
      </c>
      <c r="I1011" t="s">
        <v>792</v>
      </c>
    </row>
    <row r="1012" spans="1:9" hidden="1" x14ac:dyDescent="0.2">
      <c r="A1012" s="89" t="s">
        <v>376</v>
      </c>
      <c r="B1012" t="s">
        <v>815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 t="s">
        <v>792</v>
      </c>
    </row>
    <row r="1013" spans="1:9" hidden="1" x14ac:dyDescent="0.2">
      <c r="A1013" s="89" t="s">
        <v>376</v>
      </c>
      <c r="B1013" t="s">
        <v>810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 t="s">
        <v>792</v>
      </c>
    </row>
    <row r="1014" spans="1:9" hidden="1" x14ac:dyDescent="0.2">
      <c r="A1014" s="89" t="s">
        <v>376</v>
      </c>
      <c r="B1014" t="s">
        <v>812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 t="s">
        <v>792</v>
      </c>
    </row>
    <row r="1015" spans="1:9" hidden="1" x14ac:dyDescent="0.2">
      <c r="A1015" s="89" t="s">
        <v>377</v>
      </c>
      <c r="B1015" t="s">
        <v>816</v>
      </c>
      <c r="C1015">
        <v>0</v>
      </c>
      <c r="D1015">
        <v>9.4591656431127326E-4</v>
      </c>
      <c r="E1015">
        <v>0</v>
      </c>
      <c r="F1015">
        <v>0</v>
      </c>
      <c r="G1015">
        <v>0</v>
      </c>
      <c r="H1015">
        <v>0</v>
      </c>
      <c r="I1015" t="s">
        <v>792</v>
      </c>
    </row>
    <row r="1016" spans="1:9" hidden="1" x14ac:dyDescent="0.2">
      <c r="A1016" s="89" t="s">
        <v>377</v>
      </c>
      <c r="B1016" t="s">
        <v>815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 t="s">
        <v>792</v>
      </c>
    </row>
    <row r="1017" spans="1:9" hidden="1" x14ac:dyDescent="0.2">
      <c r="A1017" s="89" t="s">
        <v>377</v>
      </c>
      <c r="B1017" t="s">
        <v>810</v>
      </c>
      <c r="C1017">
        <v>0</v>
      </c>
      <c r="D1017">
        <v>2.5517679467203531E-6</v>
      </c>
      <c r="E1017">
        <v>0</v>
      </c>
      <c r="F1017">
        <v>0</v>
      </c>
      <c r="G1017">
        <v>0</v>
      </c>
      <c r="H1017">
        <v>0</v>
      </c>
      <c r="I1017" t="s">
        <v>792</v>
      </c>
    </row>
    <row r="1018" spans="1:9" hidden="1" x14ac:dyDescent="0.2">
      <c r="A1018" s="89" t="s">
        <v>377</v>
      </c>
      <c r="B1018" t="s">
        <v>812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 t="s">
        <v>792</v>
      </c>
    </row>
    <row r="1019" spans="1:9" hidden="1" x14ac:dyDescent="0.2">
      <c r="A1019" s="89" t="s">
        <v>378</v>
      </c>
      <c r="B1019" t="s">
        <v>816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 t="s">
        <v>792</v>
      </c>
    </row>
    <row r="1020" spans="1:9" hidden="1" x14ac:dyDescent="0.2">
      <c r="A1020" s="89" t="s">
        <v>378</v>
      </c>
      <c r="B1020" t="s">
        <v>815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 t="s">
        <v>792</v>
      </c>
    </row>
    <row r="1021" spans="1:9" hidden="1" x14ac:dyDescent="0.2">
      <c r="A1021" s="89" t="s">
        <v>378</v>
      </c>
      <c r="B1021" t="s">
        <v>810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 t="s">
        <v>792</v>
      </c>
    </row>
    <row r="1022" spans="1:9" hidden="1" x14ac:dyDescent="0.2">
      <c r="A1022" t="s">
        <v>378</v>
      </c>
      <c r="B1022" t="s">
        <v>812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 t="s">
        <v>792</v>
      </c>
    </row>
    <row r="1023" spans="1:9" hidden="1" x14ac:dyDescent="0.2">
      <c r="A1023" s="89" t="s">
        <v>379</v>
      </c>
      <c r="B1023" t="s">
        <v>816</v>
      </c>
      <c r="C1023">
        <v>0</v>
      </c>
      <c r="D1023">
        <v>3.2902186833284501E-4</v>
      </c>
      <c r="E1023">
        <v>0</v>
      </c>
      <c r="F1023">
        <v>0</v>
      </c>
      <c r="G1023">
        <v>0</v>
      </c>
      <c r="H1023">
        <v>0</v>
      </c>
      <c r="I1023" t="s">
        <v>792</v>
      </c>
    </row>
    <row r="1024" spans="1:9" hidden="1" x14ac:dyDescent="0.2">
      <c r="A1024" t="s">
        <v>379</v>
      </c>
      <c r="B1024" t="s">
        <v>815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 t="s">
        <v>792</v>
      </c>
    </row>
    <row r="1025" spans="1:9" hidden="1" x14ac:dyDescent="0.2">
      <c r="A1025" t="s">
        <v>379</v>
      </c>
      <c r="B1025" t="s">
        <v>810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 t="s">
        <v>792</v>
      </c>
    </row>
    <row r="1026" spans="1:9" hidden="1" x14ac:dyDescent="0.2">
      <c r="A1026" t="s">
        <v>379</v>
      </c>
      <c r="B1026" t="s">
        <v>812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 t="s">
        <v>792</v>
      </c>
    </row>
    <row r="1027" spans="1:9" hidden="1" x14ac:dyDescent="0.2">
      <c r="A1027" t="s">
        <v>380</v>
      </c>
      <c r="B1027" t="s">
        <v>814</v>
      </c>
      <c r="C1027">
        <v>2.9043723712695891E-4</v>
      </c>
      <c r="D1027">
        <v>0</v>
      </c>
      <c r="E1027">
        <v>0</v>
      </c>
      <c r="F1027">
        <v>0</v>
      </c>
      <c r="G1027">
        <v>0</v>
      </c>
      <c r="H1027">
        <v>0</v>
      </c>
      <c r="I1027" t="s">
        <v>792</v>
      </c>
    </row>
    <row r="1028" spans="1:9" hidden="1" x14ac:dyDescent="0.2">
      <c r="A1028" t="s">
        <v>380</v>
      </c>
      <c r="B1028" t="s">
        <v>810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 t="s">
        <v>792</v>
      </c>
    </row>
    <row r="1029" spans="1:9" hidden="1" x14ac:dyDescent="0.2">
      <c r="A1029" t="s">
        <v>380</v>
      </c>
      <c r="B1029" t="s">
        <v>812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 t="s">
        <v>792</v>
      </c>
    </row>
    <row r="1030" spans="1:9" hidden="1" x14ac:dyDescent="0.2">
      <c r="A1030" t="s">
        <v>381</v>
      </c>
      <c r="B1030" t="s">
        <v>812</v>
      </c>
      <c r="C1030">
        <v>0</v>
      </c>
      <c r="I1030" t="s">
        <v>792</v>
      </c>
    </row>
    <row r="1031" spans="1:9" hidden="1" x14ac:dyDescent="0.2">
      <c r="A1031" t="s">
        <v>381</v>
      </c>
      <c r="B1031" t="s">
        <v>818</v>
      </c>
      <c r="C1031">
        <v>0</v>
      </c>
      <c r="I1031" t="s">
        <v>792</v>
      </c>
    </row>
    <row r="1032" spans="1:9" hidden="1" x14ac:dyDescent="0.2">
      <c r="A1032" t="s">
        <v>382</v>
      </c>
      <c r="B1032" t="s">
        <v>810</v>
      </c>
      <c r="C1032">
        <v>0</v>
      </c>
      <c r="D1032">
        <v>3.3573268607465101E-6</v>
      </c>
      <c r="E1032">
        <v>0</v>
      </c>
      <c r="F1032">
        <v>0</v>
      </c>
      <c r="G1032">
        <v>0</v>
      </c>
      <c r="H1032">
        <v>1.836832855575605E-6</v>
      </c>
      <c r="I1032" t="s">
        <v>792</v>
      </c>
    </row>
    <row r="1033" spans="1:9" hidden="1" x14ac:dyDescent="0.2">
      <c r="A1033" t="s">
        <v>382</v>
      </c>
      <c r="B1033" t="s">
        <v>812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 t="s">
        <v>792</v>
      </c>
    </row>
    <row r="1034" spans="1:9" hidden="1" x14ac:dyDescent="0.2">
      <c r="A1034" t="s">
        <v>382</v>
      </c>
      <c r="B1034" t="s">
        <v>813</v>
      </c>
      <c r="C1034">
        <v>0</v>
      </c>
      <c r="D1034">
        <v>1.7342202291965181E-4</v>
      </c>
      <c r="E1034">
        <v>0</v>
      </c>
      <c r="F1034">
        <v>0</v>
      </c>
      <c r="G1034">
        <v>0</v>
      </c>
      <c r="H1034">
        <v>8.2642434519166171E-5</v>
      </c>
      <c r="I1034" t="s">
        <v>792</v>
      </c>
    </row>
    <row r="1035" spans="1:9" hidden="1" x14ac:dyDescent="0.2">
      <c r="A1035" t="s">
        <v>383</v>
      </c>
      <c r="B1035" t="s">
        <v>816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 t="s">
        <v>792</v>
      </c>
    </row>
    <row r="1036" spans="1:9" hidden="1" x14ac:dyDescent="0.2">
      <c r="A1036" t="s">
        <v>383</v>
      </c>
      <c r="B1036" t="s">
        <v>866</v>
      </c>
      <c r="C1036">
        <v>0</v>
      </c>
      <c r="D1036">
        <v>8.8746931310771246E-6</v>
      </c>
      <c r="E1036">
        <v>8.6876837944954153E-6</v>
      </c>
      <c r="F1036">
        <v>0</v>
      </c>
      <c r="G1036">
        <v>1.4110026432297089E-4</v>
      </c>
      <c r="H1036">
        <v>0</v>
      </c>
      <c r="I1036" t="s">
        <v>792</v>
      </c>
    </row>
    <row r="1037" spans="1:9" hidden="1" x14ac:dyDescent="0.2">
      <c r="A1037" t="s">
        <v>383</v>
      </c>
      <c r="B1037" t="s">
        <v>810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 t="s">
        <v>792</v>
      </c>
    </row>
    <row r="1038" spans="1:9" hidden="1" x14ac:dyDescent="0.2">
      <c r="A1038" t="s">
        <v>383</v>
      </c>
      <c r="B1038" t="s">
        <v>812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 t="s">
        <v>792</v>
      </c>
    </row>
    <row r="1039" spans="1:9" hidden="1" x14ac:dyDescent="0.2">
      <c r="A1039" t="s">
        <v>384</v>
      </c>
      <c r="B1039" t="s">
        <v>842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 t="s">
        <v>806</v>
      </c>
    </row>
    <row r="1040" spans="1:9" hidden="1" x14ac:dyDescent="0.2">
      <c r="A1040" t="s">
        <v>384</v>
      </c>
      <c r="B1040" t="s">
        <v>876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 t="s">
        <v>806</v>
      </c>
    </row>
    <row r="1041" spans="1:9" hidden="1" x14ac:dyDescent="0.2">
      <c r="A1041" t="s">
        <v>384</v>
      </c>
      <c r="B1041" t="s">
        <v>834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 t="s">
        <v>806</v>
      </c>
    </row>
    <row r="1042" spans="1:9" hidden="1" x14ac:dyDescent="0.2">
      <c r="A1042" t="s">
        <v>384</v>
      </c>
      <c r="B1042" t="s">
        <v>877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 t="s">
        <v>806</v>
      </c>
    </row>
    <row r="1043" spans="1:9" hidden="1" x14ac:dyDescent="0.2">
      <c r="A1043" t="s">
        <v>385</v>
      </c>
      <c r="B1043" t="s">
        <v>810</v>
      </c>
      <c r="C1043">
        <v>0</v>
      </c>
      <c r="D1043">
        <v>7.0313521454204959E-5</v>
      </c>
      <c r="E1043">
        <v>0</v>
      </c>
      <c r="F1043">
        <v>0</v>
      </c>
      <c r="G1043">
        <v>0</v>
      </c>
      <c r="H1043">
        <v>0</v>
      </c>
      <c r="I1043" t="s">
        <v>806</v>
      </c>
    </row>
    <row r="1044" spans="1:9" hidden="1" x14ac:dyDescent="0.2">
      <c r="A1044" t="s">
        <v>385</v>
      </c>
      <c r="B1044" t="s">
        <v>877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 t="s">
        <v>806</v>
      </c>
    </row>
    <row r="1045" spans="1:9" hidden="1" x14ac:dyDescent="0.2">
      <c r="A1045" t="s">
        <v>385</v>
      </c>
      <c r="B1045" t="s">
        <v>812</v>
      </c>
      <c r="C1045">
        <v>0</v>
      </c>
      <c r="D1045">
        <v>9.6954341009029547E-5</v>
      </c>
      <c r="E1045">
        <v>0</v>
      </c>
      <c r="F1045">
        <v>0</v>
      </c>
      <c r="G1045">
        <v>0</v>
      </c>
      <c r="H1045">
        <v>0</v>
      </c>
      <c r="I1045" t="s">
        <v>806</v>
      </c>
    </row>
    <row r="1046" spans="1:9" hidden="1" x14ac:dyDescent="0.2">
      <c r="A1046" t="s">
        <v>386</v>
      </c>
      <c r="B1046" t="s">
        <v>815</v>
      </c>
      <c r="C1046">
        <v>0</v>
      </c>
      <c r="D1046">
        <v>1.673036917075633E-5</v>
      </c>
      <c r="E1046">
        <v>0</v>
      </c>
      <c r="F1046">
        <v>0</v>
      </c>
      <c r="G1046">
        <v>0</v>
      </c>
      <c r="H1046">
        <v>0</v>
      </c>
      <c r="I1046" t="s">
        <v>806</v>
      </c>
    </row>
    <row r="1047" spans="1:9" hidden="1" x14ac:dyDescent="0.2">
      <c r="A1047" t="s">
        <v>386</v>
      </c>
      <c r="B1047" t="s">
        <v>810</v>
      </c>
      <c r="C1047">
        <v>0</v>
      </c>
      <c r="D1047">
        <v>6.8279123675978517E-5</v>
      </c>
      <c r="E1047">
        <v>0</v>
      </c>
      <c r="F1047">
        <v>0</v>
      </c>
      <c r="G1047">
        <v>0</v>
      </c>
      <c r="H1047">
        <v>0</v>
      </c>
      <c r="I1047" t="s">
        <v>806</v>
      </c>
    </row>
    <row r="1048" spans="1:9" hidden="1" x14ac:dyDescent="0.2">
      <c r="A1048" t="s">
        <v>386</v>
      </c>
      <c r="B1048" t="s">
        <v>877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 t="s">
        <v>806</v>
      </c>
    </row>
    <row r="1049" spans="1:9" hidden="1" x14ac:dyDescent="0.2">
      <c r="A1049" t="s">
        <v>386</v>
      </c>
      <c r="B1049" t="s">
        <v>812</v>
      </c>
      <c r="C1049">
        <v>0</v>
      </c>
      <c r="D1049">
        <v>2.8197170625343258E-4</v>
      </c>
      <c r="E1049">
        <v>0</v>
      </c>
      <c r="F1049">
        <v>0</v>
      </c>
      <c r="G1049">
        <v>0</v>
      </c>
      <c r="H1049">
        <v>0</v>
      </c>
      <c r="I1049" t="s">
        <v>806</v>
      </c>
    </row>
    <row r="1050" spans="1:9" hidden="1" x14ac:dyDescent="0.2">
      <c r="A1050" t="s">
        <v>387</v>
      </c>
      <c r="B1050" t="s">
        <v>810</v>
      </c>
      <c r="C1050">
        <v>0</v>
      </c>
      <c r="D1050">
        <v>4.4299952184217707E-5</v>
      </c>
      <c r="E1050">
        <v>1.434779856671812E-5</v>
      </c>
      <c r="F1050">
        <v>0</v>
      </c>
      <c r="G1050">
        <v>0</v>
      </c>
      <c r="H1050">
        <v>1.442578909756274E-5</v>
      </c>
      <c r="I1050" t="s">
        <v>806</v>
      </c>
    </row>
    <row r="1051" spans="1:9" hidden="1" x14ac:dyDescent="0.2">
      <c r="A1051" t="s">
        <v>387</v>
      </c>
      <c r="B1051" t="s">
        <v>877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 t="s">
        <v>806</v>
      </c>
    </row>
    <row r="1052" spans="1:9" hidden="1" x14ac:dyDescent="0.2">
      <c r="A1052" t="s">
        <v>388</v>
      </c>
      <c r="B1052" t="s">
        <v>815</v>
      </c>
      <c r="C1052">
        <v>0</v>
      </c>
      <c r="D1052">
        <v>2.358937378870593E-6</v>
      </c>
      <c r="E1052">
        <v>5.9926951387889936E-8</v>
      </c>
      <c r="F1052">
        <v>0</v>
      </c>
      <c r="G1052">
        <v>0</v>
      </c>
      <c r="H1052">
        <v>2.1869995415694462E-6</v>
      </c>
      <c r="I1052" t="s">
        <v>806</v>
      </c>
    </row>
    <row r="1053" spans="1:9" hidden="1" x14ac:dyDescent="0.2">
      <c r="A1053" t="s">
        <v>388</v>
      </c>
      <c r="B1053" t="s">
        <v>810</v>
      </c>
      <c r="C1053">
        <v>0</v>
      </c>
      <c r="D1053">
        <v>6.9810968328804277E-5</v>
      </c>
      <c r="E1053">
        <v>1.7234382219033529E-6</v>
      </c>
      <c r="F1053">
        <v>0</v>
      </c>
      <c r="G1053">
        <v>0</v>
      </c>
      <c r="H1053">
        <v>5.5192930304873328E-5</v>
      </c>
      <c r="I1053" t="s">
        <v>806</v>
      </c>
    </row>
    <row r="1054" spans="1:9" hidden="1" x14ac:dyDescent="0.2">
      <c r="A1054" t="s">
        <v>388</v>
      </c>
      <c r="B1054" t="s">
        <v>877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 t="s">
        <v>806</v>
      </c>
    </row>
    <row r="1055" spans="1:9" hidden="1" x14ac:dyDescent="0.2">
      <c r="A1055" t="s">
        <v>389</v>
      </c>
      <c r="B1055" t="s">
        <v>810</v>
      </c>
      <c r="C1055">
        <v>0</v>
      </c>
      <c r="D1055">
        <v>5.402805224808227E-5</v>
      </c>
      <c r="E1055">
        <v>1.2147260387073451E-5</v>
      </c>
      <c r="F1055">
        <v>0</v>
      </c>
      <c r="G1055">
        <v>0</v>
      </c>
      <c r="H1055">
        <v>1.787567799993763E-5</v>
      </c>
      <c r="I1055" t="s">
        <v>806</v>
      </c>
    </row>
    <row r="1056" spans="1:9" hidden="1" x14ac:dyDescent="0.2">
      <c r="A1056" t="s">
        <v>389</v>
      </c>
      <c r="B1056" t="s">
        <v>877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 t="s">
        <v>806</v>
      </c>
    </row>
    <row r="1057" spans="1:9" hidden="1" x14ac:dyDescent="0.2">
      <c r="A1057" t="s">
        <v>390</v>
      </c>
      <c r="B1057" t="s">
        <v>815</v>
      </c>
      <c r="C1057">
        <v>0</v>
      </c>
      <c r="D1057">
        <v>2.262748731490459E-6</v>
      </c>
      <c r="E1057">
        <v>2.1653724840057999E-7</v>
      </c>
      <c r="F1057">
        <v>0</v>
      </c>
      <c r="G1057">
        <v>0</v>
      </c>
      <c r="H1057">
        <v>4.4482829864574149E-6</v>
      </c>
      <c r="I1057" t="s">
        <v>806</v>
      </c>
    </row>
    <row r="1058" spans="1:9" hidden="1" x14ac:dyDescent="0.2">
      <c r="A1058" t="s">
        <v>390</v>
      </c>
      <c r="B1058" t="s">
        <v>810</v>
      </c>
      <c r="C1058">
        <v>0</v>
      </c>
      <c r="D1058">
        <v>5.6094581655057773E-5</v>
      </c>
      <c r="E1058">
        <v>5.3019182554518064E-6</v>
      </c>
      <c r="F1058">
        <v>0</v>
      </c>
      <c r="G1058">
        <v>0</v>
      </c>
      <c r="H1058">
        <v>1.044890448009535E-4</v>
      </c>
      <c r="I1058" t="s">
        <v>806</v>
      </c>
    </row>
    <row r="1059" spans="1:9" hidden="1" x14ac:dyDescent="0.2">
      <c r="A1059" t="s">
        <v>390</v>
      </c>
      <c r="B1059" t="s">
        <v>877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 t="s">
        <v>806</v>
      </c>
    </row>
    <row r="1060" spans="1:9" hidden="1" x14ac:dyDescent="0.2">
      <c r="A1060" t="s">
        <v>391</v>
      </c>
      <c r="B1060" t="s">
        <v>810</v>
      </c>
      <c r="D1060">
        <v>0</v>
      </c>
      <c r="E1060">
        <v>0</v>
      </c>
      <c r="G1060">
        <v>0</v>
      </c>
      <c r="I1060" t="s">
        <v>790</v>
      </c>
    </row>
    <row r="1061" spans="1:9" hidden="1" x14ac:dyDescent="0.2">
      <c r="A1061" t="s">
        <v>392</v>
      </c>
      <c r="B1061" t="s">
        <v>816</v>
      </c>
      <c r="D1061">
        <v>0</v>
      </c>
      <c r="G1061">
        <v>0</v>
      </c>
      <c r="H1061">
        <v>0</v>
      </c>
      <c r="I1061" t="s">
        <v>790</v>
      </c>
    </row>
    <row r="1062" spans="1:9" hidden="1" x14ac:dyDescent="0.2">
      <c r="A1062" t="s">
        <v>393</v>
      </c>
      <c r="B1062" t="s">
        <v>810</v>
      </c>
      <c r="F1062">
        <v>0</v>
      </c>
      <c r="H1062">
        <v>0</v>
      </c>
      <c r="I1062" t="s">
        <v>793</v>
      </c>
    </row>
    <row r="1063" spans="1:9" hidden="1" x14ac:dyDescent="0.2">
      <c r="A1063" t="s">
        <v>394</v>
      </c>
      <c r="B1063" t="s">
        <v>810</v>
      </c>
      <c r="E1063">
        <v>0</v>
      </c>
      <c r="G1063">
        <v>0</v>
      </c>
      <c r="I1063" t="s">
        <v>801</v>
      </c>
    </row>
    <row r="1064" spans="1:9" hidden="1" x14ac:dyDescent="0.2">
      <c r="A1064" t="s">
        <v>395</v>
      </c>
      <c r="B1064" t="s">
        <v>810</v>
      </c>
      <c r="F1064">
        <v>0</v>
      </c>
      <c r="G1064">
        <v>0</v>
      </c>
      <c r="H1064">
        <v>0</v>
      </c>
      <c r="I1064" t="s">
        <v>795</v>
      </c>
    </row>
    <row r="1065" spans="1:9" hidden="1" x14ac:dyDescent="0.2">
      <c r="A1065" t="s">
        <v>396</v>
      </c>
      <c r="B1065" t="s">
        <v>810</v>
      </c>
      <c r="C1065">
        <v>0</v>
      </c>
      <c r="E1065">
        <v>0</v>
      </c>
      <c r="G1065">
        <v>0</v>
      </c>
      <c r="I1065" t="s">
        <v>789</v>
      </c>
    </row>
    <row r="1066" spans="1:9" hidden="1" x14ac:dyDescent="0.2">
      <c r="A1066" t="s">
        <v>397</v>
      </c>
      <c r="B1066" t="s">
        <v>810</v>
      </c>
      <c r="E1066">
        <v>0</v>
      </c>
      <c r="F1066">
        <v>0</v>
      </c>
      <c r="I1066" t="s">
        <v>803</v>
      </c>
    </row>
    <row r="1067" spans="1:9" hidden="1" x14ac:dyDescent="0.2">
      <c r="A1067" t="s">
        <v>398</v>
      </c>
      <c r="B1067" t="s">
        <v>811</v>
      </c>
      <c r="I1067" t="s">
        <v>803</v>
      </c>
    </row>
    <row r="1068" spans="1:9" hidden="1" x14ac:dyDescent="0.2">
      <c r="A1068" t="s">
        <v>399</v>
      </c>
      <c r="B1068" t="s">
        <v>811</v>
      </c>
      <c r="G1068">
        <v>0</v>
      </c>
      <c r="H1068">
        <v>0</v>
      </c>
      <c r="I1068" t="s">
        <v>790</v>
      </c>
    </row>
    <row r="1069" spans="1:9" hidden="1" x14ac:dyDescent="0.2">
      <c r="A1069" t="s">
        <v>400</v>
      </c>
      <c r="B1069" t="s">
        <v>811</v>
      </c>
      <c r="C1069">
        <v>0</v>
      </c>
      <c r="G1069">
        <v>0</v>
      </c>
      <c r="H1069">
        <v>0</v>
      </c>
      <c r="I1069" t="s">
        <v>789</v>
      </c>
    </row>
    <row r="1070" spans="1:9" hidden="1" x14ac:dyDescent="0.2">
      <c r="A1070" t="s">
        <v>401</v>
      </c>
      <c r="B1070" t="s">
        <v>810</v>
      </c>
      <c r="E1070">
        <v>0</v>
      </c>
      <c r="I1070" t="s">
        <v>788</v>
      </c>
    </row>
    <row r="1071" spans="1:9" hidden="1" x14ac:dyDescent="0.2">
      <c r="A1071" t="s">
        <v>402</v>
      </c>
      <c r="B1071" t="s">
        <v>810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 t="s">
        <v>798</v>
      </c>
    </row>
    <row r="1072" spans="1:9" hidden="1" x14ac:dyDescent="0.2">
      <c r="A1072" t="s">
        <v>403</v>
      </c>
      <c r="B1072" t="s">
        <v>810</v>
      </c>
      <c r="D1072">
        <v>0</v>
      </c>
      <c r="G1072">
        <v>0</v>
      </c>
      <c r="I1072" t="s">
        <v>800</v>
      </c>
    </row>
    <row r="1073" spans="1:9" hidden="1" x14ac:dyDescent="0.2">
      <c r="A1073" t="s">
        <v>404</v>
      </c>
      <c r="B1073" t="s">
        <v>811</v>
      </c>
      <c r="I1073" t="s">
        <v>793</v>
      </c>
    </row>
    <row r="1074" spans="1:9" hidden="1" x14ac:dyDescent="0.2">
      <c r="A1074" t="s">
        <v>405</v>
      </c>
      <c r="B1074" t="s">
        <v>811</v>
      </c>
      <c r="I1074" t="s">
        <v>795</v>
      </c>
    </row>
    <row r="1075" spans="1:9" hidden="1" x14ac:dyDescent="0.2">
      <c r="A1075" t="s">
        <v>406</v>
      </c>
      <c r="B1075" t="s">
        <v>811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 t="s">
        <v>798</v>
      </c>
    </row>
    <row r="1076" spans="1:9" hidden="1" x14ac:dyDescent="0.2">
      <c r="A1076" t="s">
        <v>407</v>
      </c>
      <c r="B1076" t="s">
        <v>811</v>
      </c>
      <c r="D1076">
        <v>0</v>
      </c>
      <c r="E1076">
        <v>0</v>
      </c>
      <c r="H1076">
        <v>0</v>
      </c>
      <c r="I1076" t="s">
        <v>800</v>
      </c>
    </row>
    <row r="1077" spans="1:9" hidden="1" x14ac:dyDescent="0.2">
      <c r="A1077" t="s">
        <v>408</v>
      </c>
      <c r="B1077" t="s">
        <v>811</v>
      </c>
      <c r="I1077" t="s">
        <v>801</v>
      </c>
    </row>
    <row r="1078" spans="1:9" hidden="1" x14ac:dyDescent="0.2">
      <c r="A1078" t="s">
        <v>409</v>
      </c>
      <c r="B1078" t="s">
        <v>811</v>
      </c>
      <c r="D1078">
        <v>0</v>
      </c>
      <c r="I1078" t="s">
        <v>788</v>
      </c>
    </row>
    <row r="1079" spans="1:9" hidden="1" x14ac:dyDescent="0.2">
      <c r="A1079" t="s">
        <v>410</v>
      </c>
      <c r="B1079" t="s">
        <v>816</v>
      </c>
      <c r="I1079" t="s">
        <v>789</v>
      </c>
    </row>
    <row r="1080" spans="1:9" hidden="1" x14ac:dyDescent="0.2">
      <c r="A1080" t="s">
        <v>411</v>
      </c>
      <c r="B1080" t="s">
        <v>816</v>
      </c>
      <c r="I1080" t="s">
        <v>801</v>
      </c>
    </row>
    <row r="1081" spans="1:9" hidden="1" x14ac:dyDescent="0.2">
      <c r="A1081" t="s">
        <v>412</v>
      </c>
      <c r="B1081" t="s">
        <v>816</v>
      </c>
      <c r="I1081" t="s">
        <v>798</v>
      </c>
    </row>
    <row r="1082" spans="1:9" hidden="1" x14ac:dyDescent="0.2">
      <c r="A1082" t="s">
        <v>413</v>
      </c>
      <c r="B1082" t="s">
        <v>816</v>
      </c>
      <c r="I1082" t="s">
        <v>800</v>
      </c>
    </row>
    <row r="1083" spans="1:9" hidden="1" x14ac:dyDescent="0.2">
      <c r="A1083" t="s">
        <v>414</v>
      </c>
      <c r="B1083" t="s">
        <v>816</v>
      </c>
      <c r="I1083" t="s">
        <v>788</v>
      </c>
    </row>
    <row r="1084" spans="1:9" hidden="1" x14ac:dyDescent="0.2">
      <c r="A1084" t="s">
        <v>415</v>
      </c>
      <c r="B1084" t="s">
        <v>816</v>
      </c>
      <c r="I1084" t="s">
        <v>803</v>
      </c>
    </row>
    <row r="1085" spans="1:9" hidden="1" x14ac:dyDescent="0.2">
      <c r="A1085" t="s">
        <v>416</v>
      </c>
      <c r="B1085" t="s">
        <v>816</v>
      </c>
      <c r="I1085" t="s">
        <v>795</v>
      </c>
    </row>
    <row r="1086" spans="1:9" hidden="1" x14ac:dyDescent="0.2">
      <c r="A1086" t="s">
        <v>417</v>
      </c>
      <c r="B1086" t="s">
        <v>816</v>
      </c>
      <c r="I1086" t="s">
        <v>793</v>
      </c>
    </row>
    <row r="1087" spans="1:9" hidden="1" x14ac:dyDescent="0.2">
      <c r="A1087" t="s">
        <v>418</v>
      </c>
      <c r="B1087" t="s">
        <v>816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 t="s">
        <v>797</v>
      </c>
    </row>
    <row r="1088" spans="1:9" hidden="1" x14ac:dyDescent="0.2">
      <c r="A1088" t="s">
        <v>418</v>
      </c>
      <c r="B1088" t="s">
        <v>836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 t="s">
        <v>797</v>
      </c>
    </row>
    <row r="1089" spans="1:9" hidden="1" x14ac:dyDescent="0.2">
      <c r="A1089" t="s">
        <v>419</v>
      </c>
      <c r="B1089" t="s">
        <v>875</v>
      </c>
      <c r="C1089">
        <v>16.88395902501501</v>
      </c>
      <c r="D1089">
        <v>0</v>
      </c>
      <c r="E1089">
        <v>0</v>
      </c>
      <c r="F1089">
        <v>0</v>
      </c>
      <c r="G1089">
        <v>0</v>
      </c>
      <c r="H1089">
        <v>0</v>
      </c>
      <c r="I1089" t="s">
        <v>807</v>
      </c>
    </row>
    <row r="1090" spans="1:9" hidden="1" x14ac:dyDescent="0.2">
      <c r="A1090" t="s">
        <v>419</v>
      </c>
      <c r="B1090" t="s">
        <v>848</v>
      </c>
      <c r="C1090">
        <v>1437.1223910069671</v>
      </c>
      <c r="D1090">
        <v>0</v>
      </c>
      <c r="E1090">
        <v>0</v>
      </c>
      <c r="F1090">
        <v>0</v>
      </c>
      <c r="G1090">
        <v>0</v>
      </c>
      <c r="H1090">
        <v>0</v>
      </c>
      <c r="I1090" t="s">
        <v>807</v>
      </c>
    </row>
    <row r="1091" spans="1:9" hidden="1" x14ac:dyDescent="0.2">
      <c r="A1091" t="s">
        <v>419</v>
      </c>
      <c r="B1091" t="s">
        <v>876</v>
      </c>
      <c r="C1091">
        <v>0.99324938586667366</v>
      </c>
      <c r="D1091">
        <v>0</v>
      </c>
      <c r="E1091">
        <v>0</v>
      </c>
      <c r="F1091">
        <v>0</v>
      </c>
      <c r="G1091">
        <v>0</v>
      </c>
      <c r="H1091">
        <v>0</v>
      </c>
      <c r="I1091" t="s">
        <v>807</v>
      </c>
    </row>
    <row r="1092" spans="1:9" hidden="1" x14ac:dyDescent="0.2">
      <c r="A1092" t="s">
        <v>420</v>
      </c>
      <c r="B1092" t="s">
        <v>878</v>
      </c>
      <c r="C1092">
        <v>5.6817509238292523</v>
      </c>
      <c r="D1092">
        <v>0</v>
      </c>
      <c r="E1092">
        <v>0</v>
      </c>
      <c r="F1092">
        <v>0</v>
      </c>
      <c r="G1092">
        <v>0</v>
      </c>
      <c r="H1092">
        <v>0</v>
      </c>
      <c r="I1092" t="s">
        <v>807</v>
      </c>
    </row>
    <row r="1093" spans="1:9" hidden="1" x14ac:dyDescent="0.2">
      <c r="A1093" t="s">
        <v>420</v>
      </c>
      <c r="B1093" t="s">
        <v>841</v>
      </c>
      <c r="C1093">
        <v>2211.0564378854742</v>
      </c>
      <c r="D1093">
        <v>0</v>
      </c>
      <c r="E1093">
        <v>0</v>
      </c>
      <c r="F1093">
        <v>0</v>
      </c>
      <c r="G1093">
        <v>0</v>
      </c>
      <c r="H1093">
        <v>0</v>
      </c>
      <c r="I1093" t="s">
        <v>807</v>
      </c>
    </row>
    <row r="1094" spans="1:9" hidden="1" x14ac:dyDescent="0.2">
      <c r="A1094" t="s">
        <v>420</v>
      </c>
      <c r="B1094" t="s">
        <v>847</v>
      </c>
      <c r="C1094">
        <v>8855.3155379578257</v>
      </c>
      <c r="D1094">
        <v>0</v>
      </c>
      <c r="E1094">
        <v>0</v>
      </c>
      <c r="F1094">
        <v>0</v>
      </c>
      <c r="G1094">
        <v>0</v>
      </c>
      <c r="H1094">
        <v>0</v>
      </c>
      <c r="I1094" t="s">
        <v>807</v>
      </c>
    </row>
    <row r="1095" spans="1:9" hidden="1" x14ac:dyDescent="0.2">
      <c r="A1095" t="s">
        <v>420</v>
      </c>
      <c r="B1095" t="s">
        <v>842</v>
      </c>
      <c r="C1095">
        <v>5.6656304455304589</v>
      </c>
      <c r="D1095">
        <v>0</v>
      </c>
      <c r="E1095">
        <v>0</v>
      </c>
      <c r="F1095">
        <v>0</v>
      </c>
      <c r="G1095">
        <v>0</v>
      </c>
      <c r="H1095">
        <v>0</v>
      </c>
      <c r="I1095" t="s">
        <v>807</v>
      </c>
    </row>
    <row r="1096" spans="1:9" hidden="1" x14ac:dyDescent="0.2">
      <c r="A1096" t="s">
        <v>421</v>
      </c>
      <c r="B1096" t="s">
        <v>841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 t="s">
        <v>791</v>
      </c>
    </row>
    <row r="1097" spans="1:9" hidden="1" x14ac:dyDescent="0.2">
      <c r="A1097" t="s">
        <v>421</v>
      </c>
      <c r="B1097" t="s">
        <v>875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 t="s">
        <v>791</v>
      </c>
    </row>
    <row r="1098" spans="1:9" hidden="1" x14ac:dyDescent="0.2">
      <c r="A1098" t="s">
        <v>421</v>
      </c>
      <c r="B1098" t="s">
        <v>814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 t="s">
        <v>791</v>
      </c>
    </row>
    <row r="1099" spans="1:9" hidden="1" x14ac:dyDescent="0.2">
      <c r="A1099" t="s">
        <v>421</v>
      </c>
      <c r="B1099" t="s">
        <v>828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 t="s">
        <v>791</v>
      </c>
    </row>
    <row r="1100" spans="1:9" hidden="1" x14ac:dyDescent="0.2">
      <c r="A1100" t="s">
        <v>421</v>
      </c>
      <c r="B1100" t="s">
        <v>810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 t="s">
        <v>791</v>
      </c>
    </row>
    <row r="1101" spans="1:9" hidden="1" x14ac:dyDescent="0.2">
      <c r="A1101" t="s">
        <v>421</v>
      </c>
      <c r="B1101" t="s">
        <v>858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 t="s">
        <v>791</v>
      </c>
    </row>
    <row r="1102" spans="1:9" hidden="1" x14ac:dyDescent="0.2">
      <c r="A1102" t="s">
        <v>422</v>
      </c>
      <c r="B1102" t="s">
        <v>878</v>
      </c>
      <c r="C1102">
        <v>0</v>
      </c>
      <c r="I1102" t="s">
        <v>798</v>
      </c>
    </row>
    <row r="1103" spans="1:9" hidden="1" x14ac:dyDescent="0.2">
      <c r="A1103" t="s">
        <v>422</v>
      </c>
      <c r="B1103" t="s">
        <v>845</v>
      </c>
      <c r="C1103">
        <v>0</v>
      </c>
      <c r="I1103" t="s">
        <v>798</v>
      </c>
    </row>
    <row r="1104" spans="1:9" hidden="1" x14ac:dyDescent="0.2">
      <c r="A1104" t="s">
        <v>422</v>
      </c>
      <c r="B1104" t="s">
        <v>841</v>
      </c>
      <c r="C1104">
        <v>0</v>
      </c>
      <c r="I1104" t="s">
        <v>798</v>
      </c>
    </row>
    <row r="1105" spans="1:9" hidden="1" x14ac:dyDescent="0.2">
      <c r="A1105" t="s">
        <v>422</v>
      </c>
      <c r="B1105" t="s">
        <v>875</v>
      </c>
      <c r="C1105">
        <v>0</v>
      </c>
      <c r="I1105" t="s">
        <v>798</v>
      </c>
    </row>
    <row r="1106" spans="1:9" hidden="1" x14ac:dyDescent="0.2">
      <c r="A1106" t="s">
        <v>422</v>
      </c>
      <c r="B1106" t="s">
        <v>814</v>
      </c>
      <c r="C1106">
        <v>0</v>
      </c>
      <c r="I1106" t="s">
        <v>798</v>
      </c>
    </row>
    <row r="1107" spans="1:9" hidden="1" x14ac:dyDescent="0.2">
      <c r="A1107" t="s">
        <v>422</v>
      </c>
      <c r="B1107" t="s">
        <v>810</v>
      </c>
      <c r="C1107">
        <v>0</v>
      </c>
      <c r="I1107" t="s">
        <v>798</v>
      </c>
    </row>
    <row r="1108" spans="1:9" hidden="1" x14ac:dyDescent="0.2">
      <c r="A1108" t="s">
        <v>423</v>
      </c>
      <c r="B1108" t="s">
        <v>844</v>
      </c>
      <c r="C1108">
        <v>0</v>
      </c>
      <c r="D1108">
        <v>1.209287150465046E-4</v>
      </c>
      <c r="E1108">
        <v>2.138590688000395E-5</v>
      </c>
      <c r="F1108">
        <v>0</v>
      </c>
      <c r="G1108">
        <v>0</v>
      </c>
      <c r="H1108">
        <v>4.751197142592001E-5</v>
      </c>
      <c r="I1108" t="s">
        <v>791</v>
      </c>
    </row>
    <row r="1109" spans="1:9" hidden="1" x14ac:dyDescent="0.2">
      <c r="A1109" t="s">
        <v>423</v>
      </c>
      <c r="B1109" t="s">
        <v>845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 t="s">
        <v>791</v>
      </c>
    </row>
    <row r="1110" spans="1:9" hidden="1" x14ac:dyDescent="0.2">
      <c r="A1110" t="s">
        <v>423</v>
      </c>
      <c r="B1110" t="s">
        <v>841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 t="s">
        <v>791</v>
      </c>
    </row>
    <row r="1111" spans="1:9" hidden="1" x14ac:dyDescent="0.2">
      <c r="A1111" t="s">
        <v>423</v>
      </c>
      <c r="B1111" t="s">
        <v>875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 t="s">
        <v>791</v>
      </c>
    </row>
    <row r="1112" spans="1:9" hidden="1" x14ac:dyDescent="0.2">
      <c r="A1112" t="s">
        <v>423</v>
      </c>
      <c r="B1112" t="s">
        <v>810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 t="s">
        <v>791</v>
      </c>
    </row>
    <row r="1113" spans="1:9" hidden="1" x14ac:dyDescent="0.2">
      <c r="A1113" t="s">
        <v>423</v>
      </c>
      <c r="B1113" t="s">
        <v>812</v>
      </c>
      <c r="C1113">
        <v>0</v>
      </c>
      <c r="D1113">
        <v>6.5648873876434466E-6</v>
      </c>
      <c r="E1113">
        <v>1.1609820735901599E-6</v>
      </c>
      <c r="F1113">
        <v>0</v>
      </c>
      <c r="G1113">
        <v>0</v>
      </c>
      <c r="H1113">
        <v>0</v>
      </c>
      <c r="I1113" t="s">
        <v>791</v>
      </c>
    </row>
    <row r="1114" spans="1:9" hidden="1" x14ac:dyDescent="0.2">
      <c r="A1114" t="s">
        <v>424</v>
      </c>
      <c r="B1114" t="s">
        <v>841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 t="s">
        <v>791</v>
      </c>
    </row>
    <row r="1115" spans="1:9" hidden="1" x14ac:dyDescent="0.2">
      <c r="A1115" t="s">
        <v>424</v>
      </c>
      <c r="B1115" t="s">
        <v>875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 t="s">
        <v>791</v>
      </c>
    </row>
    <row r="1116" spans="1:9" hidden="1" x14ac:dyDescent="0.2">
      <c r="A1116" t="s">
        <v>424</v>
      </c>
      <c r="B1116" t="s">
        <v>879</v>
      </c>
      <c r="C1116">
        <v>7.2120891553040169E-5</v>
      </c>
      <c r="D1116">
        <v>15.865222057587051</v>
      </c>
      <c r="E1116">
        <v>0</v>
      </c>
      <c r="F1116">
        <v>47.530292636334757</v>
      </c>
      <c r="G1116">
        <v>12.20726859893445</v>
      </c>
      <c r="H1116">
        <v>24.04872640395768</v>
      </c>
      <c r="I1116" t="s">
        <v>791</v>
      </c>
    </row>
    <row r="1117" spans="1:9" hidden="1" x14ac:dyDescent="0.2">
      <c r="A1117" t="s">
        <v>424</v>
      </c>
      <c r="B1117" t="s">
        <v>828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 t="s">
        <v>791</v>
      </c>
    </row>
    <row r="1118" spans="1:9" hidden="1" x14ac:dyDescent="0.2">
      <c r="A1118" t="s">
        <v>424</v>
      </c>
      <c r="B1118" t="s">
        <v>810</v>
      </c>
      <c r="C1118">
        <v>3.2995456786890202E-7</v>
      </c>
      <c r="D1118">
        <v>7.2583718454613227E-2</v>
      </c>
      <c r="E1118">
        <v>0</v>
      </c>
      <c r="F1118">
        <v>0.2174520701070248</v>
      </c>
      <c r="G1118">
        <v>0</v>
      </c>
      <c r="H1118">
        <v>0</v>
      </c>
      <c r="I1118" t="s">
        <v>791</v>
      </c>
    </row>
    <row r="1119" spans="1:9" hidden="1" x14ac:dyDescent="0.2">
      <c r="A1119" t="s">
        <v>424</v>
      </c>
      <c r="B1119" t="s">
        <v>824</v>
      </c>
      <c r="C1119">
        <v>8.7613381584859555E-6</v>
      </c>
      <c r="D1119">
        <v>1.92732746846965</v>
      </c>
      <c r="E1119">
        <v>0</v>
      </c>
      <c r="F1119">
        <v>5.7740407460845944</v>
      </c>
      <c r="G1119">
        <v>1.482954604070809</v>
      </c>
      <c r="H1119">
        <v>2.921470044904785</v>
      </c>
      <c r="I1119" t="s">
        <v>791</v>
      </c>
    </row>
    <row r="1120" spans="1:9" hidden="1" x14ac:dyDescent="0.2">
      <c r="A1120" t="s">
        <v>424</v>
      </c>
      <c r="B1120" t="s">
        <v>812</v>
      </c>
      <c r="C1120">
        <v>1.0407168860338569E-5</v>
      </c>
      <c r="D1120">
        <v>2.2893788665039949</v>
      </c>
      <c r="E1120">
        <v>0</v>
      </c>
      <c r="F1120">
        <v>6.8587030875506736</v>
      </c>
      <c r="G1120">
        <v>1.76152988304848</v>
      </c>
      <c r="H1120">
        <v>3.470272637264987</v>
      </c>
      <c r="I1120" t="s">
        <v>791</v>
      </c>
    </row>
    <row r="1121" spans="1:9" hidden="1" x14ac:dyDescent="0.2">
      <c r="A1121" t="s">
        <v>425</v>
      </c>
      <c r="B1121" t="s">
        <v>816</v>
      </c>
      <c r="C1121">
        <v>0</v>
      </c>
      <c r="D1121">
        <v>7.3563266784898603E-5</v>
      </c>
      <c r="E1121">
        <v>0</v>
      </c>
      <c r="F1121">
        <v>0</v>
      </c>
      <c r="G1121">
        <v>0</v>
      </c>
      <c r="H1121">
        <v>2.2926261028327909E-2</v>
      </c>
      <c r="I1121" t="s">
        <v>801</v>
      </c>
    </row>
    <row r="1122" spans="1:9" hidden="1" x14ac:dyDescent="0.2">
      <c r="A1122" t="s">
        <v>425</v>
      </c>
      <c r="B1122" t="s">
        <v>821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 t="s">
        <v>801</v>
      </c>
    </row>
    <row r="1123" spans="1:9" hidden="1" x14ac:dyDescent="0.2">
      <c r="A1123" t="s">
        <v>426</v>
      </c>
      <c r="B1123" t="s">
        <v>810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 t="s">
        <v>801</v>
      </c>
    </row>
    <row r="1124" spans="1:9" hidden="1" x14ac:dyDescent="0.2">
      <c r="A1124" t="s">
        <v>426</v>
      </c>
      <c r="B1124" t="s">
        <v>821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 t="s">
        <v>801</v>
      </c>
    </row>
    <row r="1125" spans="1:9" hidden="1" x14ac:dyDescent="0.2">
      <c r="A1125" t="s">
        <v>427</v>
      </c>
      <c r="B1125" t="s">
        <v>821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 t="s">
        <v>801</v>
      </c>
    </row>
    <row r="1126" spans="1:9" hidden="1" x14ac:dyDescent="0.2">
      <c r="A1126" t="s">
        <v>427</v>
      </c>
      <c r="B1126" t="s">
        <v>812</v>
      </c>
      <c r="C1126">
        <v>0</v>
      </c>
      <c r="D1126">
        <v>1.5080909242299719E-4</v>
      </c>
      <c r="E1126">
        <v>0</v>
      </c>
      <c r="F1126">
        <v>0</v>
      </c>
      <c r="G1126">
        <v>0</v>
      </c>
      <c r="H1126">
        <v>2.6089189815603801E-5</v>
      </c>
      <c r="I1126" t="s">
        <v>801</v>
      </c>
    </row>
    <row r="1127" spans="1:9" hidden="1" x14ac:dyDescent="0.2">
      <c r="A1127" t="s">
        <v>428</v>
      </c>
      <c r="B1127" t="s">
        <v>814</v>
      </c>
      <c r="C1127">
        <v>0</v>
      </c>
      <c r="D1127">
        <v>3.5316837982637378E-2</v>
      </c>
      <c r="E1127">
        <v>0</v>
      </c>
      <c r="F1127">
        <v>0</v>
      </c>
      <c r="G1127">
        <v>0</v>
      </c>
      <c r="H1127">
        <v>0</v>
      </c>
      <c r="I1127" t="s">
        <v>801</v>
      </c>
    </row>
    <row r="1128" spans="1:9" hidden="1" x14ac:dyDescent="0.2">
      <c r="A1128" t="s">
        <v>428</v>
      </c>
      <c r="B1128" t="s">
        <v>825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 t="s">
        <v>801</v>
      </c>
    </row>
    <row r="1129" spans="1:9" hidden="1" x14ac:dyDescent="0.2">
      <c r="A1129" t="s">
        <v>429</v>
      </c>
      <c r="B1129" t="s">
        <v>814</v>
      </c>
      <c r="C1129">
        <v>0</v>
      </c>
      <c r="D1129">
        <v>0.57748534931054385</v>
      </c>
      <c r="E1129">
        <v>0</v>
      </c>
      <c r="F1129">
        <v>0</v>
      </c>
      <c r="G1129">
        <v>0</v>
      </c>
      <c r="H1129">
        <v>0</v>
      </c>
      <c r="I1129" t="s">
        <v>801</v>
      </c>
    </row>
    <row r="1130" spans="1:9" hidden="1" x14ac:dyDescent="0.2">
      <c r="A1130" t="s">
        <v>429</v>
      </c>
      <c r="B1130" t="s">
        <v>821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 t="s">
        <v>801</v>
      </c>
    </row>
    <row r="1131" spans="1:9" hidden="1" x14ac:dyDescent="0.2">
      <c r="A1131" t="s">
        <v>430</v>
      </c>
      <c r="B1131" t="s">
        <v>810</v>
      </c>
      <c r="C1131">
        <v>0</v>
      </c>
      <c r="E1131">
        <v>0</v>
      </c>
      <c r="F1131">
        <v>0</v>
      </c>
      <c r="G1131">
        <v>8.6491864316428566E-3</v>
      </c>
      <c r="H1131">
        <v>0</v>
      </c>
      <c r="I1131" t="s">
        <v>801</v>
      </c>
    </row>
    <row r="1132" spans="1:9" hidden="1" x14ac:dyDescent="0.2">
      <c r="A1132" t="s">
        <v>430</v>
      </c>
      <c r="B1132" t="s">
        <v>822</v>
      </c>
      <c r="C1132">
        <v>0</v>
      </c>
      <c r="E1132">
        <v>0</v>
      </c>
      <c r="F1132">
        <v>0</v>
      </c>
      <c r="G1132">
        <v>0</v>
      </c>
      <c r="H1132">
        <v>0</v>
      </c>
      <c r="I1132" t="s">
        <v>801</v>
      </c>
    </row>
    <row r="1133" spans="1:9" hidden="1" x14ac:dyDescent="0.2">
      <c r="A1133" t="s">
        <v>431</v>
      </c>
      <c r="B1133" t="s">
        <v>810</v>
      </c>
      <c r="I1133" t="s">
        <v>801</v>
      </c>
    </row>
    <row r="1134" spans="1:9" hidden="1" x14ac:dyDescent="0.2">
      <c r="A1134" t="s">
        <v>431</v>
      </c>
      <c r="B1134" t="s">
        <v>824</v>
      </c>
      <c r="I1134" t="s">
        <v>801</v>
      </c>
    </row>
    <row r="1135" spans="1:9" hidden="1" x14ac:dyDescent="0.2">
      <c r="A1135" t="s">
        <v>432</v>
      </c>
      <c r="B1135" t="s">
        <v>826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 t="s">
        <v>789</v>
      </c>
    </row>
    <row r="1136" spans="1:9" hidden="1" x14ac:dyDescent="0.2">
      <c r="A1136" t="s">
        <v>432</v>
      </c>
      <c r="B1136" t="s">
        <v>827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 t="s">
        <v>789</v>
      </c>
    </row>
    <row r="1137" spans="1:9" hidden="1" x14ac:dyDescent="0.2">
      <c r="A1137" t="s">
        <v>432</v>
      </c>
      <c r="B1137" t="s">
        <v>855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 t="s">
        <v>789</v>
      </c>
    </row>
    <row r="1138" spans="1:9" hidden="1" x14ac:dyDescent="0.2">
      <c r="A1138" t="s">
        <v>432</v>
      </c>
      <c r="B1138" t="s">
        <v>828</v>
      </c>
      <c r="C1138">
        <v>0</v>
      </c>
      <c r="D1138">
        <v>0</v>
      </c>
      <c r="E1138">
        <v>0</v>
      </c>
      <c r="F1138">
        <v>0</v>
      </c>
      <c r="G1138">
        <v>1.2705623645831529E-4</v>
      </c>
      <c r="H1138">
        <v>5.459793603773762</v>
      </c>
      <c r="I1138" t="s">
        <v>789</v>
      </c>
    </row>
    <row r="1139" spans="1:9" hidden="1" x14ac:dyDescent="0.2">
      <c r="A1139" t="s">
        <v>432</v>
      </c>
      <c r="B1139" t="s">
        <v>810</v>
      </c>
      <c r="C1139">
        <v>0</v>
      </c>
      <c r="D1139">
        <v>0</v>
      </c>
      <c r="E1139">
        <v>0</v>
      </c>
      <c r="F1139">
        <v>0</v>
      </c>
      <c r="G1139">
        <v>5.5435188192758618E-5</v>
      </c>
      <c r="H1139">
        <v>19.583723501852909</v>
      </c>
      <c r="I1139" t="s">
        <v>789</v>
      </c>
    </row>
    <row r="1140" spans="1:9" hidden="1" x14ac:dyDescent="0.2">
      <c r="A1140" t="s">
        <v>432</v>
      </c>
      <c r="B1140" t="s">
        <v>829</v>
      </c>
      <c r="C1140">
        <v>0</v>
      </c>
      <c r="D1140">
        <v>0</v>
      </c>
      <c r="E1140">
        <v>0</v>
      </c>
      <c r="F1140">
        <v>0</v>
      </c>
      <c r="G1140">
        <v>6.9641186378325201E-5</v>
      </c>
      <c r="H1140">
        <v>44.036118700339003</v>
      </c>
      <c r="I1140" t="s">
        <v>789</v>
      </c>
    </row>
    <row r="1141" spans="1:9" hidden="1" x14ac:dyDescent="0.2">
      <c r="A1141" t="s">
        <v>432</v>
      </c>
      <c r="B1141" t="s">
        <v>830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 t="s">
        <v>789</v>
      </c>
    </row>
    <row r="1142" spans="1:9" hidden="1" x14ac:dyDescent="0.2">
      <c r="A1142" t="s">
        <v>432</v>
      </c>
      <c r="B1142" t="s">
        <v>831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 t="s">
        <v>789</v>
      </c>
    </row>
    <row r="1143" spans="1:9" hidden="1" x14ac:dyDescent="0.2">
      <c r="A1143" t="s">
        <v>432</v>
      </c>
      <c r="B1143" t="s">
        <v>832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 t="s">
        <v>789</v>
      </c>
    </row>
    <row r="1144" spans="1:9" hidden="1" x14ac:dyDescent="0.2">
      <c r="A1144" t="s">
        <v>432</v>
      </c>
      <c r="B1144" t="s">
        <v>849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 t="s">
        <v>789</v>
      </c>
    </row>
    <row r="1145" spans="1:9" hidden="1" x14ac:dyDescent="0.2">
      <c r="A1145" t="s">
        <v>432</v>
      </c>
      <c r="B1145" t="s">
        <v>833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 t="s">
        <v>789</v>
      </c>
    </row>
    <row r="1146" spans="1:9" hidden="1" x14ac:dyDescent="0.2">
      <c r="A1146" t="s">
        <v>432</v>
      </c>
      <c r="B1146" t="s">
        <v>834</v>
      </c>
      <c r="C1146">
        <v>0</v>
      </c>
      <c r="D1146">
        <v>0</v>
      </c>
      <c r="E1146">
        <v>0</v>
      </c>
      <c r="F1146">
        <v>0</v>
      </c>
      <c r="G1146">
        <v>1.3873857817152E-4</v>
      </c>
      <c r="H1146">
        <v>69.006133125312431</v>
      </c>
      <c r="I1146" t="s">
        <v>789</v>
      </c>
    </row>
    <row r="1147" spans="1:9" hidden="1" x14ac:dyDescent="0.2">
      <c r="A1147" t="s">
        <v>432</v>
      </c>
      <c r="B1147" t="s">
        <v>856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 t="s">
        <v>789</v>
      </c>
    </row>
    <row r="1148" spans="1:9" hidden="1" x14ac:dyDescent="0.2">
      <c r="A1148" t="s">
        <v>432</v>
      </c>
      <c r="B1148" t="s">
        <v>812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 t="s">
        <v>789</v>
      </c>
    </row>
    <row r="1149" spans="1:9" hidden="1" x14ac:dyDescent="0.2">
      <c r="A1149" t="s">
        <v>433</v>
      </c>
      <c r="B1149" t="s">
        <v>855</v>
      </c>
      <c r="C1149">
        <v>0</v>
      </c>
      <c r="D1149">
        <v>0.45491421704975021</v>
      </c>
      <c r="E1149">
        <v>0</v>
      </c>
      <c r="F1149">
        <v>0</v>
      </c>
      <c r="G1149">
        <v>0</v>
      </c>
      <c r="H1149">
        <v>0</v>
      </c>
      <c r="I1149" t="s">
        <v>789</v>
      </c>
    </row>
    <row r="1150" spans="1:9" hidden="1" x14ac:dyDescent="0.2">
      <c r="A1150" t="s">
        <v>433</v>
      </c>
      <c r="B1150" t="s">
        <v>810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 t="s">
        <v>789</v>
      </c>
    </row>
    <row r="1151" spans="1:9" hidden="1" x14ac:dyDescent="0.2">
      <c r="A1151" t="s">
        <v>433</v>
      </c>
      <c r="B1151" t="s">
        <v>822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 t="s">
        <v>789</v>
      </c>
    </row>
    <row r="1152" spans="1:9" hidden="1" x14ac:dyDescent="0.2">
      <c r="A1152" t="s">
        <v>433</v>
      </c>
      <c r="B1152" t="s">
        <v>849</v>
      </c>
      <c r="C1152">
        <v>0</v>
      </c>
      <c r="D1152">
        <v>1.045320980811743</v>
      </c>
      <c r="E1152">
        <v>0</v>
      </c>
      <c r="F1152">
        <v>0</v>
      </c>
      <c r="G1152">
        <v>0</v>
      </c>
      <c r="H1152">
        <v>0</v>
      </c>
      <c r="I1152" t="s">
        <v>789</v>
      </c>
    </row>
    <row r="1153" spans="1:9" hidden="1" x14ac:dyDescent="0.2">
      <c r="A1153" t="s">
        <v>433</v>
      </c>
      <c r="B1153" t="s">
        <v>856</v>
      </c>
      <c r="C1153">
        <v>0</v>
      </c>
      <c r="D1153">
        <v>0.42123959779354009</v>
      </c>
      <c r="E1153">
        <v>0</v>
      </c>
      <c r="F1153">
        <v>0</v>
      </c>
      <c r="G1153">
        <v>0</v>
      </c>
      <c r="H1153">
        <v>0</v>
      </c>
      <c r="I1153" t="s">
        <v>789</v>
      </c>
    </row>
    <row r="1154" spans="1:9" hidden="1" x14ac:dyDescent="0.2">
      <c r="A1154" t="s">
        <v>434</v>
      </c>
      <c r="B1154" t="s">
        <v>855</v>
      </c>
      <c r="I1154" t="s">
        <v>789</v>
      </c>
    </row>
    <row r="1155" spans="1:9" hidden="1" x14ac:dyDescent="0.2">
      <c r="A1155" t="s">
        <v>434</v>
      </c>
      <c r="B1155" t="s">
        <v>815</v>
      </c>
      <c r="I1155" t="s">
        <v>789</v>
      </c>
    </row>
    <row r="1156" spans="1:9" hidden="1" x14ac:dyDescent="0.2">
      <c r="A1156" t="s">
        <v>434</v>
      </c>
      <c r="B1156" t="s">
        <v>810</v>
      </c>
      <c r="I1156" t="s">
        <v>789</v>
      </c>
    </row>
    <row r="1157" spans="1:9" hidden="1" x14ac:dyDescent="0.2">
      <c r="A1157" t="s">
        <v>434</v>
      </c>
      <c r="B1157" t="s">
        <v>822</v>
      </c>
      <c r="I1157" t="s">
        <v>789</v>
      </c>
    </row>
    <row r="1158" spans="1:9" hidden="1" x14ac:dyDescent="0.2">
      <c r="A1158" t="s">
        <v>434</v>
      </c>
      <c r="B1158" t="s">
        <v>849</v>
      </c>
      <c r="I1158" t="s">
        <v>789</v>
      </c>
    </row>
    <row r="1159" spans="1:9" hidden="1" x14ac:dyDescent="0.2">
      <c r="A1159" t="s">
        <v>434</v>
      </c>
      <c r="B1159" t="s">
        <v>856</v>
      </c>
      <c r="I1159" t="s">
        <v>789</v>
      </c>
    </row>
    <row r="1160" spans="1:9" hidden="1" x14ac:dyDescent="0.2">
      <c r="A1160" t="s">
        <v>435</v>
      </c>
      <c r="B1160" t="s">
        <v>816</v>
      </c>
      <c r="D1160">
        <v>6.4459145949563362E-5</v>
      </c>
      <c r="I1160" t="s">
        <v>789</v>
      </c>
    </row>
    <row r="1161" spans="1:9" hidden="1" x14ac:dyDescent="0.2">
      <c r="A1161" t="s">
        <v>435</v>
      </c>
      <c r="B1161" t="s">
        <v>821</v>
      </c>
      <c r="D1161">
        <v>0</v>
      </c>
      <c r="I1161" t="s">
        <v>789</v>
      </c>
    </row>
    <row r="1162" spans="1:9" hidden="1" x14ac:dyDescent="0.2">
      <c r="A1162" t="s">
        <v>436</v>
      </c>
      <c r="B1162" t="s">
        <v>816</v>
      </c>
      <c r="C1162">
        <v>0</v>
      </c>
      <c r="D1162">
        <v>4.8366938888317508E-2</v>
      </c>
      <c r="E1162">
        <v>0</v>
      </c>
      <c r="F1162">
        <v>0</v>
      </c>
      <c r="G1162">
        <v>0</v>
      </c>
      <c r="H1162">
        <v>0</v>
      </c>
      <c r="I1162" t="s">
        <v>789</v>
      </c>
    </row>
    <row r="1163" spans="1:9" hidden="1" x14ac:dyDescent="0.2">
      <c r="A1163" t="s">
        <v>436</v>
      </c>
      <c r="B1163" t="s">
        <v>825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 t="s">
        <v>789</v>
      </c>
    </row>
    <row r="1164" spans="1:9" hidden="1" x14ac:dyDescent="0.2">
      <c r="A1164" t="s">
        <v>437</v>
      </c>
      <c r="B1164" t="s">
        <v>822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 t="s">
        <v>789</v>
      </c>
    </row>
    <row r="1165" spans="1:9" hidden="1" x14ac:dyDescent="0.2">
      <c r="A1165" t="s">
        <v>437</v>
      </c>
      <c r="B1165" t="s">
        <v>812</v>
      </c>
      <c r="C1165">
        <v>0</v>
      </c>
      <c r="D1165">
        <v>4.4983911277571937E-4</v>
      </c>
      <c r="E1165">
        <v>0</v>
      </c>
      <c r="F1165">
        <v>0</v>
      </c>
      <c r="G1165">
        <v>0</v>
      </c>
      <c r="H1165">
        <v>0</v>
      </c>
      <c r="I1165" t="s">
        <v>789</v>
      </c>
    </row>
    <row r="1166" spans="1:9" hidden="1" x14ac:dyDescent="0.2">
      <c r="A1166" t="s">
        <v>438</v>
      </c>
      <c r="B1166" t="s">
        <v>814</v>
      </c>
      <c r="D1166">
        <v>7.9525836274191519E-2</v>
      </c>
      <c r="I1166" t="s">
        <v>789</v>
      </c>
    </row>
    <row r="1167" spans="1:9" hidden="1" x14ac:dyDescent="0.2">
      <c r="A1167" t="s">
        <v>438</v>
      </c>
      <c r="B1167" t="s">
        <v>821</v>
      </c>
      <c r="D1167">
        <v>0</v>
      </c>
      <c r="I1167" t="s">
        <v>789</v>
      </c>
    </row>
    <row r="1168" spans="1:9" hidden="1" x14ac:dyDescent="0.2">
      <c r="A1168" t="s">
        <v>439</v>
      </c>
      <c r="B1168" t="s">
        <v>814</v>
      </c>
      <c r="D1168">
        <v>7.9525836274187731E-2</v>
      </c>
      <c r="I1168" t="s">
        <v>789</v>
      </c>
    </row>
    <row r="1169" spans="1:9" hidden="1" x14ac:dyDescent="0.2">
      <c r="A1169" t="s">
        <v>439</v>
      </c>
      <c r="B1169" t="s">
        <v>821</v>
      </c>
      <c r="D1169">
        <v>0</v>
      </c>
      <c r="I1169" t="s">
        <v>789</v>
      </c>
    </row>
    <row r="1170" spans="1:9" hidden="1" x14ac:dyDescent="0.2">
      <c r="A1170" t="s">
        <v>440</v>
      </c>
      <c r="B1170" t="s">
        <v>855</v>
      </c>
      <c r="C1170">
        <v>0</v>
      </c>
      <c r="D1170">
        <v>1.8569923230254981E-4</v>
      </c>
      <c r="E1170">
        <v>5.2548206027411854E-3</v>
      </c>
      <c r="F1170">
        <v>6.1918413527442678E-3</v>
      </c>
      <c r="G1170">
        <v>0</v>
      </c>
      <c r="H1170">
        <v>0</v>
      </c>
      <c r="I1170" t="s">
        <v>789</v>
      </c>
    </row>
    <row r="1171" spans="1:9" hidden="1" x14ac:dyDescent="0.2">
      <c r="A1171" t="s">
        <v>440</v>
      </c>
      <c r="B1171" t="s">
        <v>822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 t="s">
        <v>789</v>
      </c>
    </row>
    <row r="1172" spans="1:9" hidden="1" x14ac:dyDescent="0.2">
      <c r="A1172" t="s">
        <v>440</v>
      </c>
      <c r="B1172" t="s">
        <v>849</v>
      </c>
      <c r="C1172">
        <v>0</v>
      </c>
      <c r="D1172">
        <v>5.0814920759418983E-4</v>
      </c>
      <c r="E1172">
        <v>0.12913018541085211</v>
      </c>
      <c r="F1172">
        <v>2.0269365876103649E-2</v>
      </c>
      <c r="G1172">
        <v>0</v>
      </c>
      <c r="H1172">
        <v>0</v>
      </c>
      <c r="I1172" t="s">
        <v>789</v>
      </c>
    </row>
    <row r="1173" spans="1:9" hidden="1" x14ac:dyDescent="0.2">
      <c r="A1173" t="s">
        <v>440</v>
      </c>
      <c r="B1173" t="s">
        <v>856</v>
      </c>
      <c r="C1173">
        <v>0</v>
      </c>
      <c r="D1173">
        <v>1.5010068774553841E-4</v>
      </c>
      <c r="E1173">
        <v>5.259121428341266E-4</v>
      </c>
      <c r="F1173">
        <v>3.0506847619134561E-3</v>
      </c>
      <c r="G1173">
        <v>0</v>
      </c>
      <c r="H1173">
        <v>0</v>
      </c>
      <c r="I1173" t="s">
        <v>789</v>
      </c>
    </row>
    <row r="1174" spans="1:9" hidden="1" x14ac:dyDescent="0.2">
      <c r="A1174" t="s">
        <v>441</v>
      </c>
      <c r="B1174" t="s">
        <v>855</v>
      </c>
      <c r="C1174">
        <v>0</v>
      </c>
      <c r="D1174">
        <v>1.8363153926812331E-3</v>
      </c>
      <c r="E1174">
        <v>0</v>
      </c>
      <c r="F1174">
        <v>0</v>
      </c>
      <c r="G1174">
        <v>0</v>
      </c>
      <c r="H1174">
        <v>0</v>
      </c>
      <c r="I1174" t="s">
        <v>789</v>
      </c>
    </row>
    <row r="1175" spans="1:9" hidden="1" x14ac:dyDescent="0.2">
      <c r="A1175" t="s">
        <v>441</v>
      </c>
      <c r="B1175" t="s">
        <v>824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 t="s">
        <v>789</v>
      </c>
    </row>
    <row r="1176" spans="1:9" hidden="1" x14ac:dyDescent="0.2">
      <c r="A1176" t="s">
        <v>441</v>
      </c>
      <c r="B1176" t="s">
        <v>849</v>
      </c>
      <c r="C1176">
        <v>0</v>
      </c>
      <c r="D1176">
        <v>2.7345831594258661</v>
      </c>
      <c r="E1176">
        <v>0</v>
      </c>
      <c r="F1176">
        <v>0</v>
      </c>
      <c r="G1176">
        <v>0</v>
      </c>
      <c r="H1176">
        <v>0</v>
      </c>
      <c r="I1176" t="s">
        <v>789</v>
      </c>
    </row>
    <row r="1177" spans="1:9" hidden="1" x14ac:dyDescent="0.2">
      <c r="A1177" t="s">
        <v>441</v>
      </c>
      <c r="B1177" t="s">
        <v>856</v>
      </c>
      <c r="C1177">
        <v>0</v>
      </c>
      <c r="D1177">
        <v>1.1356223963153421E-3</v>
      </c>
      <c r="E1177">
        <v>0</v>
      </c>
      <c r="F1177">
        <v>0</v>
      </c>
      <c r="G1177">
        <v>0</v>
      </c>
      <c r="H1177">
        <v>0</v>
      </c>
      <c r="I1177" t="s">
        <v>789</v>
      </c>
    </row>
    <row r="1178" spans="1:9" hidden="1" x14ac:dyDescent="0.2">
      <c r="A1178" t="s">
        <v>442</v>
      </c>
      <c r="B1178" t="s">
        <v>855</v>
      </c>
      <c r="I1178" t="s">
        <v>789</v>
      </c>
    </row>
    <row r="1179" spans="1:9" hidden="1" x14ac:dyDescent="0.2">
      <c r="A1179" t="s">
        <v>442</v>
      </c>
      <c r="B1179" t="s">
        <v>815</v>
      </c>
      <c r="I1179" t="s">
        <v>789</v>
      </c>
    </row>
    <row r="1180" spans="1:9" hidden="1" x14ac:dyDescent="0.2">
      <c r="A1180" t="s">
        <v>442</v>
      </c>
      <c r="B1180" t="s">
        <v>810</v>
      </c>
      <c r="I1180" t="s">
        <v>789</v>
      </c>
    </row>
    <row r="1181" spans="1:9" hidden="1" x14ac:dyDescent="0.2">
      <c r="A1181" t="s">
        <v>442</v>
      </c>
      <c r="B1181" t="s">
        <v>822</v>
      </c>
      <c r="I1181" t="s">
        <v>789</v>
      </c>
    </row>
    <row r="1182" spans="1:9" hidden="1" x14ac:dyDescent="0.2">
      <c r="A1182" t="s">
        <v>442</v>
      </c>
      <c r="B1182" t="s">
        <v>849</v>
      </c>
      <c r="I1182" t="s">
        <v>789</v>
      </c>
    </row>
    <row r="1183" spans="1:9" hidden="1" x14ac:dyDescent="0.2">
      <c r="A1183" t="s">
        <v>442</v>
      </c>
      <c r="B1183" t="s">
        <v>856</v>
      </c>
      <c r="I1183" t="s">
        <v>789</v>
      </c>
    </row>
    <row r="1184" spans="1:9" hidden="1" x14ac:dyDescent="0.2">
      <c r="A1184" t="s">
        <v>443</v>
      </c>
      <c r="B1184" t="s">
        <v>855</v>
      </c>
      <c r="I1184" t="s">
        <v>789</v>
      </c>
    </row>
    <row r="1185" spans="1:9" hidden="1" x14ac:dyDescent="0.2">
      <c r="A1185" t="s">
        <v>443</v>
      </c>
      <c r="B1185" t="s">
        <v>815</v>
      </c>
      <c r="I1185" t="s">
        <v>789</v>
      </c>
    </row>
    <row r="1186" spans="1:9" hidden="1" x14ac:dyDescent="0.2">
      <c r="A1186" t="s">
        <v>443</v>
      </c>
      <c r="B1186" t="s">
        <v>810</v>
      </c>
      <c r="I1186" t="s">
        <v>789</v>
      </c>
    </row>
    <row r="1187" spans="1:9" hidden="1" x14ac:dyDescent="0.2">
      <c r="A1187" t="s">
        <v>443</v>
      </c>
      <c r="B1187" t="s">
        <v>824</v>
      </c>
      <c r="I1187" t="s">
        <v>789</v>
      </c>
    </row>
    <row r="1188" spans="1:9" hidden="1" x14ac:dyDescent="0.2">
      <c r="A1188" t="s">
        <v>443</v>
      </c>
      <c r="B1188" t="s">
        <v>849</v>
      </c>
      <c r="I1188" t="s">
        <v>789</v>
      </c>
    </row>
    <row r="1189" spans="1:9" hidden="1" x14ac:dyDescent="0.2">
      <c r="A1189" t="s">
        <v>443</v>
      </c>
      <c r="B1189" t="s">
        <v>856</v>
      </c>
      <c r="I1189" t="s">
        <v>789</v>
      </c>
    </row>
    <row r="1190" spans="1:9" hidden="1" x14ac:dyDescent="0.2">
      <c r="A1190" t="s">
        <v>444</v>
      </c>
      <c r="B1190" t="s">
        <v>810</v>
      </c>
      <c r="C1190">
        <v>0</v>
      </c>
      <c r="D1190">
        <v>9.7447591709656306E-5</v>
      </c>
      <c r="E1190">
        <v>2.2884236585280899E-2</v>
      </c>
      <c r="F1190">
        <v>0</v>
      </c>
      <c r="G1190">
        <v>0</v>
      </c>
      <c r="H1190">
        <v>0</v>
      </c>
      <c r="I1190" t="s">
        <v>789</v>
      </c>
    </row>
    <row r="1191" spans="1:9" hidden="1" x14ac:dyDescent="0.2">
      <c r="A1191" t="s">
        <v>444</v>
      </c>
      <c r="B1191" t="s">
        <v>822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 t="s">
        <v>789</v>
      </c>
    </row>
    <row r="1192" spans="1:9" hidden="1" x14ac:dyDescent="0.2">
      <c r="A1192" t="s">
        <v>445</v>
      </c>
      <c r="B1192" t="s">
        <v>810</v>
      </c>
      <c r="C1192">
        <v>0</v>
      </c>
      <c r="D1192">
        <v>1.015836387446042E-4</v>
      </c>
      <c r="E1192">
        <v>0</v>
      </c>
      <c r="F1192">
        <v>0</v>
      </c>
      <c r="G1192">
        <v>0</v>
      </c>
      <c r="H1192">
        <v>0</v>
      </c>
      <c r="I1192" t="s">
        <v>789</v>
      </c>
    </row>
    <row r="1193" spans="1:9" hidden="1" x14ac:dyDescent="0.2">
      <c r="A1193" t="s">
        <v>445</v>
      </c>
      <c r="B1193" t="s">
        <v>824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 t="s">
        <v>789</v>
      </c>
    </row>
    <row r="1194" spans="1:9" hidden="1" x14ac:dyDescent="0.2">
      <c r="A1194" t="s">
        <v>446</v>
      </c>
      <c r="B1194" t="s">
        <v>810</v>
      </c>
      <c r="C1194">
        <v>7.8357967009182332E-5</v>
      </c>
      <c r="D1194">
        <v>0</v>
      </c>
      <c r="E1194">
        <v>0</v>
      </c>
      <c r="F1194">
        <v>0</v>
      </c>
      <c r="G1194">
        <v>0</v>
      </c>
      <c r="H1194">
        <v>0</v>
      </c>
      <c r="I1194" t="s">
        <v>789</v>
      </c>
    </row>
    <row r="1195" spans="1:9" hidden="1" x14ac:dyDescent="0.2">
      <c r="A1195" t="s">
        <v>446</v>
      </c>
      <c r="B1195" t="s">
        <v>819</v>
      </c>
      <c r="C1195">
        <v>1.95899989561315E-4</v>
      </c>
      <c r="D1195">
        <v>0</v>
      </c>
      <c r="E1195">
        <v>0</v>
      </c>
      <c r="F1195">
        <v>0</v>
      </c>
      <c r="G1195">
        <v>0</v>
      </c>
      <c r="H1195">
        <v>0</v>
      </c>
      <c r="I1195" t="s">
        <v>789</v>
      </c>
    </row>
    <row r="1196" spans="1:9" hidden="1" x14ac:dyDescent="0.2">
      <c r="A1196" t="s">
        <v>446</v>
      </c>
      <c r="B1196" t="s">
        <v>811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 t="s">
        <v>789</v>
      </c>
    </row>
    <row r="1197" spans="1:9" hidden="1" x14ac:dyDescent="0.2">
      <c r="A1197" t="s">
        <v>447</v>
      </c>
      <c r="B1197" t="s">
        <v>810</v>
      </c>
      <c r="C1197">
        <v>7.4158049778570961E-4</v>
      </c>
      <c r="D1197">
        <v>0</v>
      </c>
      <c r="E1197">
        <v>0</v>
      </c>
      <c r="F1197">
        <v>0</v>
      </c>
      <c r="G1197">
        <v>0</v>
      </c>
      <c r="H1197">
        <v>0</v>
      </c>
      <c r="I1197" t="s">
        <v>789</v>
      </c>
    </row>
    <row r="1198" spans="1:9" hidden="1" x14ac:dyDescent="0.2">
      <c r="A1198" t="s">
        <v>447</v>
      </c>
      <c r="B1198" t="s">
        <v>824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 t="s">
        <v>789</v>
      </c>
    </row>
    <row r="1199" spans="1:9" hidden="1" x14ac:dyDescent="0.2">
      <c r="A1199" t="s">
        <v>447</v>
      </c>
      <c r="B1199" t="s">
        <v>811</v>
      </c>
      <c r="C1199">
        <v>1.482374665572493E-3</v>
      </c>
      <c r="D1199">
        <v>0</v>
      </c>
      <c r="E1199">
        <v>0</v>
      </c>
      <c r="F1199">
        <v>0</v>
      </c>
      <c r="G1199">
        <v>0</v>
      </c>
      <c r="H1199">
        <v>0</v>
      </c>
      <c r="I1199" t="s">
        <v>789</v>
      </c>
    </row>
    <row r="1200" spans="1:9" hidden="1" x14ac:dyDescent="0.2">
      <c r="A1200" t="s">
        <v>448</v>
      </c>
      <c r="B1200" t="s">
        <v>816</v>
      </c>
      <c r="C1200">
        <v>0</v>
      </c>
      <c r="I1200" t="s">
        <v>800</v>
      </c>
    </row>
    <row r="1201" spans="1:9" hidden="1" x14ac:dyDescent="0.2">
      <c r="A1201" t="s">
        <v>448</v>
      </c>
      <c r="B1201" t="s">
        <v>810</v>
      </c>
      <c r="C1201">
        <v>0</v>
      </c>
      <c r="I1201" t="s">
        <v>800</v>
      </c>
    </row>
    <row r="1202" spans="1:9" hidden="1" x14ac:dyDescent="0.2">
      <c r="A1202" t="s">
        <v>448</v>
      </c>
      <c r="B1202" t="s">
        <v>822</v>
      </c>
      <c r="C1202">
        <v>0</v>
      </c>
      <c r="I1202" t="s">
        <v>800</v>
      </c>
    </row>
    <row r="1203" spans="1:9" hidden="1" x14ac:dyDescent="0.2">
      <c r="A1203" t="s">
        <v>449</v>
      </c>
      <c r="B1203" t="s">
        <v>816</v>
      </c>
      <c r="C1203">
        <v>0</v>
      </c>
      <c r="I1203" t="s">
        <v>800</v>
      </c>
    </row>
    <row r="1204" spans="1:9" hidden="1" x14ac:dyDescent="0.2">
      <c r="A1204" t="s">
        <v>449</v>
      </c>
      <c r="B1204" t="s">
        <v>815</v>
      </c>
      <c r="C1204">
        <v>0</v>
      </c>
      <c r="I1204" t="s">
        <v>800</v>
      </c>
    </row>
    <row r="1205" spans="1:9" hidden="1" x14ac:dyDescent="0.2">
      <c r="A1205" t="s">
        <v>449</v>
      </c>
      <c r="B1205" t="s">
        <v>810</v>
      </c>
      <c r="C1205">
        <v>0</v>
      </c>
      <c r="I1205" t="s">
        <v>800</v>
      </c>
    </row>
    <row r="1206" spans="1:9" hidden="1" x14ac:dyDescent="0.2">
      <c r="A1206" t="s">
        <v>449</v>
      </c>
      <c r="B1206" t="s">
        <v>822</v>
      </c>
      <c r="C1206">
        <v>0</v>
      </c>
      <c r="I1206" t="s">
        <v>800</v>
      </c>
    </row>
    <row r="1207" spans="1:9" hidden="1" x14ac:dyDescent="0.2">
      <c r="A1207" t="s">
        <v>450</v>
      </c>
      <c r="B1207" t="s">
        <v>814</v>
      </c>
      <c r="C1207">
        <v>0</v>
      </c>
      <c r="I1207" t="s">
        <v>800</v>
      </c>
    </row>
    <row r="1208" spans="1:9" hidden="1" x14ac:dyDescent="0.2">
      <c r="A1208" t="s">
        <v>450</v>
      </c>
      <c r="B1208" t="s">
        <v>810</v>
      </c>
      <c r="C1208">
        <v>0</v>
      </c>
      <c r="I1208" t="s">
        <v>800</v>
      </c>
    </row>
    <row r="1209" spans="1:9" hidden="1" x14ac:dyDescent="0.2">
      <c r="A1209" t="s">
        <v>450</v>
      </c>
      <c r="B1209" t="s">
        <v>822</v>
      </c>
      <c r="C1209">
        <v>0</v>
      </c>
      <c r="I1209" t="s">
        <v>800</v>
      </c>
    </row>
    <row r="1210" spans="1:9" hidden="1" x14ac:dyDescent="0.2">
      <c r="A1210" t="s">
        <v>451</v>
      </c>
      <c r="B1210" t="s">
        <v>814</v>
      </c>
      <c r="C1210">
        <v>0</v>
      </c>
      <c r="I1210" t="s">
        <v>800</v>
      </c>
    </row>
    <row r="1211" spans="1:9" hidden="1" x14ac:dyDescent="0.2">
      <c r="A1211" t="s">
        <v>451</v>
      </c>
      <c r="B1211" t="s">
        <v>815</v>
      </c>
      <c r="C1211">
        <v>0</v>
      </c>
      <c r="I1211" t="s">
        <v>800</v>
      </c>
    </row>
    <row r="1212" spans="1:9" hidden="1" x14ac:dyDescent="0.2">
      <c r="A1212" t="s">
        <v>451</v>
      </c>
      <c r="B1212" t="s">
        <v>810</v>
      </c>
      <c r="C1212">
        <v>0</v>
      </c>
      <c r="I1212" t="s">
        <v>800</v>
      </c>
    </row>
    <row r="1213" spans="1:9" hidden="1" x14ac:dyDescent="0.2">
      <c r="A1213" t="s">
        <v>451</v>
      </c>
      <c r="B1213" t="s">
        <v>822</v>
      </c>
      <c r="C1213">
        <v>0</v>
      </c>
      <c r="I1213" t="s">
        <v>800</v>
      </c>
    </row>
    <row r="1214" spans="1:9" hidden="1" x14ac:dyDescent="0.2">
      <c r="A1214" t="s">
        <v>452</v>
      </c>
      <c r="B1214" t="s">
        <v>816</v>
      </c>
      <c r="C1214">
        <v>2.0261271724903891E-4</v>
      </c>
      <c r="D1214">
        <v>2.2944535913160471E-4</v>
      </c>
      <c r="E1214">
        <v>0</v>
      </c>
      <c r="F1214">
        <v>0</v>
      </c>
      <c r="G1214">
        <v>0</v>
      </c>
      <c r="H1214">
        <v>0</v>
      </c>
      <c r="I1214" t="s">
        <v>800</v>
      </c>
    </row>
    <row r="1215" spans="1:9" hidden="1" x14ac:dyDescent="0.2">
      <c r="A1215" t="s">
        <v>452</v>
      </c>
      <c r="B1215" t="s">
        <v>822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 t="s">
        <v>800</v>
      </c>
    </row>
    <row r="1216" spans="1:9" hidden="1" x14ac:dyDescent="0.2">
      <c r="A1216" t="s">
        <v>453</v>
      </c>
      <c r="B1216" t="s">
        <v>816</v>
      </c>
      <c r="C1216">
        <v>2.5602431217972103E-4</v>
      </c>
      <c r="D1216">
        <v>0.54647713588709035</v>
      </c>
      <c r="E1216">
        <v>0.44213367345842219</v>
      </c>
      <c r="F1216">
        <v>0</v>
      </c>
      <c r="G1216">
        <v>0</v>
      </c>
      <c r="H1216">
        <v>0</v>
      </c>
      <c r="I1216" t="s">
        <v>800</v>
      </c>
    </row>
    <row r="1217" spans="1:9" hidden="1" x14ac:dyDescent="0.2">
      <c r="A1217" t="s">
        <v>453</v>
      </c>
      <c r="B1217" t="s">
        <v>824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 t="s">
        <v>800</v>
      </c>
    </row>
    <row r="1218" spans="1:9" hidden="1" x14ac:dyDescent="0.2">
      <c r="A1218" t="s">
        <v>454</v>
      </c>
      <c r="B1218" t="s">
        <v>816</v>
      </c>
      <c r="C1218">
        <v>0</v>
      </c>
      <c r="D1218">
        <v>3.8533904409091521E-5</v>
      </c>
      <c r="E1218">
        <v>1.1591818553886479E-3</v>
      </c>
      <c r="F1218">
        <v>0</v>
      </c>
      <c r="G1218">
        <v>0</v>
      </c>
      <c r="H1218">
        <v>0</v>
      </c>
      <c r="I1218" t="s">
        <v>800</v>
      </c>
    </row>
    <row r="1219" spans="1:9" hidden="1" x14ac:dyDescent="0.2">
      <c r="A1219" t="s">
        <v>454</v>
      </c>
      <c r="B1219" t="s">
        <v>815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 t="s">
        <v>800</v>
      </c>
    </row>
    <row r="1220" spans="1:9" hidden="1" x14ac:dyDescent="0.2">
      <c r="A1220" t="s">
        <v>454</v>
      </c>
      <c r="B1220" t="s">
        <v>810</v>
      </c>
      <c r="C1220">
        <v>0</v>
      </c>
      <c r="D1220">
        <v>1.6293723820456159E-6</v>
      </c>
      <c r="E1220">
        <v>4.8958555872338191E-5</v>
      </c>
      <c r="F1220">
        <v>0</v>
      </c>
      <c r="G1220">
        <v>0</v>
      </c>
      <c r="H1220">
        <v>0</v>
      </c>
      <c r="I1220" t="s">
        <v>800</v>
      </c>
    </row>
    <row r="1221" spans="1:9" hidden="1" x14ac:dyDescent="0.2">
      <c r="A1221" t="s">
        <v>454</v>
      </c>
      <c r="B1221" t="s">
        <v>822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 t="s">
        <v>800</v>
      </c>
    </row>
    <row r="1222" spans="1:9" hidden="1" x14ac:dyDescent="0.2">
      <c r="A1222" t="s">
        <v>455</v>
      </c>
      <c r="B1222" t="s">
        <v>816</v>
      </c>
      <c r="C1222">
        <v>0</v>
      </c>
      <c r="D1222">
        <v>6.0769635618677287E-5</v>
      </c>
      <c r="E1222">
        <v>5.6548851053494233E-5</v>
      </c>
      <c r="F1222">
        <v>0</v>
      </c>
      <c r="G1222">
        <v>0</v>
      </c>
      <c r="H1222">
        <v>0</v>
      </c>
      <c r="I1222" t="s">
        <v>800</v>
      </c>
    </row>
    <row r="1223" spans="1:9" hidden="1" x14ac:dyDescent="0.2">
      <c r="A1223" t="s">
        <v>455</v>
      </c>
      <c r="B1223" t="s">
        <v>815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 t="s">
        <v>800</v>
      </c>
    </row>
    <row r="1224" spans="1:9" hidden="1" x14ac:dyDescent="0.2">
      <c r="A1224" t="s">
        <v>455</v>
      </c>
      <c r="B1224" t="s">
        <v>810</v>
      </c>
      <c r="C1224">
        <v>0</v>
      </c>
      <c r="D1224">
        <v>2.6077979029427418E-6</v>
      </c>
      <c r="E1224">
        <v>2.458539181830238E-6</v>
      </c>
      <c r="F1224">
        <v>0</v>
      </c>
      <c r="G1224">
        <v>0</v>
      </c>
      <c r="H1224">
        <v>0</v>
      </c>
      <c r="I1224" t="s">
        <v>800</v>
      </c>
    </row>
    <row r="1225" spans="1:9" hidden="1" x14ac:dyDescent="0.2">
      <c r="A1225" t="s">
        <v>455</v>
      </c>
      <c r="B1225" t="s">
        <v>824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 t="s">
        <v>800</v>
      </c>
    </row>
    <row r="1226" spans="1:9" hidden="1" x14ac:dyDescent="0.2">
      <c r="A1226" t="s">
        <v>456</v>
      </c>
      <c r="B1226" t="s">
        <v>822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 t="s">
        <v>800</v>
      </c>
    </row>
    <row r="1227" spans="1:9" hidden="1" x14ac:dyDescent="0.2">
      <c r="A1227" t="s">
        <v>456</v>
      </c>
      <c r="B1227" t="s">
        <v>812</v>
      </c>
      <c r="C1227">
        <v>0</v>
      </c>
      <c r="D1227">
        <v>3.7479406294746128E-4</v>
      </c>
      <c r="E1227">
        <v>0</v>
      </c>
      <c r="F1227">
        <v>0</v>
      </c>
      <c r="G1227">
        <v>0</v>
      </c>
      <c r="H1227">
        <v>0</v>
      </c>
      <c r="I1227" t="s">
        <v>800</v>
      </c>
    </row>
    <row r="1228" spans="1:9" hidden="1" x14ac:dyDescent="0.2">
      <c r="A1228" t="s">
        <v>457</v>
      </c>
      <c r="B1228" t="s">
        <v>824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 t="s">
        <v>800</v>
      </c>
    </row>
    <row r="1229" spans="1:9" hidden="1" x14ac:dyDescent="0.2">
      <c r="A1229" t="s">
        <v>457</v>
      </c>
      <c r="B1229" t="s">
        <v>812</v>
      </c>
      <c r="C1229">
        <v>0</v>
      </c>
      <c r="D1229">
        <v>1.6109036326216279E-3</v>
      </c>
      <c r="E1229">
        <v>0</v>
      </c>
      <c r="F1229">
        <v>0</v>
      </c>
      <c r="G1229">
        <v>0</v>
      </c>
      <c r="H1229">
        <v>0</v>
      </c>
      <c r="I1229" t="s">
        <v>800</v>
      </c>
    </row>
    <row r="1230" spans="1:9" hidden="1" x14ac:dyDescent="0.2">
      <c r="A1230" t="s">
        <v>458</v>
      </c>
      <c r="B1230" t="s">
        <v>814</v>
      </c>
      <c r="C1230">
        <v>0</v>
      </c>
      <c r="D1230">
        <v>0.16321186780265259</v>
      </c>
      <c r="E1230">
        <v>0</v>
      </c>
      <c r="F1230">
        <v>0</v>
      </c>
      <c r="I1230" t="s">
        <v>800</v>
      </c>
    </row>
    <row r="1231" spans="1:9" hidden="1" x14ac:dyDescent="0.2">
      <c r="A1231" t="s">
        <v>458</v>
      </c>
      <c r="B1231" t="s">
        <v>822</v>
      </c>
      <c r="C1231">
        <v>0</v>
      </c>
      <c r="D1231">
        <v>0</v>
      </c>
      <c r="E1231">
        <v>0</v>
      </c>
      <c r="F1231">
        <v>0</v>
      </c>
      <c r="I1231" t="s">
        <v>800</v>
      </c>
    </row>
    <row r="1232" spans="1:9" hidden="1" x14ac:dyDescent="0.2">
      <c r="A1232" t="s">
        <v>459</v>
      </c>
      <c r="B1232" t="s">
        <v>814</v>
      </c>
      <c r="C1232">
        <v>0</v>
      </c>
      <c r="D1232">
        <v>6.8418203413690657</v>
      </c>
      <c r="E1232">
        <v>0</v>
      </c>
      <c r="F1232">
        <v>0</v>
      </c>
      <c r="I1232" t="s">
        <v>800</v>
      </c>
    </row>
    <row r="1233" spans="1:9" hidden="1" x14ac:dyDescent="0.2">
      <c r="A1233" t="s">
        <v>459</v>
      </c>
      <c r="B1233" t="s">
        <v>824</v>
      </c>
      <c r="C1233">
        <v>0</v>
      </c>
      <c r="D1233">
        <v>0</v>
      </c>
      <c r="E1233">
        <v>0</v>
      </c>
      <c r="F1233">
        <v>0</v>
      </c>
      <c r="I1233" t="s">
        <v>800</v>
      </c>
    </row>
    <row r="1234" spans="1:9" hidden="1" x14ac:dyDescent="0.2">
      <c r="A1234" t="s">
        <v>460</v>
      </c>
      <c r="B1234" t="s">
        <v>814</v>
      </c>
      <c r="C1234">
        <v>0</v>
      </c>
      <c r="D1234">
        <v>1.4674742494787451E-5</v>
      </c>
      <c r="E1234">
        <v>1.4433502016237881E-4</v>
      </c>
      <c r="F1234">
        <v>0</v>
      </c>
      <c r="G1234">
        <v>0</v>
      </c>
      <c r="H1234">
        <v>0</v>
      </c>
      <c r="I1234" t="s">
        <v>800</v>
      </c>
    </row>
    <row r="1235" spans="1:9" hidden="1" x14ac:dyDescent="0.2">
      <c r="A1235" t="s">
        <v>460</v>
      </c>
      <c r="B1235" t="s">
        <v>815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 t="s">
        <v>800</v>
      </c>
    </row>
    <row r="1236" spans="1:9" hidden="1" x14ac:dyDescent="0.2">
      <c r="A1236" t="s">
        <v>460</v>
      </c>
      <c r="B1236" t="s">
        <v>810</v>
      </c>
      <c r="C1236">
        <v>0</v>
      </c>
      <c r="D1236">
        <v>0</v>
      </c>
      <c r="E1236">
        <v>6.5934850999918458E-6</v>
      </c>
      <c r="F1236">
        <v>0</v>
      </c>
      <c r="G1236">
        <v>0</v>
      </c>
      <c r="H1236">
        <v>0</v>
      </c>
      <c r="I1236" t="s">
        <v>800</v>
      </c>
    </row>
    <row r="1237" spans="1:9" hidden="1" x14ac:dyDescent="0.2">
      <c r="A1237" t="s">
        <v>460</v>
      </c>
      <c r="B1237" t="s">
        <v>822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 t="s">
        <v>800</v>
      </c>
    </row>
    <row r="1238" spans="1:9" hidden="1" x14ac:dyDescent="0.2">
      <c r="A1238" t="s">
        <v>461</v>
      </c>
      <c r="B1238" t="s">
        <v>814</v>
      </c>
      <c r="C1238">
        <v>0</v>
      </c>
      <c r="D1238">
        <v>1.8913134462243962E-5</v>
      </c>
      <c r="E1238">
        <v>2.1523163301761711E-4</v>
      </c>
      <c r="F1238">
        <v>0</v>
      </c>
      <c r="G1238">
        <v>0</v>
      </c>
      <c r="I1238" t="s">
        <v>800</v>
      </c>
    </row>
    <row r="1239" spans="1:9" hidden="1" x14ac:dyDescent="0.2">
      <c r="A1239" t="s">
        <v>461</v>
      </c>
      <c r="B1239" t="s">
        <v>815</v>
      </c>
      <c r="C1239">
        <v>0</v>
      </c>
      <c r="D1239">
        <v>0</v>
      </c>
      <c r="E1239">
        <v>0</v>
      </c>
      <c r="F1239">
        <v>0</v>
      </c>
      <c r="G1239">
        <v>0</v>
      </c>
      <c r="I1239" t="s">
        <v>800</v>
      </c>
    </row>
    <row r="1240" spans="1:9" hidden="1" x14ac:dyDescent="0.2">
      <c r="A1240" t="s">
        <v>461</v>
      </c>
      <c r="B1240" t="s">
        <v>810</v>
      </c>
      <c r="C1240">
        <v>0</v>
      </c>
      <c r="D1240">
        <v>0</v>
      </c>
      <c r="E1240">
        <v>1.0603513977733429E-5</v>
      </c>
      <c r="F1240">
        <v>0</v>
      </c>
      <c r="G1240">
        <v>0</v>
      </c>
      <c r="I1240" t="s">
        <v>800</v>
      </c>
    </row>
    <row r="1241" spans="1:9" hidden="1" x14ac:dyDescent="0.2">
      <c r="A1241" t="s">
        <v>461</v>
      </c>
      <c r="B1241" t="s">
        <v>824</v>
      </c>
      <c r="C1241">
        <v>0</v>
      </c>
      <c r="D1241">
        <v>0</v>
      </c>
      <c r="E1241">
        <v>0</v>
      </c>
      <c r="F1241">
        <v>0</v>
      </c>
      <c r="G1241">
        <v>0</v>
      </c>
      <c r="I1241" t="s">
        <v>800</v>
      </c>
    </row>
    <row r="1242" spans="1:9" hidden="1" x14ac:dyDescent="0.2">
      <c r="A1242" t="s">
        <v>462</v>
      </c>
      <c r="B1242" t="s">
        <v>810</v>
      </c>
      <c r="C1242">
        <v>0</v>
      </c>
      <c r="D1242">
        <v>1.018674721494639E-4</v>
      </c>
      <c r="E1242">
        <v>0</v>
      </c>
      <c r="F1242">
        <v>0</v>
      </c>
      <c r="G1242">
        <v>0</v>
      </c>
      <c r="H1242">
        <v>2.315792134392996E-3</v>
      </c>
      <c r="I1242" t="s">
        <v>800</v>
      </c>
    </row>
    <row r="1243" spans="1:9" hidden="1" x14ac:dyDescent="0.2">
      <c r="A1243" t="s">
        <v>462</v>
      </c>
      <c r="B1243" t="s">
        <v>822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 t="s">
        <v>800</v>
      </c>
    </row>
    <row r="1244" spans="1:9" hidden="1" x14ac:dyDescent="0.2">
      <c r="A1244" t="s">
        <v>463</v>
      </c>
      <c r="B1244" t="s">
        <v>810</v>
      </c>
      <c r="C1244">
        <v>0</v>
      </c>
      <c r="D1244">
        <v>9.7198085743269107E-5</v>
      </c>
      <c r="E1244">
        <v>0</v>
      </c>
      <c r="F1244">
        <v>0</v>
      </c>
      <c r="G1244">
        <v>0</v>
      </c>
      <c r="H1244">
        <v>9.9453714770854976E-2</v>
      </c>
      <c r="I1244" t="s">
        <v>800</v>
      </c>
    </row>
    <row r="1245" spans="1:9" hidden="1" x14ac:dyDescent="0.2">
      <c r="A1245" t="s">
        <v>463</v>
      </c>
      <c r="B1245" t="s">
        <v>824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 t="s">
        <v>800</v>
      </c>
    </row>
    <row r="1246" spans="1:9" hidden="1" x14ac:dyDescent="0.2">
      <c r="A1246" t="s">
        <v>464</v>
      </c>
      <c r="B1246" t="s">
        <v>816</v>
      </c>
      <c r="C1246">
        <v>0</v>
      </c>
      <c r="I1246" t="s">
        <v>800</v>
      </c>
    </row>
    <row r="1247" spans="1:9" hidden="1" x14ac:dyDescent="0.2">
      <c r="A1247" t="s">
        <v>464</v>
      </c>
      <c r="B1247" t="s">
        <v>819</v>
      </c>
      <c r="C1247">
        <v>0</v>
      </c>
      <c r="I1247" t="s">
        <v>800</v>
      </c>
    </row>
    <row r="1248" spans="1:9" hidden="1" x14ac:dyDescent="0.2">
      <c r="A1248" t="s">
        <v>464</v>
      </c>
      <c r="B1248" t="s">
        <v>811</v>
      </c>
      <c r="C1248">
        <v>0</v>
      </c>
      <c r="I1248" t="s">
        <v>800</v>
      </c>
    </row>
    <row r="1249" spans="1:9" hidden="1" x14ac:dyDescent="0.2">
      <c r="A1249" t="s">
        <v>465</v>
      </c>
      <c r="B1249" t="s">
        <v>810</v>
      </c>
      <c r="C1249">
        <v>7.868812886359215E-5</v>
      </c>
      <c r="D1249">
        <v>9.5275759952669362E-2</v>
      </c>
      <c r="E1249">
        <v>6.8938507188295667E-2</v>
      </c>
      <c r="F1249">
        <v>4.6411126249633207E-2</v>
      </c>
      <c r="G1249">
        <v>0</v>
      </c>
      <c r="H1249">
        <v>0</v>
      </c>
      <c r="I1249" t="s">
        <v>800</v>
      </c>
    </row>
    <row r="1250" spans="1:9" hidden="1" x14ac:dyDescent="0.2">
      <c r="A1250" t="s">
        <v>465</v>
      </c>
      <c r="B1250" t="s">
        <v>819</v>
      </c>
      <c r="C1250">
        <v>2.356758668736963E-4</v>
      </c>
      <c r="D1250">
        <v>0.2381915855474169</v>
      </c>
      <c r="E1250">
        <v>0.1723471633235181</v>
      </c>
      <c r="F1250">
        <v>0.11602813104386971</v>
      </c>
      <c r="G1250">
        <v>0</v>
      </c>
      <c r="H1250">
        <v>0</v>
      </c>
      <c r="I1250" t="s">
        <v>800</v>
      </c>
    </row>
    <row r="1251" spans="1:9" hidden="1" x14ac:dyDescent="0.2">
      <c r="A1251" t="s">
        <v>465</v>
      </c>
      <c r="B1251" t="s">
        <v>811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 t="s">
        <v>800</v>
      </c>
    </row>
    <row r="1252" spans="1:9" hidden="1" x14ac:dyDescent="0.2">
      <c r="A1252" t="s">
        <v>466</v>
      </c>
      <c r="B1252" t="s">
        <v>810</v>
      </c>
      <c r="C1252">
        <v>1.254941769880915E-3</v>
      </c>
      <c r="D1252">
        <v>0</v>
      </c>
      <c r="E1252">
        <v>0</v>
      </c>
      <c r="F1252">
        <v>0</v>
      </c>
      <c r="G1252">
        <v>0</v>
      </c>
      <c r="H1252">
        <v>0</v>
      </c>
      <c r="I1252" t="s">
        <v>800</v>
      </c>
    </row>
    <row r="1253" spans="1:9" hidden="1" x14ac:dyDescent="0.2">
      <c r="A1253" t="s">
        <v>466</v>
      </c>
      <c r="B1253" t="s">
        <v>824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 t="s">
        <v>800</v>
      </c>
    </row>
    <row r="1254" spans="1:9" hidden="1" x14ac:dyDescent="0.2">
      <c r="A1254" t="s">
        <v>466</v>
      </c>
      <c r="B1254" t="s">
        <v>811</v>
      </c>
      <c r="C1254">
        <v>2.5064601104191858E-3</v>
      </c>
      <c r="D1254">
        <v>0</v>
      </c>
      <c r="E1254">
        <v>0</v>
      </c>
      <c r="F1254">
        <v>0</v>
      </c>
      <c r="G1254">
        <v>0</v>
      </c>
      <c r="H1254">
        <v>0</v>
      </c>
      <c r="I1254" t="s">
        <v>800</v>
      </c>
    </row>
    <row r="1255" spans="1:9" hidden="1" x14ac:dyDescent="0.2">
      <c r="A1255" t="s">
        <v>467</v>
      </c>
      <c r="B1255" t="s">
        <v>821</v>
      </c>
      <c r="D1255">
        <v>0</v>
      </c>
      <c r="E1255">
        <v>0</v>
      </c>
      <c r="F1255">
        <v>0</v>
      </c>
      <c r="G1255">
        <v>0</v>
      </c>
      <c r="H1255">
        <v>0</v>
      </c>
      <c r="I1255" t="s">
        <v>788</v>
      </c>
    </row>
    <row r="1256" spans="1:9" hidden="1" x14ac:dyDescent="0.2">
      <c r="A1256" t="s">
        <v>467</v>
      </c>
      <c r="B1256" t="s">
        <v>812</v>
      </c>
      <c r="D1256">
        <v>1.7079174740089559E-4</v>
      </c>
      <c r="E1256">
        <v>0</v>
      </c>
      <c r="F1256">
        <v>0</v>
      </c>
      <c r="G1256">
        <v>0</v>
      </c>
      <c r="H1256">
        <v>4.3744168953717411E-5</v>
      </c>
      <c r="I1256" t="s">
        <v>788</v>
      </c>
    </row>
    <row r="1257" spans="1:9" hidden="1" x14ac:dyDescent="0.2">
      <c r="A1257" t="s">
        <v>468</v>
      </c>
      <c r="B1257" t="s">
        <v>824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 t="s">
        <v>788</v>
      </c>
    </row>
    <row r="1258" spans="1:9" hidden="1" x14ac:dyDescent="0.2">
      <c r="A1258" t="s">
        <v>468</v>
      </c>
      <c r="B1258" t="s">
        <v>812</v>
      </c>
      <c r="C1258">
        <v>0</v>
      </c>
      <c r="D1258">
        <v>4.2759659428012698E-4</v>
      </c>
      <c r="E1258">
        <v>0</v>
      </c>
      <c r="F1258">
        <v>0</v>
      </c>
      <c r="G1258">
        <v>0</v>
      </c>
      <c r="H1258">
        <v>0</v>
      </c>
      <c r="I1258" t="s">
        <v>788</v>
      </c>
    </row>
    <row r="1259" spans="1:9" hidden="1" x14ac:dyDescent="0.2">
      <c r="A1259" t="s">
        <v>469</v>
      </c>
      <c r="B1259" t="s">
        <v>810</v>
      </c>
      <c r="C1259">
        <v>0</v>
      </c>
      <c r="D1259">
        <v>1.042425815031192E-4</v>
      </c>
      <c r="E1259">
        <v>3.4912118813139062E-2</v>
      </c>
      <c r="F1259">
        <v>0</v>
      </c>
      <c r="G1259">
        <v>6.7909350433571519E-2</v>
      </c>
      <c r="H1259">
        <v>0</v>
      </c>
      <c r="I1259" t="s">
        <v>788</v>
      </c>
    </row>
    <row r="1260" spans="1:9" hidden="1" x14ac:dyDescent="0.2">
      <c r="A1260" t="s">
        <v>469</v>
      </c>
      <c r="B1260" t="s">
        <v>822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 t="s">
        <v>788</v>
      </c>
    </row>
    <row r="1261" spans="1:9" hidden="1" x14ac:dyDescent="0.2">
      <c r="A1261" t="s">
        <v>470</v>
      </c>
      <c r="B1261" t="s">
        <v>810</v>
      </c>
      <c r="D1261">
        <v>0</v>
      </c>
      <c r="E1261">
        <v>0</v>
      </c>
      <c r="F1261">
        <v>0</v>
      </c>
      <c r="G1261">
        <v>0</v>
      </c>
      <c r="H1261">
        <v>0</v>
      </c>
      <c r="I1261" t="s">
        <v>788</v>
      </c>
    </row>
    <row r="1262" spans="1:9" hidden="1" x14ac:dyDescent="0.2">
      <c r="A1262" t="s">
        <v>470</v>
      </c>
      <c r="B1262" t="s">
        <v>824</v>
      </c>
      <c r="D1262">
        <v>0</v>
      </c>
      <c r="E1262">
        <v>0</v>
      </c>
      <c r="F1262">
        <v>0</v>
      </c>
      <c r="G1262">
        <v>0</v>
      </c>
      <c r="H1262">
        <v>0</v>
      </c>
      <c r="I1262" t="s">
        <v>788</v>
      </c>
    </row>
    <row r="1263" spans="1:9" hidden="1" x14ac:dyDescent="0.2">
      <c r="A1263" t="s">
        <v>470</v>
      </c>
      <c r="B1263" t="s">
        <v>811</v>
      </c>
      <c r="D1263">
        <v>0</v>
      </c>
      <c r="E1263">
        <v>0</v>
      </c>
      <c r="F1263">
        <v>0</v>
      </c>
      <c r="G1263">
        <v>0</v>
      </c>
      <c r="H1263">
        <v>0</v>
      </c>
      <c r="I1263" t="s">
        <v>788</v>
      </c>
    </row>
    <row r="1264" spans="1:9" hidden="1" x14ac:dyDescent="0.2">
      <c r="A1264" t="s">
        <v>471</v>
      </c>
      <c r="B1264" t="s">
        <v>816</v>
      </c>
      <c r="I1264" t="s">
        <v>788</v>
      </c>
    </row>
    <row r="1265" spans="1:9" hidden="1" x14ac:dyDescent="0.2">
      <c r="A1265" t="s">
        <v>471</v>
      </c>
      <c r="B1265" t="s">
        <v>825</v>
      </c>
      <c r="I1265" t="s">
        <v>788</v>
      </c>
    </row>
    <row r="1266" spans="1:9" hidden="1" x14ac:dyDescent="0.2">
      <c r="A1266" t="s">
        <v>472</v>
      </c>
      <c r="B1266" t="s">
        <v>814</v>
      </c>
      <c r="D1266">
        <v>9.1746842758401309E-2</v>
      </c>
      <c r="E1266">
        <v>5.3952838885541497E-2</v>
      </c>
      <c r="F1266">
        <v>8.0964522313807796E-2</v>
      </c>
      <c r="G1266">
        <v>0</v>
      </c>
      <c r="H1266">
        <v>0</v>
      </c>
      <c r="I1266" t="s">
        <v>788</v>
      </c>
    </row>
    <row r="1267" spans="1:9" hidden="1" x14ac:dyDescent="0.2">
      <c r="A1267" t="s">
        <v>472</v>
      </c>
      <c r="B1267" t="s">
        <v>821</v>
      </c>
      <c r="D1267">
        <v>0</v>
      </c>
      <c r="E1267">
        <v>0</v>
      </c>
      <c r="F1267">
        <v>0</v>
      </c>
      <c r="G1267">
        <v>0</v>
      </c>
      <c r="H1267">
        <v>0</v>
      </c>
      <c r="I1267" t="s">
        <v>788</v>
      </c>
    </row>
    <row r="1268" spans="1:9" hidden="1" x14ac:dyDescent="0.2">
      <c r="A1268" t="s">
        <v>473</v>
      </c>
      <c r="B1268" t="s">
        <v>814</v>
      </c>
      <c r="C1268">
        <v>0</v>
      </c>
      <c r="E1268">
        <v>5.2183415743448577E-5</v>
      </c>
      <c r="G1268">
        <v>0</v>
      </c>
      <c r="I1268" t="s">
        <v>798</v>
      </c>
    </row>
    <row r="1269" spans="1:9" hidden="1" x14ac:dyDescent="0.2">
      <c r="A1269" t="s">
        <v>473</v>
      </c>
      <c r="B1269" t="s">
        <v>810</v>
      </c>
      <c r="C1269">
        <v>0</v>
      </c>
      <c r="E1269">
        <v>0</v>
      </c>
      <c r="G1269">
        <v>0</v>
      </c>
      <c r="I1269" t="s">
        <v>798</v>
      </c>
    </row>
    <row r="1270" spans="1:9" hidden="1" x14ac:dyDescent="0.2">
      <c r="A1270" t="s">
        <v>473</v>
      </c>
      <c r="B1270" t="s">
        <v>860</v>
      </c>
      <c r="C1270">
        <v>0</v>
      </c>
      <c r="E1270">
        <v>0</v>
      </c>
      <c r="G1270">
        <v>0</v>
      </c>
      <c r="I1270" t="s">
        <v>798</v>
      </c>
    </row>
    <row r="1271" spans="1:9" hidden="1" x14ac:dyDescent="0.2">
      <c r="A1271" t="s">
        <v>474</v>
      </c>
      <c r="B1271" t="s">
        <v>826</v>
      </c>
      <c r="I1271" t="s">
        <v>798</v>
      </c>
    </row>
    <row r="1272" spans="1:9" hidden="1" x14ac:dyDescent="0.2">
      <c r="A1272" t="s">
        <v>474</v>
      </c>
      <c r="B1272" t="s">
        <v>843</v>
      </c>
      <c r="I1272" t="s">
        <v>798</v>
      </c>
    </row>
    <row r="1273" spans="1:9" hidden="1" x14ac:dyDescent="0.2">
      <c r="A1273" t="s">
        <v>474</v>
      </c>
      <c r="B1273" t="s">
        <v>853</v>
      </c>
      <c r="I1273" t="s">
        <v>798</v>
      </c>
    </row>
    <row r="1274" spans="1:9" hidden="1" x14ac:dyDescent="0.2">
      <c r="A1274" t="s">
        <v>474</v>
      </c>
      <c r="B1274" t="s">
        <v>827</v>
      </c>
      <c r="I1274" t="s">
        <v>798</v>
      </c>
    </row>
    <row r="1275" spans="1:9" hidden="1" x14ac:dyDescent="0.2">
      <c r="A1275" t="s">
        <v>474</v>
      </c>
      <c r="B1275" t="s">
        <v>855</v>
      </c>
      <c r="I1275" t="s">
        <v>798</v>
      </c>
    </row>
    <row r="1276" spans="1:9" hidden="1" x14ac:dyDescent="0.2">
      <c r="A1276" t="s">
        <v>474</v>
      </c>
      <c r="B1276" t="s">
        <v>878</v>
      </c>
      <c r="I1276" t="s">
        <v>798</v>
      </c>
    </row>
    <row r="1277" spans="1:9" hidden="1" x14ac:dyDescent="0.2">
      <c r="A1277" t="s">
        <v>474</v>
      </c>
      <c r="B1277" t="s">
        <v>845</v>
      </c>
      <c r="I1277" t="s">
        <v>798</v>
      </c>
    </row>
    <row r="1278" spans="1:9" hidden="1" x14ac:dyDescent="0.2">
      <c r="A1278" t="s">
        <v>474</v>
      </c>
      <c r="B1278" t="s">
        <v>841</v>
      </c>
      <c r="I1278" t="s">
        <v>798</v>
      </c>
    </row>
    <row r="1279" spans="1:9" hidden="1" x14ac:dyDescent="0.2">
      <c r="A1279" t="s">
        <v>474</v>
      </c>
      <c r="B1279" t="s">
        <v>875</v>
      </c>
      <c r="I1279" t="s">
        <v>798</v>
      </c>
    </row>
    <row r="1280" spans="1:9" hidden="1" x14ac:dyDescent="0.2">
      <c r="A1280" t="s">
        <v>474</v>
      </c>
      <c r="B1280" t="s">
        <v>880</v>
      </c>
      <c r="I1280" t="s">
        <v>798</v>
      </c>
    </row>
    <row r="1281" spans="1:9" hidden="1" x14ac:dyDescent="0.2">
      <c r="A1281" t="s">
        <v>474</v>
      </c>
      <c r="B1281" t="s">
        <v>828</v>
      </c>
      <c r="I1281" t="s">
        <v>798</v>
      </c>
    </row>
    <row r="1282" spans="1:9" hidden="1" x14ac:dyDescent="0.2">
      <c r="A1282" t="s">
        <v>474</v>
      </c>
      <c r="B1282" t="s">
        <v>838</v>
      </c>
      <c r="I1282" t="s">
        <v>798</v>
      </c>
    </row>
    <row r="1283" spans="1:9" hidden="1" x14ac:dyDescent="0.2">
      <c r="A1283" t="s">
        <v>474</v>
      </c>
      <c r="B1283" t="s">
        <v>810</v>
      </c>
      <c r="I1283" t="s">
        <v>798</v>
      </c>
    </row>
    <row r="1284" spans="1:9" hidden="1" x14ac:dyDescent="0.2">
      <c r="A1284" t="s">
        <v>474</v>
      </c>
      <c r="B1284" t="s">
        <v>847</v>
      </c>
      <c r="I1284" t="s">
        <v>798</v>
      </c>
    </row>
    <row r="1285" spans="1:9" hidden="1" x14ac:dyDescent="0.2">
      <c r="A1285" t="s">
        <v>474</v>
      </c>
      <c r="B1285" t="s">
        <v>822</v>
      </c>
      <c r="I1285" t="s">
        <v>798</v>
      </c>
    </row>
    <row r="1286" spans="1:9" hidden="1" x14ac:dyDescent="0.2">
      <c r="A1286" t="s">
        <v>474</v>
      </c>
      <c r="B1286" t="s">
        <v>848</v>
      </c>
      <c r="I1286" t="s">
        <v>798</v>
      </c>
    </row>
    <row r="1287" spans="1:9" hidden="1" x14ac:dyDescent="0.2">
      <c r="A1287" t="s">
        <v>474</v>
      </c>
      <c r="B1287" t="s">
        <v>840</v>
      </c>
      <c r="I1287" t="s">
        <v>798</v>
      </c>
    </row>
    <row r="1288" spans="1:9" hidden="1" x14ac:dyDescent="0.2">
      <c r="A1288" t="s">
        <v>474</v>
      </c>
      <c r="B1288" t="s">
        <v>829</v>
      </c>
      <c r="I1288" t="s">
        <v>798</v>
      </c>
    </row>
    <row r="1289" spans="1:9" hidden="1" x14ac:dyDescent="0.2">
      <c r="A1289" t="s">
        <v>474</v>
      </c>
      <c r="B1289" t="s">
        <v>839</v>
      </c>
      <c r="I1289" t="s">
        <v>798</v>
      </c>
    </row>
    <row r="1290" spans="1:9" hidden="1" x14ac:dyDescent="0.2">
      <c r="A1290" t="s">
        <v>474</v>
      </c>
      <c r="B1290" t="s">
        <v>831</v>
      </c>
      <c r="I1290" t="s">
        <v>798</v>
      </c>
    </row>
    <row r="1291" spans="1:9" hidden="1" x14ac:dyDescent="0.2">
      <c r="A1291" t="s">
        <v>474</v>
      </c>
      <c r="B1291" t="s">
        <v>832</v>
      </c>
      <c r="I1291" t="s">
        <v>798</v>
      </c>
    </row>
    <row r="1292" spans="1:9" hidden="1" x14ac:dyDescent="0.2">
      <c r="A1292" t="s">
        <v>474</v>
      </c>
      <c r="B1292" t="s">
        <v>849</v>
      </c>
      <c r="I1292" t="s">
        <v>798</v>
      </c>
    </row>
    <row r="1293" spans="1:9" hidden="1" x14ac:dyDescent="0.2">
      <c r="A1293" t="s">
        <v>474</v>
      </c>
      <c r="B1293" t="s">
        <v>812</v>
      </c>
      <c r="I1293" t="s">
        <v>798</v>
      </c>
    </row>
    <row r="1294" spans="1:9" hidden="1" x14ac:dyDescent="0.2">
      <c r="A1294" t="s">
        <v>475</v>
      </c>
      <c r="B1294" t="s">
        <v>845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 t="s">
        <v>791</v>
      </c>
    </row>
    <row r="1295" spans="1:9" hidden="1" x14ac:dyDescent="0.2">
      <c r="A1295" t="s">
        <v>475</v>
      </c>
      <c r="B1295" t="s">
        <v>841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 t="s">
        <v>791</v>
      </c>
    </row>
    <row r="1296" spans="1:9" hidden="1" x14ac:dyDescent="0.2">
      <c r="A1296" t="s">
        <v>475</v>
      </c>
      <c r="B1296" t="s">
        <v>880</v>
      </c>
      <c r="C1296">
        <v>37.37422896711545</v>
      </c>
      <c r="D1296">
        <v>0</v>
      </c>
      <c r="E1296">
        <v>0</v>
      </c>
      <c r="F1296">
        <v>0</v>
      </c>
      <c r="G1296">
        <v>0</v>
      </c>
      <c r="H1296">
        <v>0</v>
      </c>
      <c r="I1296" t="s">
        <v>791</v>
      </c>
    </row>
    <row r="1297" spans="1:9" hidden="1" x14ac:dyDescent="0.2">
      <c r="A1297" t="s">
        <v>475</v>
      </c>
      <c r="B1297" t="s">
        <v>822</v>
      </c>
      <c r="C1297">
        <v>9.7679620112620729</v>
      </c>
      <c r="D1297">
        <v>0</v>
      </c>
      <c r="E1297">
        <v>0</v>
      </c>
      <c r="F1297">
        <v>0</v>
      </c>
      <c r="G1297">
        <v>0</v>
      </c>
      <c r="H1297">
        <v>0</v>
      </c>
      <c r="I1297" t="s">
        <v>791</v>
      </c>
    </row>
    <row r="1298" spans="1:9" hidden="1" x14ac:dyDescent="0.2">
      <c r="A1298" t="s">
        <v>475</v>
      </c>
      <c r="B1298" t="s">
        <v>812</v>
      </c>
      <c r="C1298">
        <v>19.033131728274761</v>
      </c>
      <c r="D1298">
        <v>0</v>
      </c>
      <c r="E1298">
        <v>0</v>
      </c>
      <c r="F1298">
        <v>0</v>
      </c>
      <c r="G1298">
        <v>0</v>
      </c>
      <c r="H1298">
        <v>0</v>
      </c>
      <c r="I1298" t="s">
        <v>791</v>
      </c>
    </row>
    <row r="1299" spans="1:9" hidden="1" x14ac:dyDescent="0.2">
      <c r="A1299" t="s">
        <v>476</v>
      </c>
      <c r="B1299" t="s">
        <v>843</v>
      </c>
      <c r="I1299" t="s">
        <v>798</v>
      </c>
    </row>
    <row r="1300" spans="1:9" hidden="1" x14ac:dyDescent="0.2">
      <c r="A1300" t="s">
        <v>476</v>
      </c>
      <c r="B1300" t="s">
        <v>838</v>
      </c>
      <c r="I1300" t="s">
        <v>798</v>
      </c>
    </row>
    <row r="1301" spans="1:9" hidden="1" x14ac:dyDescent="0.2">
      <c r="A1301" t="s">
        <v>476</v>
      </c>
      <c r="B1301" t="s">
        <v>810</v>
      </c>
      <c r="I1301" t="s">
        <v>798</v>
      </c>
    </row>
    <row r="1302" spans="1:9" hidden="1" x14ac:dyDescent="0.2">
      <c r="A1302" t="s">
        <v>476</v>
      </c>
      <c r="B1302" t="s">
        <v>822</v>
      </c>
      <c r="I1302" t="s">
        <v>798</v>
      </c>
    </row>
    <row r="1303" spans="1:9" hidden="1" x14ac:dyDescent="0.2">
      <c r="A1303" t="s">
        <v>476</v>
      </c>
      <c r="B1303" t="s">
        <v>848</v>
      </c>
      <c r="I1303" t="s">
        <v>798</v>
      </c>
    </row>
    <row r="1304" spans="1:9" hidden="1" x14ac:dyDescent="0.2">
      <c r="A1304" t="s">
        <v>476</v>
      </c>
      <c r="B1304" t="s">
        <v>840</v>
      </c>
      <c r="I1304" t="s">
        <v>798</v>
      </c>
    </row>
    <row r="1305" spans="1:9" hidden="1" x14ac:dyDescent="0.2">
      <c r="A1305" t="s">
        <v>476</v>
      </c>
      <c r="B1305" t="s">
        <v>829</v>
      </c>
      <c r="I1305" t="s">
        <v>798</v>
      </c>
    </row>
    <row r="1306" spans="1:9" hidden="1" x14ac:dyDescent="0.2">
      <c r="A1306" t="s">
        <v>476</v>
      </c>
      <c r="B1306" t="s">
        <v>860</v>
      </c>
      <c r="I1306" t="s">
        <v>798</v>
      </c>
    </row>
    <row r="1307" spans="1:9" hidden="1" x14ac:dyDescent="0.2">
      <c r="A1307" t="s">
        <v>476</v>
      </c>
      <c r="B1307" t="s">
        <v>832</v>
      </c>
      <c r="I1307" t="s">
        <v>798</v>
      </c>
    </row>
    <row r="1308" spans="1:9" hidden="1" x14ac:dyDescent="0.2">
      <c r="A1308" t="s">
        <v>477</v>
      </c>
      <c r="B1308" t="s">
        <v>816</v>
      </c>
      <c r="I1308" t="s">
        <v>798</v>
      </c>
    </row>
    <row r="1309" spans="1:9" hidden="1" x14ac:dyDescent="0.2">
      <c r="A1309" t="s">
        <v>477</v>
      </c>
      <c r="B1309" t="s">
        <v>821</v>
      </c>
      <c r="I1309" t="s">
        <v>798</v>
      </c>
    </row>
    <row r="1310" spans="1:9" hidden="1" x14ac:dyDescent="0.2">
      <c r="A1310" t="s">
        <v>478</v>
      </c>
      <c r="B1310" t="s">
        <v>816</v>
      </c>
      <c r="I1310" t="s">
        <v>798</v>
      </c>
    </row>
    <row r="1311" spans="1:9" hidden="1" x14ac:dyDescent="0.2">
      <c r="A1311" t="s">
        <v>478</v>
      </c>
      <c r="B1311" t="s">
        <v>825</v>
      </c>
      <c r="I1311" t="s">
        <v>798</v>
      </c>
    </row>
    <row r="1312" spans="1:9" hidden="1" x14ac:dyDescent="0.2">
      <c r="A1312" t="s">
        <v>479</v>
      </c>
      <c r="B1312" t="s">
        <v>821</v>
      </c>
      <c r="I1312" t="s">
        <v>798</v>
      </c>
    </row>
    <row r="1313" spans="1:9" hidden="1" x14ac:dyDescent="0.2">
      <c r="A1313" t="s">
        <v>479</v>
      </c>
      <c r="B1313" t="s">
        <v>812</v>
      </c>
      <c r="I1313" t="s">
        <v>798</v>
      </c>
    </row>
    <row r="1314" spans="1:9" hidden="1" x14ac:dyDescent="0.2">
      <c r="A1314" t="s">
        <v>480</v>
      </c>
      <c r="B1314" t="s">
        <v>814</v>
      </c>
      <c r="I1314" t="s">
        <v>798</v>
      </c>
    </row>
    <row r="1315" spans="1:9" hidden="1" x14ac:dyDescent="0.2">
      <c r="A1315" t="s">
        <v>480</v>
      </c>
      <c r="B1315" t="s">
        <v>821</v>
      </c>
      <c r="I1315" t="s">
        <v>798</v>
      </c>
    </row>
    <row r="1316" spans="1:9" hidden="1" x14ac:dyDescent="0.2">
      <c r="A1316" t="s">
        <v>481</v>
      </c>
      <c r="B1316" t="s">
        <v>814</v>
      </c>
      <c r="I1316" t="s">
        <v>798</v>
      </c>
    </row>
    <row r="1317" spans="1:9" hidden="1" x14ac:dyDescent="0.2">
      <c r="A1317" t="s">
        <v>481</v>
      </c>
      <c r="B1317" t="s">
        <v>821</v>
      </c>
      <c r="I1317" t="s">
        <v>798</v>
      </c>
    </row>
    <row r="1318" spans="1:9" hidden="1" x14ac:dyDescent="0.2">
      <c r="A1318" t="s">
        <v>482</v>
      </c>
      <c r="B1318" t="s">
        <v>810</v>
      </c>
      <c r="C1318">
        <v>0</v>
      </c>
      <c r="D1318">
        <v>1.019012447141756E-4</v>
      </c>
      <c r="E1318">
        <v>0</v>
      </c>
      <c r="F1318">
        <v>0</v>
      </c>
      <c r="G1318">
        <v>0</v>
      </c>
      <c r="H1318">
        <v>0</v>
      </c>
      <c r="I1318" t="s">
        <v>798</v>
      </c>
    </row>
    <row r="1319" spans="1:9" hidden="1" x14ac:dyDescent="0.2">
      <c r="A1319" t="s">
        <v>482</v>
      </c>
      <c r="B1319" t="s">
        <v>824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 t="s">
        <v>798</v>
      </c>
    </row>
    <row r="1320" spans="1:9" hidden="1" x14ac:dyDescent="0.2">
      <c r="A1320" t="s">
        <v>483</v>
      </c>
      <c r="B1320" t="s">
        <v>810</v>
      </c>
      <c r="C1320">
        <v>2.370395119056566E-4</v>
      </c>
      <c r="D1320">
        <v>0</v>
      </c>
      <c r="E1320">
        <v>0</v>
      </c>
      <c r="F1320">
        <v>0</v>
      </c>
      <c r="G1320">
        <v>0</v>
      </c>
      <c r="H1320">
        <v>0</v>
      </c>
      <c r="I1320" t="s">
        <v>798</v>
      </c>
    </row>
    <row r="1321" spans="1:9" hidden="1" x14ac:dyDescent="0.2">
      <c r="A1321" t="s">
        <v>483</v>
      </c>
      <c r="B1321" t="s">
        <v>824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 t="s">
        <v>798</v>
      </c>
    </row>
    <row r="1322" spans="1:9" hidden="1" x14ac:dyDescent="0.2">
      <c r="A1322" t="s">
        <v>483</v>
      </c>
      <c r="B1322" t="s">
        <v>811</v>
      </c>
      <c r="C1322">
        <v>4.7407902460099282E-4</v>
      </c>
      <c r="D1322">
        <v>0</v>
      </c>
      <c r="E1322">
        <v>0</v>
      </c>
      <c r="F1322">
        <v>0</v>
      </c>
      <c r="G1322">
        <v>0</v>
      </c>
      <c r="H1322">
        <v>0</v>
      </c>
      <c r="I1322" t="s">
        <v>798</v>
      </c>
    </row>
    <row r="1323" spans="1:9" hidden="1" x14ac:dyDescent="0.2">
      <c r="A1323" t="s">
        <v>484</v>
      </c>
      <c r="B1323" t="s">
        <v>810</v>
      </c>
      <c r="C1323">
        <v>0</v>
      </c>
      <c r="D1323">
        <v>1.0491002137211429E-4</v>
      </c>
      <c r="E1323">
        <v>0.31483692772656519</v>
      </c>
      <c r="F1323">
        <v>0</v>
      </c>
      <c r="G1323">
        <v>0</v>
      </c>
      <c r="H1323">
        <v>0</v>
      </c>
      <c r="I1323" t="s">
        <v>798</v>
      </c>
    </row>
    <row r="1324" spans="1:9" hidden="1" x14ac:dyDescent="0.2">
      <c r="A1324" t="s">
        <v>484</v>
      </c>
      <c r="B1324" t="s">
        <v>822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 t="s">
        <v>798</v>
      </c>
    </row>
    <row r="1325" spans="1:9" hidden="1" x14ac:dyDescent="0.2">
      <c r="A1325" t="s">
        <v>485</v>
      </c>
      <c r="B1325" t="s">
        <v>810</v>
      </c>
      <c r="C1325">
        <v>1.2251130316189181E-4</v>
      </c>
      <c r="D1325">
        <v>0.98967446311663243</v>
      </c>
      <c r="E1325">
        <v>0</v>
      </c>
      <c r="F1325">
        <v>0</v>
      </c>
      <c r="G1325">
        <v>0</v>
      </c>
      <c r="H1325">
        <v>0</v>
      </c>
      <c r="I1325" t="s">
        <v>799</v>
      </c>
    </row>
    <row r="1326" spans="1:9" hidden="1" x14ac:dyDescent="0.2">
      <c r="A1326" t="s">
        <v>485</v>
      </c>
      <c r="B1326" t="s">
        <v>819</v>
      </c>
      <c r="C1326">
        <v>4.9502162785313526E-4</v>
      </c>
      <c r="D1326">
        <v>3.7609099563692201</v>
      </c>
      <c r="E1326">
        <v>0</v>
      </c>
      <c r="F1326">
        <v>0</v>
      </c>
      <c r="G1326">
        <v>0</v>
      </c>
      <c r="H1326">
        <v>0</v>
      </c>
      <c r="I1326" t="s">
        <v>799</v>
      </c>
    </row>
    <row r="1327" spans="1:9" hidden="1" x14ac:dyDescent="0.2">
      <c r="A1327" t="s">
        <v>485</v>
      </c>
      <c r="B1327" t="s">
        <v>811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 t="s">
        <v>799</v>
      </c>
    </row>
    <row r="1328" spans="1:9" hidden="1" x14ac:dyDescent="0.2">
      <c r="A1328" t="s">
        <v>486</v>
      </c>
      <c r="B1328" t="s">
        <v>810</v>
      </c>
      <c r="C1328">
        <v>1.0181787532278141E-5</v>
      </c>
      <c r="D1328">
        <v>0</v>
      </c>
      <c r="E1328">
        <v>0</v>
      </c>
      <c r="F1328">
        <v>0</v>
      </c>
      <c r="G1328">
        <v>0</v>
      </c>
      <c r="H1328">
        <v>0</v>
      </c>
      <c r="I1328" t="s">
        <v>799</v>
      </c>
    </row>
    <row r="1329" spans="1:9" hidden="1" x14ac:dyDescent="0.2">
      <c r="A1329" t="s">
        <v>486</v>
      </c>
      <c r="B1329" t="s">
        <v>811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 t="s">
        <v>799</v>
      </c>
    </row>
    <row r="1330" spans="1:9" hidden="1" x14ac:dyDescent="0.2">
      <c r="A1330" t="s">
        <v>486</v>
      </c>
      <c r="B1330" t="s">
        <v>818</v>
      </c>
      <c r="C1330">
        <v>4.2394144545422852E-4</v>
      </c>
      <c r="D1330">
        <v>0</v>
      </c>
      <c r="E1330">
        <v>0</v>
      </c>
      <c r="F1330">
        <v>0</v>
      </c>
      <c r="G1330">
        <v>0</v>
      </c>
      <c r="H1330">
        <v>0</v>
      </c>
      <c r="I1330" t="s">
        <v>799</v>
      </c>
    </row>
    <row r="1331" spans="1:9" x14ac:dyDescent="0.2">
      <c r="A1331" t="s">
        <v>487</v>
      </c>
      <c r="B1331" t="s">
        <v>810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 t="s">
        <v>794</v>
      </c>
    </row>
    <row r="1332" spans="1:9" x14ac:dyDescent="0.2">
      <c r="A1332" t="s">
        <v>487</v>
      </c>
      <c r="B1332" t="s">
        <v>813</v>
      </c>
      <c r="C1332">
        <v>0</v>
      </c>
      <c r="D1332">
        <v>3.1265308644863121</v>
      </c>
      <c r="E1332">
        <v>3.9219607061284139</v>
      </c>
      <c r="F1332">
        <v>3.8296615915302739</v>
      </c>
      <c r="G1332">
        <v>4.8670484574637376</v>
      </c>
      <c r="H1332">
        <v>4.7477666052602991</v>
      </c>
      <c r="I1332" t="s">
        <v>794</v>
      </c>
    </row>
    <row r="1333" spans="1:9" hidden="1" x14ac:dyDescent="0.2">
      <c r="A1333" s="90" t="s">
        <v>488</v>
      </c>
      <c r="B1333" t="s">
        <v>810</v>
      </c>
      <c r="C1333">
        <v>0</v>
      </c>
      <c r="G1333">
        <v>1.3803399311461339E-5</v>
      </c>
      <c r="H1333">
        <v>3.9031040682026351E-5</v>
      </c>
      <c r="I1333" t="s">
        <v>792</v>
      </c>
    </row>
    <row r="1334" spans="1:9" hidden="1" x14ac:dyDescent="0.2">
      <c r="A1334" s="90" t="s">
        <v>488</v>
      </c>
      <c r="B1334" t="s">
        <v>812</v>
      </c>
      <c r="C1334">
        <v>0</v>
      </c>
      <c r="G1334">
        <v>0</v>
      </c>
      <c r="H1334">
        <v>0</v>
      </c>
      <c r="I1334" t="s">
        <v>792</v>
      </c>
    </row>
    <row r="1335" spans="1:9" hidden="1" x14ac:dyDescent="0.2">
      <c r="A1335" s="90" t="s">
        <v>489</v>
      </c>
      <c r="B1335" t="s">
        <v>810</v>
      </c>
      <c r="C1335">
        <v>0</v>
      </c>
      <c r="D1335">
        <v>1.042408499402422E-4</v>
      </c>
      <c r="E1335">
        <v>0</v>
      </c>
      <c r="F1335">
        <v>0</v>
      </c>
      <c r="G1335">
        <v>0</v>
      </c>
      <c r="H1335">
        <v>2.2505444050594989E-6</v>
      </c>
      <c r="I1335" t="s">
        <v>792</v>
      </c>
    </row>
    <row r="1336" spans="1:9" hidden="1" x14ac:dyDescent="0.2">
      <c r="A1336" s="90" t="s">
        <v>489</v>
      </c>
      <c r="B1336" t="s">
        <v>812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 t="s">
        <v>792</v>
      </c>
    </row>
    <row r="1337" spans="1:9" hidden="1" x14ac:dyDescent="0.2">
      <c r="A1337" s="90" t="s">
        <v>490</v>
      </c>
      <c r="B1337" t="s">
        <v>810</v>
      </c>
      <c r="C1337">
        <v>0</v>
      </c>
      <c r="D1337">
        <v>2.2331949643494809E-4</v>
      </c>
      <c r="E1337">
        <v>0</v>
      </c>
      <c r="F1337">
        <v>0</v>
      </c>
      <c r="G1337">
        <v>32.229690241321677</v>
      </c>
      <c r="H1337">
        <v>0</v>
      </c>
      <c r="I1337" t="s">
        <v>792</v>
      </c>
    </row>
    <row r="1338" spans="1:9" hidden="1" x14ac:dyDescent="0.2">
      <c r="A1338" s="90" t="s">
        <v>490</v>
      </c>
      <c r="B1338" t="s">
        <v>812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 t="s">
        <v>792</v>
      </c>
    </row>
    <row r="1339" spans="1:9" hidden="1" x14ac:dyDescent="0.2">
      <c r="A1339" t="s">
        <v>491</v>
      </c>
      <c r="B1339" t="s">
        <v>865</v>
      </c>
      <c r="C1339">
        <v>59.602484238771858</v>
      </c>
      <c r="D1339">
        <v>0</v>
      </c>
      <c r="E1339">
        <v>0</v>
      </c>
      <c r="F1339">
        <v>0</v>
      </c>
      <c r="G1339">
        <v>0</v>
      </c>
      <c r="H1339">
        <v>0</v>
      </c>
      <c r="I1339" t="s">
        <v>803</v>
      </c>
    </row>
    <row r="1340" spans="1:9" hidden="1" x14ac:dyDescent="0.2">
      <c r="A1340" t="s">
        <v>491</v>
      </c>
      <c r="B1340" t="s">
        <v>811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 t="s">
        <v>803</v>
      </c>
    </row>
    <row r="1341" spans="1:9" hidden="1" x14ac:dyDescent="0.2">
      <c r="A1341" t="s">
        <v>492</v>
      </c>
      <c r="B1341" t="s">
        <v>835</v>
      </c>
      <c r="C1341">
        <v>2.1707470059501729E-4</v>
      </c>
      <c r="D1341">
        <v>0.46954110873832339</v>
      </c>
      <c r="E1341">
        <v>0</v>
      </c>
      <c r="F1341">
        <v>0</v>
      </c>
      <c r="G1341">
        <v>0</v>
      </c>
      <c r="H1341">
        <v>0</v>
      </c>
      <c r="I1341" t="s">
        <v>788</v>
      </c>
    </row>
    <row r="1342" spans="1:9" hidden="1" x14ac:dyDescent="0.2">
      <c r="A1342" t="s">
        <v>492</v>
      </c>
      <c r="B1342" t="s">
        <v>810</v>
      </c>
      <c r="C1342">
        <v>6.5339710221206697E-6</v>
      </c>
      <c r="D1342">
        <v>1.408713065592607E-2</v>
      </c>
      <c r="E1342">
        <v>0</v>
      </c>
      <c r="F1342">
        <v>0</v>
      </c>
      <c r="G1342">
        <v>0</v>
      </c>
      <c r="H1342">
        <v>0</v>
      </c>
      <c r="I1342" t="s">
        <v>788</v>
      </c>
    </row>
    <row r="1343" spans="1:9" hidden="1" x14ac:dyDescent="0.2">
      <c r="A1343" t="s">
        <v>492</v>
      </c>
      <c r="B1343" t="s">
        <v>824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 t="s">
        <v>788</v>
      </c>
    </row>
    <row r="1344" spans="1:9" hidden="1" x14ac:dyDescent="0.2">
      <c r="A1344" t="s">
        <v>493</v>
      </c>
      <c r="B1344" t="s">
        <v>810</v>
      </c>
      <c r="D1344">
        <v>0</v>
      </c>
      <c r="E1344">
        <v>0</v>
      </c>
      <c r="F1344">
        <v>0</v>
      </c>
      <c r="G1344">
        <v>0</v>
      </c>
      <c r="H1344">
        <v>0</v>
      </c>
      <c r="I1344" t="s">
        <v>788</v>
      </c>
    </row>
    <row r="1345" spans="1:9" hidden="1" x14ac:dyDescent="0.2">
      <c r="A1345" t="s">
        <v>493</v>
      </c>
      <c r="B1345" t="s">
        <v>811</v>
      </c>
      <c r="D1345">
        <v>0</v>
      </c>
      <c r="E1345">
        <v>0</v>
      </c>
      <c r="F1345">
        <v>0</v>
      </c>
      <c r="G1345">
        <v>0</v>
      </c>
      <c r="H1345">
        <v>0</v>
      </c>
      <c r="I1345" t="s">
        <v>788</v>
      </c>
    </row>
    <row r="1346" spans="1:9" hidden="1" x14ac:dyDescent="0.2">
      <c r="A1346" t="s">
        <v>493</v>
      </c>
      <c r="B1346" t="s">
        <v>818</v>
      </c>
      <c r="D1346">
        <v>0</v>
      </c>
      <c r="E1346">
        <v>0</v>
      </c>
      <c r="F1346">
        <v>0</v>
      </c>
      <c r="G1346">
        <v>0</v>
      </c>
      <c r="H1346">
        <v>0</v>
      </c>
      <c r="I1346" t="s">
        <v>788</v>
      </c>
    </row>
    <row r="1347" spans="1:9" hidden="1" x14ac:dyDescent="0.2">
      <c r="A1347" t="s">
        <v>494</v>
      </c>
      <c r="B1347" t="s">
        <v>814</v>
      </c>
      <c r="C1347">
        <v>79.650217178345045</v>
      </c>
      <c r="D1347">
        <v>0</v>
      </c>
      <c r="I1347" t="s">
        <v>799</v>
      </c>
    </row>
    <row r="1348" spans="1:9" hidden="1" x14ac:dyDescent="0.2">
      <c r="A1348" t="s">
        <v>494</v>
      </c>
      <c r="B1348" t="s">
        <v>811</v>
      </c>
      <c r="C1348">
        <v>0</v>
      </c>
      <c r="D1348">
        <v>0</v>
      </c>
      <c r="I1348" t="s">
        <v>799</v>
      </c>
    </row>
    <row r="1349" spans="1:9" hidden="1" x14ac:dyDescent="0.2">
      <c r="A1349" t="s">
        <v>495</v>
      </c>
      <c r="B1349" t="s">
        <v>810</v>
      </c>
      <c r="C1349">
        <v>3.474071764986261E-3</v>
      </c>
      <c r="D1349">
        <v>30.608111938371149</v>
      </c>
      <c r="E1349">
        <v>0</v>
      </c>
      <c r="F1349">
        <v>0</v>
      </c>
      <c r="G1349">
        <v>0</v>
      </c>
      <c r="H1349">
        <v>0</v>
      </c>
      <c r="I1349" t="s">
        <v>793</v>
      </c>
    </row>
    <row r="1350" spans="1:9" hidden="1" x14ac:dyDescent="0.2">
      <c r="A1350" t="s">
        <v>495</v>
      </c>
      <c r="B1350" t="s">
        <v>819</v>
      </c>
      <c r="C1350">
        <v>7.7237749401670901E-3</v>
      </c>
      <c r="D1350">
        <v>70.39869155407105</v>
      </c>
      <c r="E1350">
        <v>0</v>
      </c>
      <c r="F1350">
        <v>0</v>
      </c>
      <c r="G1350">
        <v>0</v>
      </c>
      <c r="H1350">
        <v>0</v>
      </c>
      <c r="I1350" t="s">
        <v>793</v>
      </c>
    </row>
    <row r="1351" spans="1:9" hidden="1" x14ac:dyDescent="0.2">
      <c r="A1351" t="s">
        <v>495</v>
      </c>
      <c r="B1351" t="s">
        <v>811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 t="s">
        <v>793</v>
      </c>
    </row>
    <row r="1352" spans="1:9" hidden="1" x14ac:dyDescent="0.2">
      <c r="A1352" t="s">
        <v>496</v>
      </c>
      <c r="B1352" t="s">
        <v>810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 t="s">
        <v>790</v>
      </c>
    </row>
    <row r="1353" spans="1:9" hidden="1" x14ac:dyDescent="0.2">
      <c r="A1353" t="s">
        <v>496</v>
      </c>
      <c r="B1353" t="s">
        <v>813</v>
      </c>
      <c r="C1353">
        <v>1462.5000102545571</v>
      </c>
      <c r="D1353">
        <v>0</v>
      </c>
      <c r="E1353">
        <v>0</v>
      </c>
      <c r="F1353">
        <v>0</v>
      </c>
      <c r="G1353">
        <v>0</v>
      </c>
      <c r="H1353">
        <v>0</v>
      </c>
      <c r="I1353" t="s">
        <v>790</v>
      </c>
    </row>
    <row r="1354" spans="1:9" hidden="1" x14ac:dyDescent="0.2">
      <c r="A1354" s="90" t="s">
        <v>497</v>
      </c>
      <c r="B1354" t="s">
        <v>810</v>
      </c>
      <c r="C1354">
        <v>0</v>
      </c>
      <c r="D1354">
        <v>8.8875008779951909E-5</v>
      </c>
      <c r="E1354">
        <v>0</v>
      </c>
      <c r="F1354">
        <v>0</v>
      </c>
      <c r="G1354">
        <v>0</v>
      </c>
      <c r="H1354">
        <v>4.6267738412205997E-5</v>
      </c>
      <c r="I1354" t="s">
        <v>792</v>
      </c>
    </row>
    <row r="1355" spans="1:9" hidden="1" x14ac:dyDescent="0.2">
      <c r="A1355" s="90" t="s">
        <v>497</v>
      </c>
      <c r="B1355" t="s">
        <v>812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 t="s">
        <v>792</v>
      </c>
    </row>
    <row r="1356" spans="1:9" hidden="1" x14ac:dyDescent="0.2">
      <c r="A1356" t="s">
        <v>498</v>
      </c>
      <c r="B1356" t="s">
        <v>811</v>
      </c>
      <c r="I1356" t="s">
        <v>802</v>
      </c>
    </row>
    <row r="1357" spans="1:9" hidden="1" x14ac:dyDescent="0.2">
      <c r="A1357" t="s">
        <v>499</v>
      </c>
      <c r="B1357" t="s">
        <v>811</v>
      </c>
      <c r="I1357" t="s">
        <v>789</v>
      </c>
    </row>
    <row r="1358" spans="1:9" hidden="1" x14ac:dyDescent="0.2">
      <c r="A1358" t="s">
        <v>500</v>
      </c>
      <c r="B1358" t="s">
        <v>811</v>
      </c>
      <c r="I1358" t="s">
        <v>788</v>
      </c>
    </row>
    <row r="1359" spans="1:9" hidden="1" x14ac:dyDescent="0.2">
      <c r="A1359" t="s">
        <v>501</v>
      </c>
      <c r="B1359" t="s">
        <v>810</v>
      </c>
      <c r="I1359" t="s">
        <v>788</v>
      </c>
    </row>
    <row r="1360" spans="1:9" hidden="1" x14ac:dyDescent="0.2">
      <c r="A1360" t="s">
        <v>502</v>
      </c>
      <c r="B1360" t="s">
        <v>880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 t="s">
        <v>791</v>
      </c>
    </row>
    <row r="1361" spans="1:9" hidden="1" x14ac:dyDescent="0.2">
      <c r="A1361" t="s">
        <v>502</v>
      </c>
      <c r="B1361" t="s">
        <v>814</v>
      </c>
      <c r="C1361">
        <v>561.38805330091475</v>
      </c>
      <c r="D1361">
        <v>0</v>
      </c>
      <c r="E1361">
        <v>0</v>
      </c>
      <c r="F1361">
        <v>0</v>
      </c>
      <c r="G1361">
        <v>0</v>
      </c>
      <c r="H1361">
        <v>0</v>
      </c>
      <c r="I1361" t="s">
        <v>791</v>
      </c>
    </row>
    <row r="1362" spans="1:9" hidden="1" x14ac:dyDescent="0.2">
      <c r="A1362" t="s">
        <v>502</v>
      </c>
      <c r="B1362" t="s">
        <v>810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 t="s">
        <v>791</v>
      </c>
    </row>
    <row r="1363" spans="1:9" hidden="1" x14ac:dyDescent="0.2">
      <c r="A1363" t="s">
        <v>502</v>
      </c>
      <c r="B1363" t="s">
        <v>811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 t="s">
        <v>791</v>
      </c>
    </row>
    <row r="1364" spans="1:9" hidden="1" x14ac:dyDescent="0.2">
      <c r="A1364" t="s">
        <v>503</v>
      </c>
      <c r="B1364" t="s">
        <v>810</v>
      </c>
      <c r="I1364" t="s">
        <v>796</v>
      </c>
    </row>
    <row r="1365" spans="1:9" hidden="1" x14ac:dyDescent="0.2">
      <c r="A1365" t="s">
        <v>504</v>
      </c>
      <c r="B1365" t="s">
        <v>816</v>
      </c>
      <c r="C1365">
        <v>3.4479783494465919E-3</v>
      </c>
      <c r="D1365">
        <v>0</v>
      </c>
      <c r="E1365">
        <v>0</v>
      </c>
      <c r="F1365">
        <v>0</v>
      </c>
      <c r="G1365">
        <v>0</v>
      </c>
      <c r="H1365">
        <v>0</v>
      </c>
      <c r="I1365" t="s">
        <v>792</v>
      </c>
    </row>
    <row r="1366" spans="1:9" hidden="1" x14ac:dyDescent="0.2">
      <c r="A1366" t="s">
        <v>504</v>
      </c>
      <c r="B1366" t="s">
        <v>815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 t="s">
        <v>792</v>
      </c>
    </row>
    <row r="1367" spans="1:9" hidden="1" x14ac:dyDescent="0.2">
      <c r="A1367" t="s">
        <v>504</v>
      </c>
      <c r="B1367" t="s">
        <v>810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 t="s">
        <v>792</v>
      </c>
    </row>
    <row r="1368" spans="1:9" hidden="1" x14ac:dyDescent="0.2">
      <c r="A1368" t="s">
        <v>504</v>
      </c>
      <c r="B1368" t="s">
        <v>812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 t="s">
        <v>792</v>
      </c>
    </row>
    <row r="1369" spans="1:9" hidden="1" x14ac:dyDescent="0.2">
      <c r="A1369" t="s">
        <v>505</v>
      </c>
      <c r="B1369" t="s">
        <v>864</v>
      </c>
      <c r="C1369">
        <v>279.70679020597208</v>
      </c>
      <c r="E1369">
        <v>0</v>
      </c>
      <c r="F1369">
        <v>0</v>
      </c>
      <c r="G1369">
        <v>0</v>
      </c>
      <c r="H1369">
        <v>0</v>
      </c>
      <c r="I1369" t="s">
        <v>790</v>
      </c>
    </row>
    <row r="1370" spans="1:9" hidden="1" x14ac:dyDescent="0.2">
      <c r="A1370" t="s">
        <v>505</v>
      </c>
      <c r="B1370" t="s">
        <v>811</v>
      </c>
      <c r="C1370">
        <v>0</v>
      </c>
      <c r="E1370">
        <v>0</v>
      </c>
      <c r="F1370">
        <v>0</v>
      </c>
      <c r="G1370">
        <v>0</v>
      </c>
      <c r="H1370">
        <v>0</v>
      </c>
      <c r="I1370" t="s">
        <v>790</v>
      </c>
    </row>
    <row r="1371" spans="1:9" hidden="1" x14ac:dyDescent="0.2">
      <c r="A1371" t="s">
        <v>506</v>
      </c>
      <c r="B1371" t="s">
        <v>811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 t="s">
        <v>793</v>
      </c>
    </row>
    <row r="1372" spans="1:9" hidden="1" x14ac:dyDescent="0.2">
      <c r="A1372" t="s">
        <v>506</v>
      </c>
      <c r="B1372" t="s">
        <v>812</v>
      </c>
      <c r="C1372">
        <v>1.0237664348717781E-3</v>
      </c>
      <c r="D1372">
        <v>6.1468409223184323E-3</v>
      </c>
      <c r="E1372">
        <v>0</v>
      </c>
      <c r="F1372">
        <v>0</v>
      </c>
      <c r="G1372">
        <v>0</v>
      </c>
      <c r="H1372">
        <v>0</v>
      </c>
      <c r="I1372" t="s">
        <v>793</v>
      </c>
    </row>
    <row r="1373" spans="1:9" hidden="1" x14ac:dyDescent="0.2">
      <c r="A1373" t="s">
        <v>507</v>
      </c>
      <c r="B1373" t="s">
        <v>811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 t="s">
        <v>795</v>
      </c>
    </row>
    <row r="1374" spans="1:9" hidden="1" x14ac:dyDescent="0.2">
      <c r="A1374" t="s">
        <v>507</v>
      </c>
      <c r="B1374" t="s">
        <v>812</v>
      </c>
      <c r="C1374">
        <v>0</v>
      </c>
      <c r="D1374">
        <v>5.2224719454352169E-4</v>
      </c>
      <c r="E1374">
        <v>0</v>
      </c>
      <c r="F1374">
        <v>0</v>
      </c>
      <c r="G1374">
        <v>0</v>
      </c>
      <c r="H1374">
        <v>1.591098891058815E-4</v>
      </c>
      <c r="I1374" t="s">
        <v>795</v>
      </c>
    </row>
    <row r="1375" spans="1:9" hidden="1" x14ac:dyDescent="0.2">
      <c r="A1375" t="s">
        <v>508</v>
      </c>
      <c r="B1375" t="s">
        <v>810</v>
      </c>
      <c r="I1375" t="s">
        <v>796</v>
      </c>
    </row>
    <row r="1376" spans="1:9" hidden="1" x14ac:dyDescent="0.2">
      <c r="A1376" t="s">
        <v>509</v>
      </c>
      <c r="B1376" t="s">
        <v>810</v>
      </c>
      <c r="I1376" t="s">
        <v>796</v>
      </c>
    </row>
    <row r="1377" spans="1:9" hidden="1" x14ac:dyDescent="0.2">
      <c r="A1377" t="s">
        <v>510</v>
      </c>
      <c r="B1377" t="s">
        <v>810</v>
      </c>
      <c r="I1377" t="s">
        <v>796</v>
      </c>
    </row>
    <row r="1378" spans="1:9" hidden="1" x14ac:dyDescent="0.2">
      <c r="A1378" t="s">
        <v>511</v>
      </c>
      <c r="B1378" t="s">
        <v>810</v>
      </c>
      <c r="I1378" t="s">
        <v>796</v>
      </c>
    </row>
    <row r="1379" spans="1:9" hidden="1" x14ac:dyDescent="0.2">
      <c r="A1379" t="s">
        <v>512</v>
      </c>
      <c r="B1379" t="s">
        <v>881</v>
      </c>
      <c r="D1379">
        <v>0</v>
      </c>
      <c r="E1379">
        <v>0</v>
      </c>
      <c r="F1379">
        <v>0</v>
      </c>
      <c r="G1379">
        <v>0</v>
      </c>
      <c r="H1379">
        <v>0</v>
      </c>
      <c r="I1379" t="s">
        <v>792</v>
      </c>
    </row>
    <row r="1380" spans="1:9" hidden="1" x14ac:dyDescent="0.2">
      <c r="A1380" t="s">
        <v>512</v>
      </c>
      <c r="B1380" t="s">
        <v>812</v>
      </c>
      <c r="D1380">
        <v>0</v>
      </c>
      <c r="E1380">
        <v>0</v>
      </c>
      <c r="F1380">
        <v>0</v>
      </c>
      <c r="G1380">
        <v>0</v>
      </c>
      <c r="H1380">
        <v>0</v>
      </c>
      <c r="I1380" t="s">
        <v>792</v>
      </c>
    </row>
    <row r="1381" spans="1:9" hidden="1" x14ac:dyDescent="0.2">
      <c r="A1381" t="s">
        <v>513</v>
      </c>
      <c r="B1381" t="s">
        <v>882</v>
      </c>
      <c r="D1381">
        <v>0</v>
      </c>
      <c r="E1381">
        <v>0</v>
      </c>
      <c r="F1381">
        <v>0</v>
      </c>
      <c r="G1381">
        <v>0</v>
      </c>
      <c r="H1381">
        <v>0</v>
      </c>
      <c r="I1381" t="s">
        <v>792</v>
      </c>
    </row>
    <row r="1382" spans="1:9" hidden="1" x14ac:dyDescent="0.2">
      <c r="A1382" t="s">
        <v>513</v>
      </c>
      <c r="B1382" t="s">
        <v>812</v>
      </c>
      <c r="D1382">
        <v>0</v>
      </c>
      <c r="E1382">
        <v>0</v>
      </c>
      <c r="F1382">
        <v>0</v>
      </c>
      <c r="G1382">
        <v>0</v>
      </c>
      <c r="H1382">
        <v>0</v>
      </c>
      <c r="I1382" t="s">
        <v>792</v>
      </c>
    </row>
    <row r="1383" spans="1:9" hidden="1" x14ac:dyDescent="0.2">
      <c r="A1383" t="s">
        <v>514</v>
      </c>
      <c r="B1383" t="s">
        <v>835</v>
      </c>
      <c r="C1383">
        <v>8.7204476937658771E-4</v>
      </c>
      <c r="D1383">
        <v>8.3318892177451733</v>
      </c>
      <c r="E1383">
        <v>0</v>
      </c>
      <c r="F1383">
        <v>0</v>
      </c>
      <c r="G1383">
        <v>0</v>
      </c>
      <c r="H1383">
        <v>0</v>
      </c>
      <c r="I1383" t="s">
        <v>799</v>
      </c>
    </row>
    <row r="1384" spans="1:9" hidden="1" x14ac:dyDescent="0.2">
      <c r="A1384" t="s">
        <v>514</v>
      </c>
      <c r="B1384" t="s">
        <v>810</v>
      </c>
      <c r="C1384">
        <v>7.070639279536619E-5</v>
      </c>
      <c r="D1384">
        <v>0.52074460917200682</v>
      </c>
      <c r="E1384">
        <v>0</v>
      </c>
      <c r="F1384">
        <v>0</v>
      </c>
      <c r="G1384">
        <v>0</v>
      </c>
      <c r="H1384">
        <v>0</v>
      </c>
      <c r="I1384" t="s">
        <v>799</v>
      </c>
    </row>
    <row r="1385" spans="1:9" hidden="1" x14ac:dyDescent="0.2">
      <c r="A1385" t="s">
        <v>514</v>
      </c>
      <c r="B1385" t="s">
        <v>811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 t="s">
        <v>799</v>
      </c>
    </row>
    <row r="1386" spans="1:9" hidden="1" x14ac:dyDescent="0.2">
      <c r="A1386" t="s">
        <v>515</v>
      </c>
      <c r="B1386" t="s">
        <v>835</v>
      </c>
      <c r="C1386">
        <v>32.659578044806629</v>
      </c>
      <c r="D1386">
        <v>0</v>
      </c>
      <c r="E1386">
        <v>0</v>
      </c>
      <c r="F1386">
        <v>0</v>
      </c>
      <c r="G1386">
        <v>0</v>
      </c>
      <c r="H1386">
        <v>0</v>
      </c>
      <c r="I1386" t="s">
        <v>799</v>
      </c>
    </row>
    <row r="1387" spans="1:9" hidden="1" x14ac:dyDescent="0.2">
      <c r="A1387" t="s">
        <v>515</v>
      </c>
      <c r="B1387" t="s">
        <v>810</v>
      </c>
      <c r="C1387">
        <v>16.651261842736439</v>
      </c>
      <c r="D1387">
        <v>0</v>
      </c>
      <c r="E1387">
        <v>0</v>
      </c>
      <c r="F1387">
        <v>0</v>
      </c>
      <c r="G1387">
        <v>0</v>
      </c>
      <c r="H1387">
        <v>0</v>
      </c>
      <c r="I1387" t="s">
        <v>799</v>
      </c>
    </row>
    <row r="1388" spans="1:9" hidden="1" x14ac:dyDescent="0.2">
      <c r="A1388" t="s">
        <v>515</v>
      </c>
      <c r="B1388" t="s">
        <v>811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 t="s">
        <v>799</v>
      </c>
    </row>
    <row r="1389" spans="1:9" hidden="1" x14ac:dyDescent="0.2">
      <c r="A1389" t="s">
        <v>516</v>
      </c>
      <c r="B1389" t="s">
        <v>815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 t="s">
        <v>800</v>
      </c>
    </row>
    <row r="1390" spans="1:9" hidden="1" x14ac:dyDescent="0.2">
      <c r="A1390" t="s">
        <v>516</v>
      </c>
      <c r="B1390" t="s">
        <v>810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 t="s">
        <v>800</v>
      </c>
    </row>
    <row r="1391" spans="1:9" hidden="1" x14ac:dyDescent="0.2">
      <c r="A1391" t="s">
        <v>516</v>
      </c>
      <c r="B1391" t="s">
        <v>824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 t="s">
        <v>800</v>
      </c>
    </row>
    <row r="1392" spans="1:9" hidden="1" x14ac:dyDescent="0.2">
      <c r="A1392" t="s">
        <v>516</v>
      </c>
      <c r="B1392" t="s">
        <v>812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 t="s">
        <v>800</v>
      </c>
    </row>
    <row r="1393" spans="1:9" hidden="1" x14ac:dyDescent="0.2">
      <c r="A1393" t="s">
        <v>517</v>
      </c>
      <c r="B1393" t="s">
        <v>855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 t="s">
        <v>791</v>
      </c>
    </row>
    <row r="1394" spans="1:9" hidden="1" x14ac:dyDescent="0.2">
      <c r="A1394" t="s">
        <v>517</v>
      </c>
      <c r="B1394" t="s">
        <v>841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 t="s">
        <v>791</v>
      </c>
    </row>
    <row r="1395" spans="1:9" hidden="1" x14ac:dyDescent="0.2">
      <c r="A1395" t="s">
        <v>517</v>
      </c>
      <c r="B1395" t="s">
        <v>879</v>
      </c>
      <c r="C1395">
        <v>471.63278214120561</v>
      </c>
      <c r="D1395">
        <v>0</v>
      </c>
      <c r="E1395">
        <v>0</v>
      </c>
      <c r="F1395">
        <v>0</v>
      </c>
      <c r="G1395">
        <v>0</v>
      </c>
      <c r="H1395">
        <v>0</v>
      </c>
      <c r="I1395" t="s">
        <v>791</v>
      </c>
    </row>
    <row r="1396" spans="1:9" hidden="1" x14ac:dyDescent="0.2">
      <c r="A1396" t="s">
        <v>517</v>
      </c>
      <c r="B1396" t="s">
        <v>828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 t="s">
        <v>791</v>
      </c>
    </row>
    <row r="1397" spans="1:9" hidden="1" x14ac:dyDescent="0.2">
      <c r="A1397" t="s">
        <v>517</v>
      </c>
      <c r="B1397" t="s">
        <v>810</v>
      </c>
      <c r="C1397">
        <v>3.986692223350798</v>
      </c>
      <c r="D1397">
        <v>0</v>
      </c>
      <c r="E1397">
        <v>0</v>
      </c>
      <c r="F1397">
        <v>0</v>
      </c>
      <c r="G1397">
        <v>0</v>
      </c>
      <c r="H1397">
        <v>0</v>
      </c>
      <c r="I1397" t="s">
        <v>791</v>
      </c>
    </row>
    <row r="1398" spans="1:9" hidden="1" x14ac:dyDescent="0.2">
      <c r="A1398" t="s">
        <v>517</v>
      </c>
      <c r="B1398" t="s">
        <v>824</v>
      </c>
      <c r="C1398">
        <v>10.47534781933234</v>
      </c>
      <c r="D1398">
        <v>0</v>
      </c>
      <c r="E1398">
        <v>0</v>
      </c>
      <c r="F1398">
        <v>0</v>
      </c>
      <c r="G1398">
        <v>0</v>
      </c>
      <c r="H1398">
        <v>0</v>
      </c>
      <c r="I1398" t="s">
        <v>791</v>
      </c>
    </row>
    <row r="1399" spans="1:9" hidden="1" x14ac:dyDescent="0.2">
      <c r="A1399" t="s">
        <v>517</v>
      </c>
      <c r="B1399" t="s">
        <v>812</v>
      </c>
      <c r="C1399">
        <v>63.417143730369261</v>
      </c>
      <c r="D1399">
        <v>0</v>
      </c>
      <c r="E1399">
        <v>0</v>
      </c>
      <c r="F1399">
        <v>0</v>
      </c>
      <c r="G1399">
        <v>0</v>
      </c>
      <c r="H1399">
        <v>0</v>
      </c>
      <c r="I1399" t="s">
        <v>791</v>
      </c>
    </row>
    <row r="1400" spans="1:9" hidden="1" x14ac:dyDescent="0.2">
      <c r="A1400" t="s">
        <v>518</v>
      </c>
      <c r="B1400" t="s">
        <v>811</v>
      </c>
      <c r="C1400">
        <v>8475.4595498532362</v>
      </c>
      <c r="D1400">
        <v>0</v>
      </c>
      <c r="E1400">
        <v>0</v>
      </c>
      <c r="F1400">
        <v>0</v>
      </c>
      <c r="G1400">
        <v>0</v>
      </c>
      <c r="H1400">
        <v>0</v>
      </c>
      <c r="I1400" t="s">
        <v>793</v>
      </c>
    </row>
    <row r="1401" spans="1:9" hidden="1" x14ac:dyDescent="0.2">
      <c r="A1401" t="s">
        <v>519</v>
      </c>
      <c r="B1401" t="s">
        <v>811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 t="s">
        <v>793</v>
      </c>
    </row>
    <row r="1402" spans="1:9" hidden="1" x14ac:dyDescent="0.2">
      <c r="A1402" t="s">
        <v>520</v>
      </c>
      <c r="B1402" t="s">
        <v>811</v>
      </c>
      <c r="C1402">
        <v>6665.4562415057881</v>
      </c>
      <c r="D1402">
        <v>0</v>
      </c>
      <c r="E1402">
        <v>0</v>
      </c>
      <c r="F1402">
        <v>0</v>
      </c>
      <c r="G1402">
        <v>0</v>
      </c>
      <c r="H1402">
        <v>0</v>
      </c>
      <c r="I1402" t="s">
        <v>793</v>
      </c>
    </row>
    <row r="1403" spans="1:9" hidden="1" x14ac:dyDescent="0.2">
      <c r="A1403" t="s">
        <v>521</v>
      </c>
      <c r="B1403" t="s">
        <v>811</v>
      </c>
      <c r="C1403">
        <v>10125.60401608032</v>
      </c>
      <c r="D1403">
        <v>0</v>
      </c>
      <c r="E1403">
        <v>0</v>
      </c>
      <c r="F1403">
        <v>0</v>
      </c>
      <c r="G1403">
        <v>0</v>
      </c>
      <c r="H1403">
        <v>0</v>
      </c>
      <c r="I1403" t="s">
        <v>793</v>
      </c>
    </row>
    <row r="1404" spans="1:9" hidden="1" x14ac:dyDescent="0.2">
      <c r="A1404" t="s">
        <v>522</v>
      </c>
      <c r="B1404" t="s">
        <v>811</v>
      </c>
      <c r="I1404" t="s">
        <v>793</v>
      </c>
    </row>
    <row r="1405" spans="1:9" hidden="1" x14ac:dyDescent="0.2">
      <c r="A1405" t="s">
        <v>523</v>
      </c>
      <c r="B1405" t="s">
        <v>811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 t="s">
        <v>793</v>
      </c>
    </row>
    <row r="1406" spans="1:9" hidden="1" x14ac:dyDescent="0.2">
      <c r="A1406" t="s">
        <v>524</v>
      </c>
      <c r="B1406" t="s">
        <v>811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 t="s">
        <v>793</v>
      </c>
    </row>
    <row r="1407" spans="1:9" hidden="1" x14ac:dyDescent="0.2">
      <c r="A1407" t="s">
        <v>525</v>
      </c>
      <c r="B1407" t="s">
        <v>811</v>
      </c>
      <c r="I1407" t="s">
        <v>793</v>
      </c>
    </row>
    <row r="1408" spans="1:9" hidden="1" x14ac:dyDescent="0.2">
      <c r="A1408" t="s">
        <v>526</v>
      </c>
      <c r="B1408" t="s">
        <v>811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 t="s">
        <v>793</v>
      </c>
    </row>
    <row r="1409" spans="1:9" hidden="1" x14ac:dyDescent="0.2">
      <c r="A1409" t="s">
        <v>527</v>
      </c>
      <c r="B1409" t="s">
        <v>811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 t="s">
        <v>793</v>
      </c>
    </row>
    <row r="1410" spans="1:9" hidden="1" x14ac:dyDescent="0.2">
      <c r="A1410" t="s">
        <v>528</v>
      </c>
      <c r="B1410" t="s">
        <v>811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 t="s">
        <v>793</v>
      </c>
    </row>
    <row r="1411" spans="1:9" hidden="1" x14ac:dyDescent="0.2">
      <c r="A1411" t="s">
        <v>529</v>
      </c>
      <c r="B1411" t="s">
        <v>811</v>
      </c>
      <c r="I1411" t="s">
        <v>793</v>
      </c>
    </row>
    <row r="1412" spans="1:9" hidden="1" x14ac:dyDescent="0.2">
      <c r="A1412" t="s">
        <v>530</v>
      </c>
      <c r="B1412" t="s">
        <v>811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 t="s">
        <v>793</v>
      </c>
    </row>
    <row r="1413" spans="1:9" hidden="1" x14ac:dyDescent="0.2">
      <c r="A1413" t="s">
        <v>531</v>
      </c>
      <c r="B1413" t="s">
        <v>811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 t="s">
        <v>793</v>
      </c>
    </row>
    <row r="1414" spans="1:9" hidden="1" x14ac:dyDescent="0.2">
      <c r="A1414" t="s">
        <v>532</v>
      </c>
      <c r="B1414" t="s">
        <v>811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 t="s">
        <v>793</v>
      </c>
    </row>
    <row r="1415" spans="1:9" hidden="1" x14ac:dyDescent="0.2">
      <c r="A1415" t="s">
        <v>533</v>
      </c>
      <c r="B1415" t="s">
        <v>811</v>
      </c>
      <c r="C1415">
        <v>830.68262251260421</v>
      </c>
      <c r="D1415">
        <v>0</v>
      </c>
      <c r="E1415">
        <v>0</v>
      </c>
      <c r="F1415">
        <v>0</v>
      </c>
      <c r="G1415">
        <v>0</v>
      </c>
      <c r="H1415">
        <v>0</v>
      </c>
      <c r="I1415" t="s">
        <v>795</v>
      </c>
    </row>
    <row r="1416" spans="1:9" hidden="1" x14ac:dyDescent="0.2">
      <c r="A1416" t="s">
        <v>534</v>
      </c>
      <c r="B1416" t="s">
        <v>811</v>
      </c>
      <c r="C1416">
        <v>0</v>
      </c>
      <c r="I1416" t="s">
        <v>795</v>
      </c>
    </row>
    <row r="1417" spans="1:9" hidden="1" x14ac:dyDescent="0.2">
      <c r="A1417" t="s">
        <v>535</v>
      </c>
      <c r="B1417" t="s">
        <v>811</v>
      </c>
      <c r="C1417">
        <v>501.6243106833021</v>
      </c>
      <c r="D1417">
        <v>0</v>
      </c>
      <c r="E1417">
        <v>0</v>
      </c>
      <c r="I1417" t="s">
        <v>795</v>
      </c>
    </row>
    <row r="1418" spans="1:9" hidden="1" x14ac:dyDescent="0.2">
      <c r="A1418" t="s">
        <v>536</v>
      </c>
      <c r="B1418" t="s">
        <v>811</v>
      </c>
      <c r="C1418">
        <v>1263.832303357053</v>
      </c>
      <c r="D1418">
        <v>0</v>
      </c>
      <c r="E1418">
        <v>0</v>
      </c>
      <c r="F1418">
        <v>0</v>
      </c>
      <c r="G1418">
        <v>0</v>
      </c>
      <c r="H1418">
        <v>0</v>
      </c>
      <c r="I1418" t="s">
        <v>795</v>
      </c>
    </row>
    <row r="1419" spans="1:9" hidden="1" x14ac:dyDescent="0.2">
      <c r="A1419" t="s">
        <v>537</v>
      </c>
      <c r="B1419" t="s">
        <v>811</v>
      </c>
      <c r="C1419">
        <v>5290.7117347313388</v>
      </c>
      <c r="D1419">
        <v>0</v>
      </c>
      <c r="E1419">
        <v>0</v>
      </c>
      <c r="F1419">
        <v>0</v>
      </c>
      <c r="G1419">
        <v>0</v>
      </c>
      <c r="H1419">
        <v>0</v>
      </c>
      <c r="I1419" t="s">
        <v>795</v>
      </c>
    </row>
    <row r="1420" spans="1:9" hidden="1" x14ac:dyDescent="0.2">
      <c r="A1420" t="s">
        <v>538</v>
      </c>
      <c r="B1420" t="s">
        <v>811</v>
      </c>
      <c r="C1420">
        <v>0</v>
      </c>
      <c r="I1420" t="s">
        <v>795</v>
      </c>
    </row>
    <row r="1421" spans="1:9" hidden="1" x14ac:dyDescent="0.2">
      <c r="A1421" t="s">
        <v>539</v>
      </c>
      <c r="B1421" t="s">
        <v>811</v>
      </c>
      <c r="C1421">
        <v>559.0285992229708</v>
      </c>
      <c r="D1421">
        <v>0</v>
      </c>
      <c r="E1421">
        <v>0</v>
      </c>
      <c r="I1421" t="s">
        <v>795</v>
      </c>
    </row>
    <row r="1422" spans="1:9" hidden="1" x14ac:dyDescent="0.2">
      <c r="A1422" t="s">
        <v>540</v>
      </c>
      <c r="B1422" t="s">
        <v>811</v>
      </c>
      <c r="C1422">
        <v>299.84097862709251</v>
      </c>
      <c r="D1422">
        <v>0</v>
      </c>
      <c r="E1422">
        <v>0</v>
      </c>
      <c r="F1422">
        <v>0</v>
      </c>
      <c r="G1422">
        <v>0</v>
      </c>
      <c r="H1422">
        <v>0</v>
      </c>
      <c r="I1422" t="s">
        <v>795</v>
      </c>
    </row>
    <row r="1423" spans="1:9" hidden="1" x14ac:dyDescent="0.2">
      <c r="A1423" t="s">
        <v>541</v>
      </c>
      <c r="B1423" t="s">
        <v>811</v>
      </c>
      <c r="C1423">
        <v>435.19605278512802</v>
      </c>
      <c r="D1423">
        <v>0</v>
      </c>
      <c r="E1423">
        <v>0</v>
      </c>
      <c r="F1423">
        <v>0</v>
      </c>
      <c r="G1423">
        <v>0</v>
      </c>
      <c r="H1423">
        <v>0</v>
      </c>
      <c r="I1423" t="s">
        <v>795</v>
      </c>
    </row>
    <row r="1424" spans="1:9" hidden="1" x14ac:dyDescent="0.2">
      <c r="A1424" t="s">
        <v>542</v>
      </c>
      <c r="B1424" t="s">
        <v>811</v>
      </c>
      <c r="C1424">
        <v>1897.2600378875741</v>
      </c>
      <c r="D1424">
        <v>0</v>
      </c>
      <c r="E1424">
        <v>0</v>
      </c>
      <c r="F1424">
        <v>0</v>
      </c>
      <c r="G1424">
        <v>0</v>
      </c>
      <c r="H1424">
        <v>0</v>
      </c>
      <c r="I1424" t="s">
        <v>795</v>
      </c>
    </row>
    <row r="1425" spans="1:9" hidden="1" x14ac:dyDescent="0.2">
      <c r="A1425" t="s">
        <v>543</v>
      </c>
      <c r="B1425" t="s">
        <v>811</v>
      </c>
      <c r="C1425">
        <v>0</v>
      </c>
      <c r="I1425" t="s">
        <v>795</v>
      </c>
    </row>
    <row r="1426" spans="1:9" hidden="1" x14ac:dyDescent="0.2">
      <c r="A1426" t="s">
        <v>544</v>
      </c>
      <c r="B1426" t="s">
        <v>811</v>
      </c>
      <c r="C1426">
        <v>2834.7669635489651</v>
      </c>
      <c r="D1426">
        <v>0</v>
      </c>
      <c r="E1426">
        <v>0</v>
      </c>
      <c r="I1426" t="s">
        <v>795</v>
      </c>
    </row>
    <row r="1427" spans="1:9" hidden="1" x14ac:dyDescent="0.2">
      <c r="A1427" t="s">
        <v>545</v>
      </c>
      <c r="B1427" t="s">
        <v>811</v>
      </c>
      <c r="C1427">
        <v>487.70237552207442</v>
      </c>
      <c r="D1427">
        <v>0</v>
      </c>
      <c r="E1427">
        <v>0</v>
      </c>
      <c r="F1427">
        <v>0</v>
      </c>
      <c r="G1427">
        <v>0</v>
      </c>
      <c r="H1427">
        <v>0</v>
      </c>
      <c r="I1427" t="s">
        <v>795</v>
      </c>
    </row>
    <row r="1428" spans="1:9" hidden="1" x14ac:dyDescent="0.2">
      <c r="A1428" t="s">
        <v>546</v>
      </c>
      <c r="B1428" t="s">
        <v>811</v>
      </c>
      <c r="C1428">
        <v>160.02728024227321</v>
      </c>
      <c r="D1428">
        <v>0</v>
      </c>
      <c r="E1428">
        <v>0</v>
      </c>
      <c r="F1428">
        <v>0</v>
      </c>
      <c r="G1428">
        <v>0</v>
      </c>
      <c r="H1428">
        <v>0</v>
      </c>
      <c r="I1428" t="s">
        <v>795</v>
      </c>
    </row>
    <row r="1429" spans="1:9" hidden="1" x14ac:dyDescent="0.2">
      <c r="A1429" t="s">
        <v>547</v>
      </c>
      <c r="B1429" t="s">
        <v>811</v>
      </c>
      <c r="C1429">
        <v>1395.378534464857</v>
      </c>
      <c r="D1429">
        <v>0</v>
      </c>
      <c r="E1429">
        <v>0</v>
      </c>
      <c r="F1429">
        <v>0</v>
      </c>
      <c r="G1429">
        <v>0</v>
      </c>
      <c r="H1429">
        <v>0</v>
      </c>
      <c r="I1429" t="s">
        <v>795</v>
      </c>
    </row>
    <row r="1430" spans="1:9" hidden="1" x14ac:dyDescent="0.2">
      <c r="A1430" t="s">
        <v>548</v>
      </c>
      <c r="B1430" t="s">
        <v>811</v>
      </c>
      <c r="C1430">
        <v>0</v>
      </c>
      <c r="I1430" t="s">
        <v>795</v>
      </c>
    </row>
    <row r="1431" spans="1:9" hidden="1" x14ac:dyDescent="0.2">
      <c r="A1431" t="s">
        <v>549</v>
      </c>
      <c r="B1431" t="s">
        <v>811</v>
      </c>
      <c r="C1431">
        <v>344.39120103746041</v>
      </c>
      <c r="D1431">
        <v>0</v>
      </c>
      <c r="E1431">
        <v>0</v>
      </c>
      <c r="I1431" t="s">
        <v>795</v>
      </c>
    </row>
    <row r="1432" spans="1:9" hidden="1" x14ac:dyDescent="0.2">
      <c r="A1432" t="s">
        <v>550</v>
      </c>
      <c r="B1432" t="s">
        <v>811</v>
      </c>
      <c r="C1432">
        <v>112.5032047901461</v>
      </c>
      <c r="D1432">
        <v>0</v>
      </c>
      <c r="E1432">
        <v>0</v>
      </c>
      <c r="F1432">
        <v>0</v>
      </c>
      <c r="G1432">
        <v>0</v>
      </c>
      <c r="H1432">
        <v>0</v>
      </c>
      <c r="I1432" t="s">
        <v>795</v>
      </c>
    </row>
    <row r="1433" spans="1:9" hidden="1" x14ac:dyDescent="0.2">
      <c r="A1433" t="s">
        <v>551</v>
      </c>
      <c r="B1433" t="s">
        <v>811</v>
      </c>
      <c r="C1433">
        <v>241.4951875069041</v>
      </c>
      <c r="D1433">
        <v>0</v>
      </c>
      <c r="E1433">
        <v>0</v>
      </c>
      <c r="F1433">
        <v>0</v>
      </c>
      <c r="G1433">
        <v>0</v>
      </c>
      <c r="H1433">
        <v>0</v>
      </c>
      <c r="I1433" t="s">
        <v>795</v>
      </c>
    </row>
    <row r="1434" spans="1:9" hidden="1" x14ac:dyDescent="0.2">
      <c r="A1434" t="s">
        <v>552</v>
      </c>
      <c r="B1434" t="s">
        <v>811</v>
      </c>
      <c r="C1434">
        <v>1068.7596484066171</v>
      </c>
      <c r="D1434">
        <v>0</v>
      </c>
      <c r="E1434">
        <v>0</v>
      </c>
      <c r="F1434">
        <v>0</v>
      </c>
      <c r="G1434">
        <v>0</v>
      </c>
      <c r="H1434">
        <v>0</v>
      </c>
      <c r="I1434" t="s">
        <v>795</v>
      </c>
    </row>
    <row r="1435" spans="1:9" hidden="1" x14ac:dyDescent="0.2">
      <c r="A1435" t="s">
        <v>553</v>
      </c>
      <c r="B1435" t="s">
        <v>811</v>
      </c>
      <c r="C1435">
        <v>0</v>
      </c>
      <c r="I1435" t="s">
        <v>795</v>
      </c>
    </row>
    <row r="1436" spans="1:9" hidden="1" x14ac:dyDescent="0.2">
      <c r="A1436" t="s">
        <v>554</v>
      </c>
      <c r="B1436" t="s">
        <v>811</v>
      </c>
      <c r="C1436">
        <v>1510.287442033087</v>
      </c>
      <c r="D1436">
        <v>0</v>
      </c>
      <c r="E1436">
        <v>0</v>
      </c>
      <c r="I1436" t="s">
        <v>795</v>
      </c>
    </row>
    <row r="1437" spans="1:9" hidden="1" x14ac:dyDescent="0.2">
      <c r="A1437" t="s">
        <v>555</v>
      </c>
      <c r="B1437" t="s">
        <v>811</v>
      </c>
      <c r="C1437">
        <v>1565.575926207229</v>
      </c>
      <c r="D1437">
        <v>0</v>
      </c>
      <c r="E1437">
        <v>0</v>
      </c>
      <c r="F1437">
        <v>0</v>
      </c>
      <c r="G1437">
        <v>0</v>
      </c>
      <c r="H1437">
        <v>0</v>
      </c>
      <c r="I1437" t="s">
        <v>795</v>
      </c>
    </row>
    <row r="1438" spans="1:9" hidden="1" x14ac:dyDescent="0.2">
      <c r="A1438" t="s">
        <v>556</v>
      </c>
      <c r="B1438" t="s">
        <v>811</v>
      </c>
      <c r="C1438">
        <v>3621.2590430377932</v>
      </c>
      <c r="D1438">
        <v>0</v>
      </c>
      <c r="E1438">
        <v>0</v>
      </c>
      <c r="F1438">
        <v>0</v>
      </c>
      <c r="G1438">
        <v>0</v>
      </c>
      <c r="H1438">
        <v>0</v>
      </c>
      <c r="I1438" t="s">
        <v>795</v>
      </c>
    </row>
    <row r="1439" spans="1:9" hidden="1" x14ac:dyDescent="0.2">
      <c r="A1439" t="s">
        <v>557</v>
      </c>
      <c r="B1439" t="s">
        <v>811</v>
      </c>
      <c r="C1439">
        <v>10346.142541156651</v>
      </c>
      <c r="D1439">
        <v>0</v>
      </c>
      <c r="E1439">
        <v>0</v>
      </c>
      <c r="F1439">
        <v>0</v>
      </c>
      <c r="G1439">
        <v>0</v>
      </c>
      <c r="H1439">
        <v>0</v>
      </c>
      <c r="I1439" t="s">
        <v>795</v>
      </c>
    </row>
    <row r="1440" spans="1:9" hidden="1" x14ac:dyDescent="0.2">
      <c r="A1440" t="s">
        <v>558</v>
      </c>
      <c r="B1440" t="s">
        <v>815</v>
      </c>
      <c r="C1440">
        <v>0</v>
      </c>
      <c r="I1440" t="s">
        <v>808</v>
      </c>
    </row>
    <row r="1441" spans="1:9" hidden="1" x14ac:dyDescent="0.2">
      <c r="A1441" t="s">
        <v>558</v>
      </c>
      <c r="B1441" t="s">
        <v>810</v>
      </c>
      <c r="C1441">
        <v>0</v>
      </c>
      <c r="I1441" t="s">
        <v>808</v>
      </c>
    </row>
    <row r="1442" spans="1:9" hidden="1" x14ac:dyDescent="0.2">
      <c r="A1442" t="s">
        <v>558</v>
      </c>
      <c r="B1442" t="s">
        <v>822</v>
      </c>
      <c r="C1442">
        <v>0</v>
      </c>
      <c r="I1442" t="s">
        <v>808</v>
      </c>
    </row>
    <row r="1443" spans="1:9" hidden="1" x14ac:dyDescent="0.2">
      <c r="A1443" t="s">
        <v>559</v>
      </c>
      <c r="B1443" t="s">
        <v>816</v>
      </c>
      <c r="C1443">
        <v>0</v>
      </c>
      <c r="D1443">
        <v>0.16562069765973661</v>
      </c>
      <c r="E1443">
        <v>0</v>
      </c>
      <c r="F1443">
        <v>0</v>
      </c>
      <c r="G1443">
        <v>0</v>
      </c>
      <c r="H1443">
        <v>0</v>
      </c>
      <c r="I1443" t="s">
        <v>802</v>
      </c>
    </row>
    <row r="1444" spans="1:9" hidden="1" x14ac:dyDescent="0.2">
      <c r="A1444" t="s">
        <v>559</v>
      </c>
      <c r="B1444" t="s">
        <v>824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 t="s">
        <v>802</v>
      </c>
    </row>
    <row r="1445" spans="1:9" hidden="1" x14ac:dyDescent="0.2">
      <c r="A1445" t="s">
        <v>560</v>
      </c>
      <c r="B1445" t="s">
        <v>816</v>
      </c>
      <c r="C1445">
        <v>882.99857946978841</v>
      </c>
      <c r="D1445">
        <v>0</v>
      </c>
      <c r="E1445">
        <v>0</v>
      </c>
      <c r="F1445">
        <v>0</v>
      </c>
      <c r="G1445">
        <v>0</v>
      </c>
      <c r="H1445">
        <v>0</v>
      </c>
      <c r="I1445" t="s">
        <v>802</v>
      </c>
    </row>
    <row r="1446" spans="1:9" hidden="1" x14ac:dyDescent="0.2">
      <c r="A1446" t="s">
        <v>560</v>
      </c>
      <c r="B1446" t="s">
        <v>810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 t="s">
        <v>802</v>
      </c>
    </row>
    <row r="1447" spans="1:9" hidden="1" x14ac:dyDescent="0.2">
      <c r="A1447" t="s">
        <v>560</v>
      </c>
      <c r="B1447" t="s">
        <v>811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 t="s">
        <v>802</v>
      </c>
    </row>
    <row r="1448" spans="1:9" hidden="1" x14ac:dyDescent="0.2">
      <c r="A1448" t="s">
        <v>561</v>
      </c>
      <c r="B1448" t="s">
        <v>838</v>
      </c>
      <c r="C1448">
        <v>0.64754298385122211</v>
      </c>
      <c r="D1448">
        <v>0</v>
      </c>
      <c r="E1448">
        <v>0</v>
      </c>
      <c r="F1448">
        <v>0</v>
      </c>
      <c r="G1448">
        <v>0</v>
      </c>
      <c r="H1448">
        <v>0</v>
      </c>
      <c r="I1448" t="s">
        <v>802</v>
      </c>
    </row>
    <row r="1449" spans="1:9" hidden="1" x14ac:dyDescent="0.2">
      <c r="A1449" t="s">
        <v>561</v>
      </c>
      <c r="B1449" t="s">
        <v>824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 t="s">
        <v>802</v>
      </c>
    </row>
    <row r="1450" spans="1:9" hidden="1" x14ac:dyDescent="0.2">
      <c r="A1450" t="s">
        <v>561</v>
      </c>
      <c r="B1450" t="s">
        <v>817</v>
      </c>
      <c r="C1450">
        <v>7.1119210930590304</v>
      </c>
      <c r="D1450">
        <v>0</v>
      </c>
      <c r="E1450">
        <v>0</v>
      </c>
      <c r="F1450">
        <v>0</v>
      </c>
      <c r="G1450">
        <v>0</v>
      </c>
      <c r="H1450">
        <v>0</v>
      </c>
      <c r="I1450" t="s">
        <v>802</v>
      </c>
    </row>
    <row r="1451" spans="1:9" hidden="1" x14ac:dyDescent="0.2">
      <c r="A1451" t="s">
        <v>562</v>
      </c>
      <c r="B1451" t="s">
        <v>836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 t="s">
        <v>802</v>
      </c>
    </row>
    <row r="1452" spans="1:9" hidden="1" x14ac:dyDescent="0.2">
      <c r="A1452" t="s">
        <v>562</v>
      </c>
      <c r="B1452" t="s">
        <v>866</v>
      </c>
      <c r="C1452">
        <v>1.267680891453955E-4</v>
      </c>
      <c r="D1452">
        <v>2.4911791376247918E-3</v>
      </c>
      <c r="E1452">
        <v>0</v>
      </c>
      <c r="F1452">
        <v>0.55789791328709759</v>
      </c>
      <c r="G1452">
        <v>15.19895522245193</v>
      </c>
      <c r="H1452">
        <v>0</v>
      </c>
      <c r="I1452" t="s">
        <v>802</v>
      </c>
    </row>
    <row r="1453" spans="1:9" hidden="1" x14ac:dyDescent="0.2">
      <c r="A1453" t="s">
        <v>562</v>
      </c>
      <c r="B1453" t="s">
        <v>811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 t="s">
        <v>802</v>
      </c>
    </row>
    <row r="1454" spans="1:9" hidden="1" x14ac:dyDescent="0.2">
      <c r="A1454" t="s">
        <v>563</v>
      </c>
      <c r="B1454" t="s">
        <v>816</v>
      </c>
      <c r="C1454">
        <v>0</v>
      </c>
      <c r="I1454" t="s">
        <v>802</v>
      </c>
    </row>
    <row r="1455" spans="1:9" hidden="1" x14ac:dyDescent="0.2">
      <c r="A1455" t="s">
        <v>563</v>
      </c>
      <c r="B1455" t="s">
        <v>836</v>
      </c>
      <c r="C1455">
        <v>0</v>
      </c>
      <c r="I1455" t="s">
        <v>802</v>
      </c>
    </row>
    <row r="1456" spans="1:9" hidden="1" x14ac:dyDescent="0.2">
      <c r="A1456" t="s">
        <v>564</v>
      </c>
      <c r="B1456" t="s">
        <v>835</v>
      </c>
      <c r="C1456">
        <v>2.1473924723151871E-4</v>
      </c>
      <c r="D1456">
        <v>5.0660026898176141E-4</v>
      </c>
      <c r="E1456">
        <v>1.363447085575103E-3</v>
      </c>
      <c r="F1456">
        <v>0</v>
      </c>
      <c r="G1456">
        <v>0</v>
      </c>
      <c r="H1456">
        <v>0</v>
      </c>
      <c r="I1456" t="s">
        <v>802</v>
      </c>
    </row>
    <row r="1457" spans="1:9" hidden="1" x14ac:dyDescent="0.2">
      <c r="A1457" t="s">
        <v>564</v>
      </c>
      <c r="B1457" t="s">
        <v>810</v>
      </c>
      <c r="C1457">
        <v>6.4595285922387668E-6</v>
      </c>
      <c r="D1457">
        <v>1.7288028520236301E-5</v>
      </c>
      <c r="E1457">
        <v>4.0903422630570471E-5</v>
      </c>
      <c r="F1457">
        <v>0</v>
      </c>
      <c r="G1457">
        <v>0</v>
      </c>
      <c r="H1457">
        <v>0</v>
      </c>
      <c r="I1457" t="s">
        <v>802</v>
      </c>
    </row>
    <row r="1458" spans="1:9" hidden="1" x14ac:dyDescent="0.2">
      <c r="A1458" t="s">
        <v>564</v>
      </c>
      <c r="B1458" t="s">
        <v>824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 t="s">
        <v>802</v>
      </c>
    </row>
    <row r="1459" spans="1:9" hidden="1" x14ac:dyDescent="0.2">
      <c r="A1459" t="s">
        <v>565</v>
      </c>
      <c r="B1459" t="s">
        <v>810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 t="s">
        <v>802</v>
      </c>
    </row>
    <row r="1460" spans="1:9" hidden="1" x14ac:dyDescent="0.2">
      <c r="A1460" t="s">
        <v>566</v>
      </c>
      <c r="B1460" t="s">
        <v>824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 t="s">
        <v>802</v>
      </c>
    </row>
    <row r="1461" spans="1:9" hidden="1" x14ac:dyDescent="0.2">
      <c r="A1461" t="s">
        <v>566</v>
      </c>
      <c r="B1461" t="s">
        <v>822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 t="s">
        <v>802</v>
      </c>
    </row>
    <row r="1462" spans="1:9" hidden="1" x14ac:dyDescent="0.2">
      <c r="A1462" t="s">
        <v>566</v>
      </c>
      <c r="B1462" t="s">
        <v>811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 t="s">
        <v>802</v>
      </c>
    </row>
    <row r="1463" spans="1:9" hidden="1" x14ac:dyDescent="0.2">
      <c r="A1463" t="s">
        <v>567</v>
      </c>
      <c r="B1463" t="s">
        <v>810</v>
      </c>
      <c r="D1463">
        <v>0</v>
      </c>
      <c r="F1463">
        <v>0</v>
      </c>
      <c r="G1463">
        <v>0</v>
      </c>
      <c r="I1463" t="s">
        <v>802</v>
      </c>
    </row>
    <row r="1464" spans="1:9" hidden="1" x14ac:dyDescent="0.2">
      <c r="A1464" t="s">
        <v>568</v>
      </c>
      <c r="B1464" t="s">
        <v>811</v>
      </c>
      <c r="E1464">
        <v>0</v>
      </c>
      <c r="F1464">
        <v>0</v>
      </c>
      <c r="G1464">
        <v>0</v>
      </c>
      <c r="H1464">
        <v>0</v>
      </c>
      <c r="I1464" t="s">
        <v>802</v>
      </c>
    </row>
    <row r="1465" spans="1:9" hidden="1" x14ac:dyDescent="0.2">
      <c r="A1465" t="s">
        <v>569</v>
      </c>
      <c r="B1465" t="s">
        <v>810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 t="s">
        <v>802</v>
      </c>
    </row>
    <row r="1466" spans="1:9" hidden="1" x14ac:dyDescent="0.2">
      <c r="A1466" t="s">
        <v>569</v>
      </c>
      <c r="B1466" t="s">
        <v>824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 t="s">
        <v>802</v>
      </c>
    </row>
    <row r="1467" spans="1:9" hidden="1" x14ac:dyDescent="0.2">
      <c r="A1467" t="s">
        <v>570</v>
      </c>
      <c r="B1467" t="s">
        <v>810</v>
      </c>
      <c r="C1467">
        <v>57.596791276438047</v>
      </c>
      <c r="D1467">
        <v>0</v>
      </c>
      <c r="E1467">
        <v>0</v>
      </c>
      <c r="F1467">
        <v>0</v>
      </c>
      <c r="G1467">
        <v>0</v>
      </c>
      <c r="H1467">
        <v>0</v>
      </c>
      <c r="I1467" t="s">
        <v>802</v>
      </c>
    </row>
    <row r="1468" spans="1:9" hidden="1" x14ac:dyDescent="0.2">
      <c r="A1468" t="s">
        <v>570</v>
      </c>
      <c r="B1468" t="s">
        <v>819</v>
      </c>
      <c r="C1468">
        <v>183.31849519557281</v>
      </c>
      <c r="D1468">
        <v>0</v>
      </c>
      <c r="E1468">
        <v>0</v>
      </c>
      <c r="F1468">
        <v>0</v>
      </c>
      <c r="G1468">
        <v>0</v>
      </c>
      <c r="H1468">
        <v>0</v>
      </c>
      <c r="I1468" t="s">
        <v>802</v>
      </c>
    </row>
    <row r="1469" spans="1:9" hidden="1" x14ac:dyDescent="0.2">
      <c r="A1469" t="s">
        <v>570</v>
      </c>
      <c r="B1469" t="s">
        <v>811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 t="s">
        <v>802</v>
      </c>
    </row>
    <row r="1470" spans="1:9" hidden="1" x14ac:dyDescent="0.2">
      <c r="A1470" t="s">
        <v>571</v>
      </c>
      <c r="B1470" t="s">
        <v>814</v>
      </c>
      <c r="C1470">
        <v>0</v>
      </c>
      <c r="D1470">
        <v>4.2274737095501771E-3</v>
      </c>
      <c r="E1470">
        <v>14.444196596835029</v>
      </c>
      <c r="F1470">
        <v>7.3080712832950923E-2</v>
      </c>
      <c r="G1470">
        <v>0</v>
      </c>
      <c r="I1470" t="s">
        <v>802</v>
      </c>
    </row>
    <row r="1471" spans="1:9" hidden="1" x14ac:dyDescent="0.2">
      <c r="A1471" t="s">
        <v>571</v>
      </c>
      <c r="B1471" t="s">
        <v>824</v>
      </c>
      <c r="C1471">
        <v>0</v>
      </c>
      <c r="D1471">
        <v>0</v>
      </c>
      <c r="E1471">
        <v>0</v>
      </c>
      <c r="F1471">
        <v>0</v>
      </c>
      <c r="G1471">
        <v>0</v>
      </c>
      <c r="I1471" t="s">
        <v>802</v>
      </c>
    </row>
    <row r="1472" spans="1:9" hidden="1" x14ac:dyDescent="0.2">
      <c r="A1472" t="s">
        <v>572</v>
      </c>
      <c r="B1472" t="s">
        <v>816</v>
      </c>
      <c r="C1472">
        <v>0</v>
      </c>
      <c r="D1472">
        <v>0.96867873493266432</v>
      </c>
      <c r="E1472">
        <v>0</v>
      </c>
      <c r="F1472">
        <v>0</v>
      </c>
      <c r="G1472">
        <v>0</v>
      </c>
      <c r="H1472">
        <v>0</v>
      </c>
      <c r="I1472" t="s">
        <v>802</v>
      </c>
    </row>
    <row r="1473" spans="1:9" hidden="1" x14ac:dyDescent="0.2">
      <c r="A1473" t="s">
        <v>572</v>
      </c>
      <c r="B1473" t="s">
        <v>824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 t="s">
        <v>802</v>
      </c>
    </row>
    <row r="1474" spans="1:9" hidden="1" x14ac:dyDescent="0.2">
      <c r="A1474" t="s">
        <v>573</v>
      </c>
      <c r="B1474" t="s">
        <v>824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 t="s">
        <v>802</v>
      </c>
    </row>
    <row r="1475" spans="1:9" hidden="1" x14ac:dyDescent="0.2">
      <c r="A1475" t="s">
        <v>573</v>
      </c>
      <c r="B1475" t="s">
        <v>812</v>
      </c>
      <c r="C1475">
        <v>0</v>
      </c>
      <c r="D1475">
        <v>4.3791253000028979E-4</v>
      </c>
      <c r="E1475">
        <v>0</v>
      </c>
      <c r="F1475">
        <v>0</v>
      </c>
      <c r="G1475">
        <v>0</v>
      </c>
      <c r="H1475">
        <v>0</v>
      </c>
      <c r="I1475" t="s">
        <v>802</v>
      </c>
    </row>
    <row r="1476" spans="1:9" hidden="1" x14ac:dyDescent="0.2">
      <c r="A1476" t="s">
        <v>574</v>
      </c>
      <c r="B1476" t="s">
        <v>866</v>
      </c>
      <c r="C1476">
        <v>79.38775713295604</v>
      </c>
      <c r="D1476">
        <v>0</v>
      </c>
      <c r="E1476">
        <v>0</v>
      </c>
      <c r="F1476">
        <v>0</v>
      </c>
      <c r="G1476">
        <v>0</v>
      </c>
      <c r="H1476">
        <v>0</v>
      </c>
      <c r="I1476" t="s">
        <v>802</v>
      </c>
    </row>
    <row r="1477" spans="1:9" hidden="1" x14ac:dyDescent="0.2">
      <c r="A1477" t="s">
        <v>574</v>
      </c>
      <c r="B1477" t="s">
        <v>810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 t="s">
        <v>802</v>
      </c>
    </row>
    <row r="1478" spans="1:9" hidden="1" x14ac:dyDescent="0.2">
      <c r="A1478" t="s">
        <v>574</v>
      </c>
      <c r="B1478" t="s">
        <v>811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 t="s">
        <v>802</v>
      </c>
    </row>
    <row r="1479" spans="1:9" hidden="1" x14ac:dyDescent="0.2">
      <c r="A1479" t="s">
        <v>575</v>
      </c>
      <c r="B1479" t="s">
        <v>810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 t="s">
        <v>789</v>
      </c>
    </row>
    <row r="1480" spans="1:9" hidden="1" x14ac:dyDescent="0.2">
      <c r="A1480" t="s">
        <v>575</v>
      </c>
      <c r="B1480" t="s">
        <v>824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 t="s">
        <v>789</v>
      </c>
    </row>
    <row r="1481" spans="1:9" hidden="1" x14ac:dyDescent="0.2">
      <c r="A1481" t="s">
        <v>576</v>
      </c>
      <c r="B1481" t="s">
        <v>810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 t="s">
        <v>789</v>
      </c>
    </row>
    <row r="1482" spans="1:9" hidden="1" x14ac:dyDescent="0.2">
      <c r="A1482" t="s">
        <v>576</v>
      </c>
      <c r="B1482" t="s">
        <v>824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 t="s">
        <v>789</v>
      </c>
    </row>
    <row r="1483" spans="1:9" hidden="1" x14ac:dyDescent="0.2">
      <c r="A1483" t="s">
        <v>577</v>
      </c>
      <c r="B1483" t="s">
        <v>816</v>
      </c>
      <c r="C1483">
        <v>0</v>
      </c>
      <c r="D1483">
        <v>0.77763431551589568</v>
      </c>
      <c r="E1483">
        <v>0</v>
      </c>
      <c r="F1483">
        <v>0</v>
      </c>
      <c r="G1483">
        <v>0</v>
      </c>
      <c r="H1483">
        <v>0</v>
      </c>
      <c r="I1483" t="s">
        <v>789</v>
      </c>
    </row>
    <row r="1484" spans="1:9" hidden="1" x14ac:dyDescent="0.2">
      <c r="A1484" t="s">
        <v>577</v>
      </c>
      <c r="B1484" t="s">
        <v>824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 t="s">
        <v>789</v>
      </c>
    </row>
    <row r="1485" spans="1:9" hidden="1" x14ac:dyDescent="0.2">
      <c r="A1485" t="s">
        <v>578</v>
      </c>
      <c r="B1485" t="s">
        <v>824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 t="s">
        <v>789</v>
      </c>
    </row>
    <row r="1486" spans="1:9" hidden="1" x14ac:dyDescent="0.2">
      <c r="A1486" t="s">
        <v>578</v>
      </c>
      <c r="B1486" t="s">
        <v>812</v>
      </c>
      <c r="C1486">
        <v>0</v>
      </c>
      <c r="D1486">
        <v>5.2064087663776938E-4</v>
      </c>
      <c r="E1486">
        <v>0</v>
      </c>
      <c r="F1486">
        <v>0</v>
      </c>
      <c r="G1486">
        <v>0</v>
      </c>
      <c r="H1486">
        <v>0</v>
      </c>
      <c r="I1486" t="s">
        <v>789</v>
      </c>
    </row>
    <row r="1487" spans="1:9" hidden="1" x14ac:dyDescent="0.2">
      <c r="A1487" t="s">
        <v>579</v>
      </c>
      <c r="B1487" t="s">
        <v>810</v>
      </c>
      <c r="C1487">
        <v>0</v>
      </c>
      <c r="D1487">
        <v>1.001884010698983E-4</v>
      </c>
      <c r="E1487">
        <v>0.35502192464978682</v>
      </c>
      <c r="F1487">
        <v>0</v>
      </c>
      <c r="G1487">
        <v>0</v>
      </c>
      <c r="H1487">
        <v>0</v>
      </c>
      <c r="I1487" t="s">
        <v>789</v>
      </c>
    </row>
    <row r="1488" spans="1:9" hidden="1" x14ac:dyDescent="0.2">
      <c r="A1488" t="s">
        <v>579</v>
      </c>
      <c r="B1488" t="s">
        <v>824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 t="s">
        <v>789</v>
      </c>
    </row>
    <row r="1489" spans="1:9" hidden="1" x14ac:dyDescent="0.2">
      <c r="A1489" t="s">
        <v>580</v>
      </c>
      <c r="B1489" t="s">
        <v>824</v>
      </c>
      <c r="D1489">
        <v>0</v>
      </c>
      <c r="F1489">
        <v>0</v>
      </c>
      <c r="I1489" t="s">
        <v>789</v>
      </c>
    </row>
    <row r="1490" spans="1:9" hidden="1" x14ac:dyDescent="0.2">
      <c r="A1490" t="s">
        <v>581</v>
      </c>
      <c r="B1490" t="s">
        <v>810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 t="s">
        <v>789</v>
      </c>
    </row>
    <row r="1491" spans="1:9" hidden="1" x14ac:dyDescent="0.2">
      <c r="A1491" t="s">
        <v>581</v>
      </c>
      <c r="B1491" t="s">
        <v>824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 t="s">
        <v>789</v>
      </c>
    </row>
    <row r="1492" spans="1:9" hidden="1" x14ac:dyDescent="0.2">
      <c r="A1492" t="s">
        <v>581</v>
      </c>
      <c r="B1492" t="s">
        <v>812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 t="s">
        <v>789</v>
      </c>
    </row>
    <row r="1493" spans="1:9" hidden="1" x14ac:dyDescent="0.2">
      <c r="A1493" t="s">
        <v>582</v>
      </c>
      <c r="B1493" t="s">
        <v>810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 t="s">
        <v>789</v>
      </c>
    </row>
    <row r="1494" spans="1:9" hidden="1" x14ac:dyDescent="0.2">
      <c r="A1494" t="s">
        <v>582</v>
      </c>
      <c r="B1494" t="s">
        <v>824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 t="s">
        <v>789</v>
      </c>
    </row>
    <row r="1495" spans="1:9" hidden="1" x14ac:dyDescent="0.2">
      <c r="A1495" t="s">
        <v>582</v>
      </c>
      <c r="B1495" t="s">
        <v>812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 t="s">
        <v>789</v>
      </c>
    </row>
    <row r="1496" spans="1:9" hidden="1" x14ac:dyDescent="0.2">
      <c r="A1496" t="s">
        <v>583</v>
      </c>
      <c r="B1496" t="s">
        <v>816</v>
      </c>
      <c r="C1496">
        <v>0</v>
      </c>
      <c r="D1496">
        <v>6.5699638395223442E-2</v>
      </c>
      <c r="E1496">
        <v>0</v>
      </c>
      <c r="F1496">
        <v>0</v>
      </c>
      <c r="G1496">
        <v>0</v>
      </c>
      <c r="H1496">
        <v>0</v>
      </c>
      <c r="I1496" t="s">
        <v>789</v>
      </c>
    </row>
    <row r="1497" spans="1:9" hidden="1" x14ac:dyDescent="0.2">
      <c r="A1497" t="s">
        <v>583</v>
      </c>
      <c r="B1497" t="s">
        <v>824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 t="s">
        <v>789</v>
      </c>
    </row>
    <row r="1498" spans="1:9" hidden="1" x14ac:dyDescent="0.2">
      <c r="A1498" t="s">
        <v>584</v>
      </c>
      <c r="B1498" t="s">
        <v>810</v>
      </c>
      <c r="C1498">
        <v>0</v>
      </c>
      <c r="D1498">
        <v>0.15550919983485439</v>
      </c>
      <c r="E1498">
        <v>0</v>
      </c>
      <c r="F1498">
        <v>0</v>
      </c>
      <c r="G1498">
        <v>0</v>
      </c>
      <c r="H1498">
        <v>3.752484599690215E-3</v>
      </c>
      <c r="I1498" t="s">
        <v>789</v>
      </c>
    </row>
    <row r="1499" spans="1:9" hidden="1" x14ac:dyDescent="0.2">
      <c r="A1499" t="s">
        <v>584</v>
      </c>
      <c r="B1499" t="s">
        <v>824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 t="s">
        <v>789</v>
      </c>
    </row>
    <row r="1500" spans="1:9" hidden="1" x14ac:dyDescent="0.2">
      <c r="A1500" t="s">
        <v>585</v>
      </c>
      <c r="B1500" t="s">
        <v>814</v>
      </c>
      <c r="C1500">
        <v>0</v>
      </c>
      <c r="D1500">
        <v>2.470242471076824E-2</v>
      </c>
      <c r="E1500">
        <v>0.8399952128315592</v>
      </c>
      <c r="F1500">
        <v>1.277583887482209</v>
      </c>
      <c r="I1500" t="s">
        <v>789</v>
      </c>
    </row>
    <row r="1501" spans="1:9" hidden="1" x14ac:dyDescent="0.2">
      <c r="A1501" t="s">
        <v>585</v>
      </c>
      <c r="B1501" t="s">
        <v>824</v>
      </c>
      <c r="C1501">
        <v>0</v>
      </c>
      <c r="D1501">
        <v>0</v>
      </c>
      <c r="E1501">
        <v>0</v>
      </c>
      <c r="F1501">
        <v>0</v>
      </c>
      <c r="I1501" t="s">
        <v>789</v>
      </c>
    </row>
    <row r="1502" spans="1:9" hidden="1" x14ac:dyDescent="0.2">
      <c r="A1502" t="s">
        <v>586</v>
      </c>
      <c r="B1502" t="s">
        <v>835</v>
      </c>
      <c r="C1502">
        <v>1.689960242294211E-4</v>
      </c>
      <c r="D1502">
        <v>8.5470119293739515E-4</v>
      </c>
      <c r="E1502">
        <v>5.9937420183176849E-4</v>
      </c>
      <c r="F1502">
        <v>0</v>
      </c>
      <c r="G1502">
        <v>0</v>
      </c>
      <c r="H1502">
        <v>0</v>
      </c>
      <c r="I1502" t="s">
        <v>789</v>
      </c>
    </row>
    <row r="1503" spans="1:9" hidden="1" x14ac:dyDescent="0.2">
      <c r="A1503" t="s">
        <v>586</v>
      </c>
      <c r="B1503" t="s">
        <v>810</v>
      </c>
      <c r="C1503">
        <v>5.0698861890288297E-6</v>
      </c>
      <c r="D1503">
        <v>2.97168471157161E-5</v>
      </c>
      <c r="E1503">
        <v>1.7981230176641428E-5</v>
      </c>
      <c r="F1503">
        <v>0</v>
      </c>
      <c r="G1503">
        <v>0</v>
      </c>
      <c r="H1503">
        <v>0</v>
      </c>
      <c r="I1503" t="s">
        <v>789</v>
      </c>
    </row>
    <row r="1504" spans="1:9" hidden="1" x14ac:dyDescent="0.2">
      <c r="A1504" t="s">
        <v>586</v>
      </c>
      <c r="B1504" t="s">
        <v>824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 t="s">
        <v>789</v>
      </c>
    </row>
    <row r="1505" spans="1:9" hidden="1" x14ac:dyDescent="0.2">
      <c r="A1505" t="s">
        <v>587</v>
      </c>
      <c r="B1505" t="s">
        <v>825</v>
      </c>
      <c r="I1505" t="s">
        <v>801</v>
      </c>
    </row>
    <row r="1506" spans="1:9" hidden="1" x14ac:dyDescent="0.2">
      <c r="A1506" t="s">
        <v>588</v>
      </c>
      <c r="B1506" t="s">
        <v>824</v>
      </c>
      <c r="I1506" t="s">
        <v>801</v>
      </c>
    </row>
    <row r="1507" spans="1:9" hidden="1" x14ac:dyDescent="0.2">
      <c r="A1507" t="s">
        <v>589</v>
      </c>
      <c r="B1507" t="s">
        <v>822</v>
      </c>
      <c r="C1507">
        <v>0</v>
      </c>
      <c r="I1507" t="s">
        <v>801</v>
      </c>
    </row>
    <row r="1508" spans="1:9" hidden="1" x14ac:dyDescent="0.2">
      <c r="A1508" t="s">
        <v>590</v>
      </c>
      <c r="B1508" t="s">
        <v>821</v>
      </c>
      <c r="C1508">
        <v>0</v>
      </c>
      <c r="I1508" t="s">
        <v>801</v>
      </c>
    </row>
    <row r="1509" spans="1:9" hidden="1" x14ac:dyDescent="0.2">
      <c r="A1509" t="s">
        <v>591</v>
      </c>
      <c r="B1509" t="s">
        <v>825</v>
      </c>
      <c r="I1509" t="s">
        <v>789</v>
      </c>
    </row>
    <row r="1510" spans="1:9" hidden="1" x14ac:dyDescent="0.2">
      <c r="A1510" t="s">
        <v>592</v>
      </c>
      <c r="B1510" t="s">
        <v>824</v>
      </c>
      <c r="C1510">
        <v>0</v>
      </c>
      <c r="D1510">
        <v>0</v>
      </c>
      <c r="F1510">
        <v>0</v>
      </c>
      <c r="G1510">
        <v>0</v>
      </c>
      <c r="I1510" t="s">
        <v>789</v>
      </c>
    </row>
    <row r="1511" spans="1:9" hidden="1" x14ac:dyDescent="0.2">
      <c r="A1511" t="s">
        <v>593</v>
      </c>
      <c r="B1511" t="s">
        <v>822</v>
      </c>
      <c r="E1511">
        <v>0</v>
      </c>
      <c r="I1511" t="s">
        <v>789</v>
      </c>
    </row>
    <row r="1512" spans="1:9" hidden="1" x14ac:dyDescent="0.2">
      <c r="A1512" t="s">
        <v>594</v>
      </c>
      <c r="B1512" t="s">
        <v>821</v>
      </c>
      <c r="I1512" t="s">
        <v>789</v>
      </c>
    </row>
    <row r="1513" spans="1:9" hidden="1" x14ac:dyDescent="0.2">
      <c r="A1513" t="s">
        <v>595</v>
      </c>
      <c r="B1513" t="s">
        <v>824</v>
      </c>
      <c r="C1513">
        <v>0</v>
      </c>
      <c r="H1513">
        <v>0</v>
      </c>
      <c r="I1513" t="s">
        <v>789</v>
      </c>
    </row>
    <row r="1514" spans="1:9" hidden="1" x14ac:dyDescent="0.2">
      <c r="A1514" t="s">
        <v>596</v>
      </c>
      <c r="B1514" t="s">
        <v>825</v>
      </c>
      <c r="G1514">
        <v>0</v>
      </c>
      <c r="I1514" t="s">
        <v>788</v>
      </c>
    </row>
    <row r="1515" spans="1:9" hidden="1" x14ac:dyDescent="0.2">
      <c r="A1515" t="s">
        <v>597</v>
      </c>
      <c r="B1515" t="s">
        <v>824</v>
      </c>
      <c r="F1515">
        <v>0</v>
      </c>
      <c r="H1515">
        <v>0</v>
      </c>
      <c r="I1515" t="s">
        <v>788</v>
      </c>
    </row>
    <row r="1516" spans="1:9" hidden="1" x14ac:dyDescent="0.2">
      <c r="A1516" t="s">
        <v>598</v>
      </c>
      <c r="B1516" t="s">
        <v>822</v>
      </c>
      <c r="D1516">
        <v>0</v>
      </c>
      <c r="E1516">
        <v>0</v>
      </c>
      <c r="I1516" t="s">
        <v>788</v>
      </c>
    </row>
    <row r="1517" spans="1:9" hidden="1" x14ac:dyDescent="0.2">
      <c r="A1517" t="s">
        <v>599</v>
      </c>
      <c r="B1517" t="s">
        <v>821</v>
      </c>
      <c r="E1517">
        <v>0</v>
      </c>
      <c r="F1517">
        <v>0</v>
      </c>
      <c r="G1517">
        <v>0</v>
      </c>
      <c r="I1517" t="s">
        <v>788</v>
      </c>
    </row>
    <row r="1518" spans="1:9" hidden="1" x14ac:dyDescent="0.2">
      <c r="A1518" t="s">
        <v>600</v>
      </c>
      <c r="B1518" t="s">
        <v>824</v>
      </c>
      <c r="I1518" t="s">
        <v>803</v>
      </c>
    </row>
    <row r="1519" spans="1:9" hidden="1" x14ac:dyDescent="0.2">
      <c r="A1519" t="s">
        <v>601</v>
      </c>
      <c r="B1519" t="s">
        <v>824</v>
      </c>
      <c r="C1519">
        <v>0</v>
      </c>
      <c r="F1519">
        <v>0</v>
      </c>
      <c r="I1519" t="s">
        <v>802</v>
      </c>
    </row>
    <row r="1520" spans="1:9" hidden="1" x14ac:dyDescent="0.2">
      <c r="A1520" t="s">
        <v>602</v>
      </c>
      <c r="B1520" t="s">
        <v>822</v>
      </c>
      <c r="C1520">
        <v>0</v>
      </c>
      <c r="F1520">
        <v>0</v>
      </c>
      <c r="I1520" t="s">
        <v>802</v>
      </c>
    </row>
    <row r="1521" spans="1:9" hidden="1" x14ac:dyDescent="0.2">
      <c r="A1521" t="s">
        <v>603</v>
      </c>
      <c r="B1521" t="s">
        <v>825</v>
      </c>
      <c r="I1521" t="s">
        <v>798</v>
      </c>
    </row>
    <row r="1522" spans="1:9" hidden="1" x14ac:dyDescent="0.2">
      <c r="A1522" t="s">
        <v>604</v>
      </c>
      <c r="B1522" t="s">
        <v>824</v>
      </c>
      <c r="I1522" t="s">
        <v>798</v>
      </c>
    </row>
    <row r="1523" spans="1:9" hidden="1" x14ac:dyDescent="0.2">
      <c r="A1523" t="s">
        <v>605</v>
      </c>
      <c r="B1523" t="s">
        <v>822</v>
      </c>
      <c r="C1523">
        <v>0</v>
      </c>
      <c r="E1523">
        <v>0</v>
      </c>
      <c r="F1523">
        <v>0</v>
      </c>
      <c r="G1523">
        <v>0</v>
      </c>
      <c r="H1523">
        <v>0</v>
      </c>
      <c r="I1523" t="s">
        <v>798</v>
      </c>
    </row>
    <row r="1524" spans="1:9" hidden="1" x14ac:dyDescent="0.2">
      <c r="A1524" t="s">
        <v>606</v>
      </c>
      <c r="B1524" t="s">
        <v>821</v>
      </c>
      <c r="I1524" t="s">
        <v>798</v>
      </c>
    </row>
    <row r="1525" spans="1:9" hidden="1" x14ac:dyDescent="0.2">
      <c r="A1525" t="s">
        <v>607</v>
      </c>
      <c r="B1525" t="s">
        <v>825</v>
      </c>
      <c r="I1525" t="s">
        <v>800</v>
      </c>
    </row>
    <row r="1526" spans="1:9" hidden="1" x14ac:dyDescent="0.2">
      <c r="A1526" t="s">
        <v>608</v>
      </c>
      <c r="B1526" t="s">
        <v>824</v>
      </c>
      <c r="E1526">
        <v>0</v>
      </c>
      <c r="G1526">
        <v>0</v>
      </c>
      <c r="I1526" t="s">
        <v>800</v>
      </c>
    </row>
    <row r="1527" spans="1:9" hidden="1" x14ac:dyDescent="0.2">
      <c r="A1527" t="s">
        <v>609</v>
      </c>
      <c r="B1527" t="s">
        <v>822</v>
      </c>
      <c r="C1527">
        <v>0</v>
      </c>
      <c r="D1527">
        <v>0</v>
      </c>
      <c r="E1527">
        <v>0</v>
      </c>
      <c r="F1527">
        <v>0</v>
      </c>
      <c r="H1527">
        <v>0</v>
      </c>
      <c r="I1527" t="s">
        <v>800</v>
      </c>
    </row>
    <row r="1528" spans="1:9" hidden="1" x14ac:dyDescent="0.2">
      <c r="A1528" t="s">
        <v>610</v>
      </c>
      <c r="B1528" t="s">
        <v>810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 t="s">
        <v>802</v>
      </c>
    </row>
    <row r="1529" spans="1:9" hidden="1" x14ac:dyDescent="0.2">
      <c r="A1529" t="s">
        <v>610</v>
      </c>
      <c r="B1529" t="s">
        <v>822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 t="s">
        <v>802</v>
      </c>
    </row>
    <row r="1530" spans="1:9" hidden="1" x14ac:dyDescent="0.2">
      <c r="A1530" t="s">
        <v>611</v>
      </c>
      <c r="B1530" t="s">
        <v>814</v>
      </c>
      <c r="C1530">
        <v>0</v>
      </c>
      <c r="D1530">
        <v>4.1425833170089183E-3</v>
      </c>
      <c r="E1530">
        <v>3.965813171365038</v>
      </c>
      <c r="F1530">
        <v>1.388597379783096E-2</v>
      </c>
      <c r="G1530">
        <v>0</v>
      </c>
      <c r="I1530" t="s">
        <v>802</v>
      </c>
    </row>
    <row r="1531" spans="1:9" hidden="1" x14ac:dyDescent="0.2">
      <c r="A1531" t="s">
        <v>611</v>
      </c>
      <c r="B1531" t="s">
        <v>822</v>
      </c>
      <c r="C1531">
        <v>0</v>
      </c>
      <c r="D1531">
        <v>0</v>
      </c>
      <c r="E1531">
        <v>0</v>
      </c>
      <c r="F1531">
        <v>0</v>
      </c>
      <c r="G1531">
        <v>0</v>
      </c>
      <c r="I1531" t="s">
        <v>802</v>
      </c>
    </row>
    <row r="1532" spans="1:9" hidden="1" x14ac:dyDescent="0.2">
      <c r="A1532" t="s">
        <v>612</v>
      </c>
      <c r="B1532" t="s">
        <v>816</v>
      </c>
      <c r="C1532">
        <v>0</v>
      </c>
      <c r="D1532">
        <v>0.30772209078735901</v>
      </c>
      <c r="E1532">
        <v>0</v>
      </c>
      <c r="F1532">
        <v>0</v>
      </c>
      <c r="G1532">
        <v>0</v>
      </c>
      <c r="H1532">
        <v>0</v>
      </c>
      <c r="I1532" t="s">
        <v>802</v>
      </c>
    </row>
    <row r="1533" spans="1:9" hidden="1" x14ac:dyDescent="0.2">
      <c r="A1533" t="s">
        <v>612</v>
      </c>
      <c r="B1533" t="s">
        <v>822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 t="s">
        <v>802</v>
      </c>
    </row>
    <row r="1534" spans="1:9" hidden="1" x14ac:dyDescent="0.2">
      <c r="A1534" t="s">
        <v>613</v>
      </c>
      <c r="B1534" t="s">
        <v>822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 t="s">
        <v>802</v>
      </c>
    </row>
    <row r="1535" spans="1:9" hidden="1" x14ac:dyDescent="0.2">
      <c r="A1535" t="s">
        <v>613</v>
      </c>
      <c r="B1535" t="s">
        <v>812</v>
      </c>
      <c r="C1535">
        <v>0</v>
      </c>
      <c r="D1535">
        <v>4.3892777760609478E-4</v>
      </c>
      <c r="E1535">
        <v>0</v>
      </c>
      <c r="F1535">
        <v>0</v>
      </c>
      <c r="G1535">
        <v>0</v>
      </c>
      <c r="H1535">
        <v>0</v>
      </c>
      <c r="I1535" t="s">
        <v>802</v>
      </c>
    </row>
    <row r="1536" spans="1:9" hidden="1" x14ac:dyDescent="0.2">
      <c r="A1536" t="s">
        <v>614</v>
      </c>
      <c r="B1536" t="s">
        <v>810</v>
      </c>
      <c r="D1536">
        <v>0</v>
      </c>
      <c r="E1536">
        <v>0</v>
      </c>
      <c r="F1536">
        <v>0</v>
      </c>
      <c r="G1536">
        <v>0</v>
      </c>
      <c r="H1536">
        <v>0</v>
      </c>
      <c r="I1536" t="s">
        <v>788</v>
      </c>
    </row>
    <row r="1537" spans="1:9" hidden="1" x14ac:dyDescent="0.2">
      <c r="A1537" t="s">
        <v>614</v>
      </c>
      <c r="B1537" t="s">
        <v>824</v>
      </c>
      <c r="D1537">
        <v>0</v>
      </c>
      <c r="E1537">
        <v>0</v>
      </c>
      <c r="F1537">
        <v>0</v>
      </c>
      <c r="G1537">
        <v>0</v>
      </c>
      <c r="H1537">
        <v>0</v>
      </c>
      <c r="I1537" t="s">
        <v>788</v>
      </c>
    </row>
    <row r="1538" spans="1:9" hidden="1" x14ac:dyDescent="0.2">
      <c r="A1538" t="s">
        <v>614</v>
      </c>
      <c r="B1538" t="s">
        <v>811</v>
      </c>
      <c r="D1538">
        <v>0</v>
      </c>
      <c r="E1538">
        <v>0</v>
      </c>
      <c r="F1538">
        <v>0</v>
      </c>
      <c r="G1538">
        <v>0</v>
      </c>
      <c r="H1538">
        <v>0</v>
      </c>
      <c r="I1538" t="s">
        <v>788</v>
      </c>
    </row>
    <row r="1539" spans="1:9" hidden="1" x14ac:dyDescent="0.2">
      <c r="A1539" t="s">
        <v>615</v>
      </c>
      <c r="B1539" t="s">
        <v>810</v>
      </c>
      <c r="C1539">
        <v>1.2824187151377431E-3</v>
      </c>
      <c r="D1539">
        <v>0</v>
      </c>
      <c r="E1539">
        <v>0</v>
      </c>
      <c r="F1539">
        <v>0</v>
      </c>
      <c r="G1539">
        <v>0</v>
      </c>
      <c r="H1539">
        <v>0</v>
      </c>
      <c r="I1539" t="s">
        <v>789</v>
      </c>
    </row>
    <row r="1540" spans="1:9" hidden="1" x14ac:dyDescent="0.2">
      <c r="A1540" t="s">
        <v>615</v>
      </c>
      <c r="B1540" t="s">
        <v>824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 t="s">
        <v>789</v>
      </c>
    </row>
    <row r="1541" spans="1:9" hidden="1" x14ac:dyDescent="0.2">
      <c r="A1541" t="s">
        <v>615</v>
      </c>
      <c r="B1541" t="s">
        <v>811</v>
      </c>
      <c r="C1541">
        <v>2.5648373190856649E-3</v>
      </c>
      <c r="D1541">
        <v>0</v>
      </c>
      <c r="E1541">
        <v>0</v>
      </c>
      <c r="F1541">
        <v>0</v>
      </c>
      <c r="G1541">
        <v>0</v>
      </c>
      <c r="H1541">
        <v>0</v>
      </c>
      <c r="I1541" t="s">
        <v>789</v>
      </c>
    </row>
    <row r="1542" spans="1:9" hidden="1" x14ac:dyDescent="0.2">
      <c r="A1542" t="s">
        <v>616</v>
      </c>
      <c r="B1542" t="s">
        <v>810</v>
      </c>
      <c r="C1542">
        <v>72.289466788345763</v>
      </c>
      <c r="D1542">
        <v>0</v>
      </c>
      <c r="E1542">
        <v>0</v>
      </c>
      <c r="F1542">
        <v>0</v>
      </c>
      <c r="G1542">
        <v>0</v>
      </c>
      <c r="H1542">
        <v>0</v>
      </c>
      <c r="I1542" t="s">
        <v>800</v>
      </c>
    </row>
    <row r="1543" spans="1:9" hidden="1" x14ac:dyDescent="0.2">
      <c r="A1543" t="s">
        <v>616</v>
      </c>
      <c r="B1543" t="s">
        <v>824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 t="s">
        <v>800</v>
      </c>
    </row>
    <row r="1544" spans="1:9" hidden="1" x14ac:dyDescent="0.2">
      <c r="A1544" t="s">
        <v>616</v>
      </c>
      <c r="B1544" t="s">
        <v>811</v>
      </c>
      <c r="C1544">
        <v>144.51003555146909</v>
      </c>
      <c r="D1544">
        <v>0</v>
      </c>
      <c r="E1544">
        <v>0</v>
      </c>
      <c r="F1544">
        <v>0</v>
      </c>
      <c r="G1544">
        <v>0</v>
      </c>
      <c r="H1544">
        <v>0</v>
      </c>
      <c r="I1544" t="s">
        <v>800</v>
      </c>
    </row>
    <row r="1545" spans="1:9" hidden="1" x14ac:dyDescent="0.2">
      <c r="A1545" t="s">
        <v>617</v>
      </c>
      <c r="B1545" t="s">
        <v>810</v>
      </c>
      <c r="C1545">
        <v>1.2993966678725291E-4</v>
      </c>
      <c r="D1545">
        <v>0</v>
      </c>
      <c r="E1545">
        <v>0</v>
      </c>
      <c r="F1545">
        <v>0</v>
      </c>
      <c r="G1545">
        <v>0</v>
      </c>
      <c r="H1545">
        <v>2.4598020576926168E-4</v>
      </c>
      <c r="I1545" t="s">
        <v>802</v>
      </c>
    </row>
    <row r="1546" spans="1:9" hidden="1" x14ac:dyDescent="0.2">
      <c r="A1546" t="s">
        <v>617</v>
      </c>
      <c r="B1546" t="s">
        <v>824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 t="s">
        <v>802</v>
      </c>
    </row>
    <row r="1547" spans="1:9" hidden="1" x14ac:dyDescent="0.2">
      <c r="A1547" t="s">
        <v>617</v>
      </c>
      <c r="B1547" t="s">
        <v>811</v>
      </c>
      <c r="C1547">
        <v>2.5374964988301188E-4</v>
      </c>
      <c r="D1547">
        <v>0</v>
      </c>
      <c r="E1547">
        <v>0</v>
      </c>
      <c r="F1547">
        <v>0</v>
      </c>
      <c r="G1547">
        <v>0</v>
      </c>
      <c r="H1547">
        <v>4.9196020747379753E-4</v>
      </c>
      <c r="I1547" t="s">
        <v>802</v>
      </c>
    </row>
    <row r="1548" spans="1:9" hidden="1" x14ac:dyDescent="0.2">
      <c r="A1548" t="s">
        <v>618</v>
      </c>
      <c r="B1548" t="s">
        <v>810</v>
      </c>
      <c r="D1548">
        <v>2.5035465034226728E-4</v>
      </c>
      <c r="E1548">
        <v>0</v>
      </c>
      <c r="F1548">
        <v>0</v>
      </c>
      <c r="G1548">
        <v>0.53775464016088648</v>
      </c>
      <c r="H1548">
        <v>0</v>
      </c>
      <c r="I1548" t="s">
        <v>788</v>
      </c>
    </row>
    <row r="1549" spans="1:9" hidden="1" x14ac:dyDescent="0.2">
      <c r="A1549" t="s">
        <v>618</v>
      </c>
      <c r="B1549" t="s">
        <v>811</v>
      </c>
      <c r="D1549">
        <v>0</v>
      </c>
      <c r="E1549">
        <v>0</v>
      </c>
      <c r="F1549">
        <v>0</v>
      </c>
      <c r="G1549">
        <v>0</v>
      </c>
      <c r="H1549">
        <v>0</v>
      </c>
      <c r="I1549" t="s">
        <v>788</v>
      </c>
    </row>
    <row r="1550" spans="1:9" hidden="1" x14ac:dyDescent="0.2">
      <c r="A1550" t="s">
        <v>619</v>
      </c>
      <c r="B1550" t="s">
        <v>810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 t="s">
        <v>802</v>
      </c>
    </row>
    <row r="1551" spans="1:9" hidden="1" x14ac:dyDescent="0.2">
      <c r="A1551" t="s">
        <v>619</v>
      </c>
      <c r="B1551" t="s">
        <v>811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 t="s">
        <v>802</v>
      </c>
    </row>
    <row r="1552" spans="1:9" hidden="1" x14ac:dyDescent="0.2">
      <c r="A1552" t="s">
        <v>620</v>
      </c>
      <c r="B1552" t="s">
        <v>816</v>
      </c>
      <c r="D1552">
        <v>1.558993723618054</v>
      </c>
      <c r="E1552">
        <v>0</v>
      </c>
      <c r="F1552">
        <v>0</v>
      </c>
      <c r="G1552">
        <v>0</v>
      </c>
      <c r="H1552">
        <v>0</v>
      </c>
      <c r="I1552" t="s">
        <v>788</v>
      </c>
    </row>
    <row r="1553" spans="1:9" hidden="1" x14ac:dyDescent="0.2">
      <c r="A1553" t="s">
        <v>620</v>
      </c>
      <c r="B1553" t="s">
        <v>811</v>
      </c>
      <c r="D1553">
        <v>0</v>
      </c>
      <c r="E1553">
        <v>0</v>
      </c>
      <c r="F1553">
        <v>0</v>
      </c>
      <c r="G1553">
        <v>0</v>
      </c>
      <c r="H1553">
        <v>0</v>
      </c>
      <c r="I1553" t="s">
        <v>788</v>
      </c>
    </row>
    <row r="1554" spans="1:9" hidden="1" x14ac:dyDescent="0.2">
      <c r="A1554" t="s">
        <v>621</v>
      </c>
      <c r="B1554" t="s">
        <v>814</v>
      </c>
      <c r="D1554">
        <v>1.2616989619415109E-3</v>
      </c>
      <c r="E1554">
        <v>0</v>
      </c>
      <c r="F1554">
        <v>1.207632569463758</v>
      </c>
      <c r="I1554" t="s">
        <v>788</v>
      </c>
    </row>
    <row r="1555" spans="1:9" hidden="1" x14ac:dyDescent="0.2">
      <c r="A1555" t="s">
        <v>621</v>
      </c>
      <c r="B1555" t="s">
        <v>811</v>
      </c>
      <c r="D1555">
        <v>0</v>
      </c>
      <c r="E1555">
        <v>0</v>
      </c>
      <c r="F1555">
        <v>0</v>
      </c>
      <c r="I1555" t="s">
        <v>788</v>
      </c>
    </row>
    <row r="1556" spans="1:9" hidden="1" x14ac:dyDescent="0.2">
      <c r="A1556" t="s">
        <v>622</v>
      </c>
      <c r="B1556" t="s">
        <v>811</v>
      </c>
      <c r="D1556">
        <v>0</v>
      </c>
      <c r="E1556">
        <v>0</v>
      </c>
      <c r="F1556">
        <v>0</v>
      </c>
      <c r="G1556">
        <v>0</v>
      </c>
      <c r="H1556">
        <v>0</v>
      </c>
      <c r="I1556" t="s">
        <v>788</v>
      </c>
    </row>
    <row r="1557" spans="1:9" hidden="1" x14ac:dyDescent="0.2">
      <c r="A1557" t="s">
        <v>622</v>
      </c>
      <c r="B1557" t="s">
        <v>812</v>
      </c>
      <c r="D1557">
        <v>4.3380094919338679E-4</v>
      </c>
      <c r="E1557">
        <v>0</v>
      </c>
      <c r="F1557">
        <v>0</v>
      </c>
      <c r="G1557">
        <v>0</v>
      </c>
      <c r="H1557">
        <v>0</v>
      </c>
      <c r="I1557" t="s">
        <v>788</v>
      </c>
    </row>
    <row r="1558" spans="1:9" hidden="1" x14ac:dyDescent="0.2">
      <c r="A1558" t="s">
        <v>623</v>
      </c>
      <c r="B1558" t="s">
        <v>855</v>
      </c>
      <c r="C1558">
        <v>9.8486919884926449E-6</v>
      </c>
      <c r="D1558">
        <v>1.5658317900973449E-4</v>
      </c>
      <c r="E1558">
        <v>0</v>
      </c>
      <c r="F1558">
        <v>0</v>
      </c>
      <c r="G1558">
        <v>2.523113116085663E-2</v>
      </c>
      <c r="H1558">
        <v>2.156718702623488</v>
      </c>
      <c r="I1558" t="s">
        <v>789</v>
      </c>
    </row>
    <row r="1559" spans="1:9" hidden="1" x14ac:dyDescent="0.2">
      <c r="A1559" t="s">
        <v>623</v>
      </c>
      <c r="B1559" t="s">
        <v>849</v>
      </c>
      <c r="C1559">
        <v>3.4735478771816372E-4</v>
      </c>
      <c r="D1559">
        <v>3.6269607784397278E-4</v>
      </c>
      <c r="E1559">
        <v>0</v>
      </c>
      <c r="F1559">
        <v>0</v>
      </c>
      <c r="G1559">
        <v>0.38941542749566682</v>
      </c>
      <c r="H1559">
        <v>2.4724643666903909</v>
      </c>
      <c r="I1559" t="s">
        <v>789</v>
      </c>
    </row>
    <row r="1560" spans="1:9" hidden="1" x14ac:dyDescent="0.2">
      <c r="A1560" t="s">
        <v>623</v>
      </c>
      <c r="B1560" t="s">
        <v>856</v>
      </c>
      <c r="C1560">
        <v>6.3373126601669511E-7</v>
      </c>
      <c r="D1560">
        <v>1.5340158010620361E-4</v>
      </c>
      <c r="E1560">
        <v>0</v>
      </c>
      <c r="F1560">
        <v>0</v>
      </c>
      <c r="G1560">
        <v>0.12618307304869131</v>
      </c>
      <c r="H1560">
        <v>16.26146040965061</v>
      </c>
      <c r="I1560" t="s">
        <v>789</v>
      </c>
    </row>
    <row r="1561" spans="1:9" hidden="1" x14ac:dyDescent="0.2">
      <c r="A1561" t="s">
        <v>623</v>
      </c>
      <c r="B1561" t="s">
        <v>811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 t="s">
        <v>789</v>
      </c>
    </row>
    <row r="1562" spans="1:9" hidden="1" x14ac:dyDescent="0.2">
      <c r="A1562" t="s">
        <v>624</v>
      </c>
      <c r="B1562" t="s">
        <v>810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 t="s">
        <v>803</v>
      </c>
    </row>
    <row r="1563" spans="1:9" hidden="1" x14ac:dyDescent="0.2">
      <c r="A1563" t="s">
        <v>624</v>
      </c>
      <c r="B1563" t="s">
        <v>824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 t="s">
        <v>803</v>
      </c>
    </row>
    <row r="1564" spans="1:9" hidden="1" x14ac:dyDescent="0.2">
      <c r="A1564" t="s">
        <v>625</v>
      </c>
      <c r="B1564" t="s">
        <v>816</v>
      </c>
      <c r="C1564">
        <v>0</v>
      </c>
      <c r="D1564">
        <v>0.42023899618192478</v>
      </c>
      <c r="E1564">
        <v>0</v>
      </c>
      <c r="F1564">
        <v>0</v>
      </c>
      <c r="G1564">
        <v>0</v>
      </c>
      <c r="H1564">
        <v>0</v>
      </c>
      <c r="I1564" t="s">
        <v>803</v>
      </c>
    </row>
    <row r="1565" spans="1:9" hidden="1" x14ac:dyDescent="0.2">
      <c r="A1565" t="s">
        <v>625</v>
      </c>
      <c r="B1565" t="s">
        <v>824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 t="s">
        <v>803</v>
      </c>
    </row>
    <row r="1566" spans="1:9" hidden="1" x14ac:dyDescent="0.2">
      <c r="A1566" t="s">
        <v>626</v>
      </c>
      <c r="B1566" t="s">
        <v>814</v>
      </c>
      <c r="C1566">
        <v>0</v>
      </c>
      <c r="D1566">
        <v>4.6914016681649049E-3</v>
      </c>
      <c r="E1566">
        <v>7.0784351382567774</v>
      </c>
      <c r="F1566">
        <v>0</v>
      </c>
      <c r="G1566">
        <v>0</v>
      </c>
      <c r="I1566" t="s">
        <v>803</v>
      </c>
    </row>
    <row r="1567" spans="1:9" hidden="1" x14ac:dyDescent="0.2">
      <c r="A1567" t="s">
        <v>626</v>
      </c>
      <c r="B1567" t="s">
        <v>824</v>
      </c>
      <c r="C1567">
        <v>0</v>
      </c>
      <c r="D1567">
        <v>0</v>
      </c>
      <c r="E1567">
        <v>0</v>
      </c>
      <c r="F1567">
        <v>0</v>
      </c>
      <c r="G1567">
        <v>0</v>
      </c>
      <c r="I1567" t="s">
        <v>803</v>
      </c>
    </row>
    <row r="1568" spans="1:9" hidden="1" x14ac:dyDescent="0.2">
      <c r="A1568" t="s">
        <v>627</v>
      </c>
      <c r="B1568" t="s">
        <v>824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 t="s">
        <v>803</v>
      </c>
    </row>
    <row r="1569" spans="1:9" hidden="1" x14ac:dyDescent="0.2">
      <c r="A1569" t="s">
        <v>627</v>
      </c>
      <c r="B1569" t="s">
        <v>812</v>
      </c>
      <c r="C1569">
        <v>0</v>
      </c>
      <c r="D1569">
        <v>3.7510463713868048E-4</v>
      </c>
      <c r="E1569">
        <v>0</v>
      </c>
      <c r="F1569">
        <v>0</v>
      </c>
      <c r="G1569">
        <v>0</v>
      </c>
      <c r="H1569">
        <v>0</v>
      </c>
      <c r="I1569" t="s">
        <v>803</v>
      </c>
    </row>
    <row r="1570" spans="1:9" hidden="1" x14ac:dyDescent="0.2">
      <c r="A1570" t="s">
        <v>628</v>
      </c>
      <c r="B1570" t="s">
        <v>824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 t="s">
        <v>808</v>
      </c>
    </row>
    <row r="1571" spans="1:9" hidden="1" x14ac:dyDescent="0.2">
      <c r="A1571" t="s">
        <v>628</v>
      </c>
      <c r="B1571" t="s">
        <v>822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 t="s">
        <v>808</v>
      </c>
    </row>
    <row r="1572" spans="1:9" hidden="1" x14ac:dyDescent="0.2">
      <c r="A1572" t="s">
        <v>628</v>
      </c>
      <c r="B1572" t="s">
        <v>825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 t="s">
        <v>808</v>
      </c>
    </row>
    <row r="1573" spans="1:9" hidden="1" x14ac:dyDescent="0.2">
      <c r="A1573" t="s">
        <v>628</v>
      </c>
      <c r="B1573" t="s">
        <v>821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 t="s">
        <v>808</v>
      </c>
    </row>
    <row r="1574" spans="1:9" hidden="1" x14ac:dyDescent="0.2">
      <c r="A1574" t="s">
        <v>628</v>
      </c>
      <c r="B1574" t="s">
        <v>811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 t="s">
        <v>808</v>
      </c>
    </row>
    <row r="1575" spans="1:9" hidden="1" x14ac:dyDescent="0.2">
      <c r="A1575" t="s">
        <v>629</v>
      </c>
      <c r="B1575" t="s">
        <v>821</v>
      </c>
      <c r="I1575" t="s">
        <v>808</v>
      </c>
    </row>
    <row r="1576" spans="1:9" hidden="1" x14ac:dyDescent="0.2">
      <c r="A1576" t="s">
        <v>630</v>
      </c>
      <c r="B1576" t="s">
        <v>816</v>
      </c>
      <c r="C1576">
        <v>0</v>
      </c>
      <c r="D1576">
        <v>2.9401401424527028E-3</v>
      </c>
      <c r="E1576">
        <v>0</v>
      </c>
      <c r="F1576">
        <v>0</v>
      </c>
      <c r="G1576">
        <v>0</v>
      </c>
      <c r="H1576">
        <v>0</v>
      </c>
      <c r="I1576" t="s">
        <v>808</v>
      </c>
    </row>
    <row r="1577" spans="1:9" hidden="1" x14ac:dyDescent="0.2">
      <c r="A1577" t="s">
        <v>630</v>
      </c>
      <c r="B1577" t="s">
        <v>821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 t="s">
        <v>808</v>
      </c>
    </row>
    <row r="1578" spans="1:9" hidden="1" x14ac:dyDescent="0.2">
      <c r="A1578" t="s">
        <v>631</v>
      </c>
      <c r="B1578" t="s">
        <v>810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 t="s">
        <v>808</v>
      </c>
    </row>
    <row r="1579" spans="1:9" hidden="1" x14ac:dyDescent="0.2">
      <c r="A1579" t="s">
        <v>631</v>
      </c>
      <c r="B1579" t="s">
        <v>821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 t="s">
        <v>808</v>
      </c>
    </row>
    <row r="1580" spans="1:9" hidden="1" x14ac:dyDescent="0.2">
      <c r="A1580" t="s">
        <v>632</v>
      </c>
      <c r="B1580" t="s">
        <v>821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 t="s">
        <v>808</v>
      </c>
    </row>
    <row r="1581" spans="1:9" hidden="1" x14ac:dyDescent="0.2">
      <c r="A1581" t="s">
        <v>632</v>
      </c>
      <c r="B1581" t="s">
        <v>812</v>
      </c>
      <c r="C1581">
        <v>0</v>
      </c>
      <c r="D1581">
        <v>1.5148470919776081E-4</v>
      </c>
      <c r="E1581">
        <v>0</v>
      </c>
      <c r="F1581">
        <v>0</v>
      </c>
      <c r="G1581">
        <v>0</v>
      </c>
      <c r="H1581">
        <v>2.1069439212024282E-5</v>
      </c>
      <c r="I1581" t="s">
        <v>808</v>
      </c>
    </row>
    <row r="1582" spans="1:9" hidden="1" x14ac:dyDescent="0.2">
      <c r="A1582" t="s">
        <v>633</v>
      </c>
      <c r="B1582" t="s">
        <v>814</v>
      </c>
      <c r="C1582">
        <v>0</v>
      </c>
      <c r="D1582">
        <v>3.8304139537013952E-3</v>
      </c>
      <c r="E1582">
        <v>0</v>
      </c>
      <c r="F1582">
        <v>0</v>
      </c>
      <c r="G1582">
        <v>0</v>
      </c>
      <c r="I1582" t="s">
        <v>795</v>
      </c>
    </row>
    <row r="1583" spans="1:9" hidden="1" x14ac:dyDescent="0.2">
      <c r="A1583" t="s">
        <v>633</v>
      </c>
      <c r="B1583" t="s">
        <v>811</v>
      </c>
      <c r="C1583">
        <v>0</v>
      </c>
      <c r="D1583">
        <v>0</v>
      </c>
      <c r="E1583">
        <v>0</v>
      </c>
      <c r="F1583">
        <v>0</v>
      </c>
      <c r="G1583">
        <v>0</v>
      </c>
      <c r="I1583" t="s">
        <v>795</v>
      </c>
    </row>
    <row r="1584" spans="1:9" hidden="1" x14ac:dyDescent="0.2">
      <c r="A1584" t="s">
        <v>634</v>
      </c>
      <c r="B1584" t="s">
        <v>811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 t="s">
        <v>799</v>
      </c>
    </row>
    <row r="1585" spans="1:9" hidden="1" x14ac:dyDescent="0.2">
      <c r="A1585" t="s">
        <v>634</v>
      </c>
      <c r="B1585" t="s">
        <v>812</v>
      </c>
      <c r="C1585">
        <v>0</v>
      </c>
      <c r="D1585">
        <v>4.4970180049049501E-4</v>
      </c>
      <c r="E1585">
        <v>0</v>
      </c>
      <c r="F1585">
        <v>0</v>
      </c>
      <c r="G1585">
        <v>0</v>
      </c>
      <c r="H1585">
        <v>2.5124259348150708E-3</v>
      </c>
      <c r="I1585" t="s">
        <v>799</v>
      </c>
    </row>
    <row r="1586" spans="1:9" hidden="1" x14ac:dyDescent="0.2">
      <c r="A1586" t="s">
        <v>635</v>
      </c>
      <c r="B1586" t="s">
        <v>816</v>
      </c>
      <c r="C1586">
        <v>0</v>
      </c>
      <c r="D1586">
        <v>11.033055167241541</v>
      </c>
      <c r="E1586">
        <v>0</v>
      </c>
      <c r="F1586">
        <v>1.205243872523639</v>
      </c>
      <c r="G1586">
        <v>6.657443131064122</v>
      </c>
      <c r="H1586">
        <v>2.8211872031421201</v>
      </c>
      <c r="I1586" t="s">
        <v>799</v>
      </c>
    </row>
    <row r="1587" spans="1:9" hidden="1" x14ac:dyDescent="0.2">
      <c r="A1587" t="s">
        <v>635</v>
      </c>
      <c r="B1587" t="s">
        <v>811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 t="s">
        <v>799</v>
      </c>
    </row>
    <row r="1588" spans="1:9" hidden="1" x14ac:dyDescent="0.2">
      <c r="A1588" t="s">
        <v>636</v>
      </c>
      <c r="B1588" t="s">
        <v>810</v>
      </c>
      <c r="C1588">
        <v>0</v>
      </c>
      <c r="D1588">
        <v>9.8323726028712588E-2</v>
      </c>
      <c r="E1588">
        <v>2.0987580249410109E-2</v>
      </c>
      <c r="F1588">
        <v>0</v>
      </c>
      <c r="G1588">
        <v>2.1531660888544022</v>
      </c>
      <c r="H1588">
        <v>0</v>
      </c>
      <c r="I1588" t="s">
        <v>799</v>
      </c>
    </row>
    <row r="1589" spans="1:9" hidden="1" x14ac:dyDescent="0.2">
      <c r="A1589" t="s">
        <v>636</v>
      </c>
      <c r="B1589" t="s">
        <v>811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 t="s">
        <v>799</v>
      </c>
    </row>
    <row r="1590" spans="1:9" hidden="1" x14ac:dyDescent="0.2">
      <c r="A1590" t="s">
        <v>637</v>
      </c>
      <c r="B1590" t="s">
        <v>816</v>
      </c>
      <c r="C1590">
        <v>4.0496906170348258E-4</v>
      </c>
      <c r="D1590">
        <v>1.9042446050065841E-2</v>
      </c>
      <c r="E1590">
        <v>0</v>
      </c>
      <c r="F1590">
        <v>0</v>
      </c>
      <c r="G1590">
        <v>0</v>
      </c>
      <c r="H1590">
        <v>0</v>
      </c>
      <c r="I1590" t="s">
        <v>799</v>
      </c>
    </row>
    <row r="1591" spans="1:9" hidden="1" x14ac:dyDescent="0.2">
      <c r="A1591" t="s">
        <v>637</v>
      </c>
      <c r="B1591" t="s">
        <v>810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 t="s">
        <v>799</v>
      </c>
    </row>
    <row r="1592" spans="1:9" hidden="1" x14ac:dyDescent="0.2">
      <c r="A1592" t="s">
        <v>637</v>
      </c>
      <c r="B1592" t="s">
        <v>811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 t="s">
        <v>799</v>
      </c>
    </row>
    <row r="1593" spans="1:9" hidden="1" x14ac:dyDescent="0.2">
      <c r="A1593" t="s">
        <v>638</v>
      </c>
      <c r="B1593" t="s">
        <v>810</v>
      </c>
      <c r="C1593">
        <v>930.68155768554857</v>
      </c>
      <c r="D1593">
        <v>0</v>
      </c>
      <c r="E1593">
        <v>0</v>
      </c>
      <c r="F1593">
        <v>0</v>
      </c>
      <c r="G1593">
        <v>0</v>
      </c>
      <c r="H1593">
        <v>0</v>
      </c>
      <c r="I1593" t="s">
        <v>793</v>
      </c>
    </row>
    <row r="1594" spans="1:9" hidden="1" x14ac:dyDescent="0.2">
      <c r="A1594" t="s">
        <v>638</v>
      </c>
      <c r="B1594" t="s">
        <v>819</v>
      </c>
      <c r="C1594">
        <v>2581.3259385462711</v>
      </c>
      <c r="D1594">
        <v>0</v>
      </c>
      <c r="E1594">
        <v>0</v>
      </c>
      <c r="F1594">
        <v>0</v>
      </c>
      <c r="G1594">
        <v>0</v>
      </c>
      <c r="H1594">
        <v>0</v>
      </c>
      <c r="I1594" t="s">
        <v>793</v>
      </c>
    </row>
    <row r="1595" spans="1:9" hidden="1" x14ac:dyDescent="0.2">
      <c r="A1595" t="s">
        <v>638</v>
      </c>
      <c r="B1595" t="s">
        <v>811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 t="s">
        <v>793</v>
      </c>
    </row>
    <row r="1596" spans="1:9" hidden="1" x14ac:dyDescent="0.2">
      <c r="A1596" t="s">
        <v>639</v>
      </c>
      <c r="B1596" t="s">
        <v>816</v>
      </c>
      <c r="C1596">
        <v>3.4122366670273868E-3</v>
      </c>
      <c r="D1596">
        <v>0</v>
      </c>
      <c r="E1596">
        <v>0</v>
      </c>
      <c r="F1596">
        <v>0</v>
      </c>
      <c r="G1596">
        <v>0</v>
      </c>
      <c r="H1596">
        <v>0.91683148568229578</v>
      </c>
      <c r="I1596" t="s">
        <v>793</v>
      </c>
    </row>
    <row r="1597" spans="1:9" hidden="1" x14ac:dyDescent="0.2">
      <c r="A1597" t="s">
        <v>639</v>
      </c>
      <c r="B1597" t="s">
        <v>811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 t="s">
        <v>793</v>
      </c>
    </row>
    <row r="1598" spans="1:9" hidden="1" x14ac:dyDescent="0.2">
      <c r="A1598" t="s">
        <v>640</v>
      </c>
      <c r="B1598" t="s">
        <v>810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 t="s">
        <v>793</v>
      </c>
    </row>
    <row r="1599" spans="1:9" hidden="1" x14ac:dyDescent="0.2">
      <c r="A1599" t="s">
        <v>640</v>
      </c>
      <c r="B1599" t="s">
        <v>819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 t="s">
        <v>793</v>
      </c>
    </row>
    <row r="1600" spans="1:9" hidden="1" x14ac:dyDescent="0.2">
      <c r="A1600" t="s">
        <v>640</v>
      </c>
      <c r="B1600" t="s">
        <v>811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 t="s">
        <v>793</v>
      </c>
    </row>
    <row r="1601" spans="1:9" hidden="1" x14ac:dyDescent="0.2">
      <c r="A1601" t="s">
        <v>641</v>
      </c>
      <c r="B1601" t="s">
        <v>816</v>
      </c>
      <c r="C1601">
        <v>35.557411709959112</v>
      </c>
      <c r="D1601">
        <v>0</v>
      </c>
      <c r="E1601">
        <v>0</v>
      </c>
      <c r="F1601">
        <v>0</v>
      </c>
      <c r="G1601">
        <v>0</v>
      </c>
      <c r="H1601">
        <v>0</v>
      </c>
      <c r="I1601" t="s">
        <v>800</v>
      </c>
    </row>
    <row r="1602" spans="1:9" hidden="1" x14ac:dyDescent="0.2">
      <c r="A1602" t="s">
        <v>641</v>
      </c>
      <c r="B1602" t="s">
        <v>825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 t="s">
        <v>800</v>
      </c>
    </row>
    <row r="1603" spans="1:9" hidden="1" x14ac:dyDescent="0.2">
      <c r="A1603" t="s">
        <v>642</v>
      </c>
      <c r="B1603" t="s">
        <v>816</v>
      </c>
      <c r="C1603">
        <v>0</v>
      </c>
      <c r="D1603">
        <v>4.8366938888317508E-2</v>
      </c>
      <c r="E1603">
        <v>0</v>
      </c>
      <c r="F1603">
        <v>0</v>
      </c>
      <c r="G1603">
        <v>0</v>
      </c>
      <c r="H1603">
        <v>0</v>
      </c>
      <c r="I1603" t="s">
        <v>789</v>
      </c>
    </row>
    <row r="1604" spans="1:9" hidden="1" x14ac:dyDescent="0.2">
      <c r="A1604" t="s">
        <v>642</v>
      </c>
      <c r="B1604" t="s">
        <v>825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 t="s">
        <v>789</v>
      </c>
    </row>
    <row r="1605" spans="1:9" hidden="1" x14ac:dyDescent="0.2">
      <c r="A1605" t="s">
        <v>643</v>
      </c>
      <c r="B1605" t="s">
        <v>810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 t="s">
        <v>789</v>
      </c>
    </row>
    <row r="1606" spans="1:9" hidden="1" x14ac:dyDescent="0.2">
      <c r="A1606" t="s">
        <v>643</v>
      </c>
      <c r="B1606" t="s">
        <v>825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 t="s">
        <v>789</v>
      </c>
    </row>
    <row r="1607" spans="1:9" hidden="1" x14ac:dyDescent="0.2">
      <c r="A1607" t="s">
        <v>644</v>
      </c>
      <c r="B1607" t="s">
        <v>816</v>
      </c>
      <c r="C1607">
        <v>0</v>
      </c>
      <c r="D1607">
        <v>7.0984331054434405E-5</v>
      </c>
      <c r="E1607">
        <v>0</v>
      </c>
      <c r="F1607">
        <v>0</v>
      </c>
      <c r="G1607">
        <v>0</v>
      </c>
      <c r="H1607">
        <v>1.3427280597038331E-3</v>
      </c>
      <c r="I1607" t="s">
        <v>801</v>
      </c>
    </row>
    <row r="1608" spans="1:9" hidden="1" x14ac:dyDescent="0.2">
      <c r="A1608" t="s">
        <v>644</v>
      </c>
      <c r="B1608" t="s">
        <v>825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 t="s">
        <v>801</v>
      </c>
    </row>
    <row r="1609" spans="1:9" hidden="1" x14ac:dyDescent="0.2">
      <c r="A1609" t="s">
        <v>645</v>
      </c>
      <c r="B1609" t="s">
        <v>810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 t="s">
        <v>801</v>
      </c>
    </row>
    <row r="1610" spans="1:9" hidden="1" x14ac:dyDescent="0.2">
      <c r="A1610" t="s">
        <v>645</v>
      </c>
      <c r="B1610" t="s">
        <v>825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 t="s">
        <v>801</v>
      </c>
    </row>
    <row r="1611" spans="1:9" hidden="1" x14ac:dyDescent="0.2">
      <c r="A1611" t="s">
        <v>646</v>
      </c>
      <c r="B1611" t="s">
        <v>811</v>
      </c>
      <c r="I1611" t="s">
        <v>808</v>
      </c>
    </row>
    <row r="1612" spans="1:9" hidden="1" x14ac:dyDescent="0.2">
      <c r="A1612" t="s">
        <v>647</v>
      </c>
      <c r="B1612" t="s">
        <v>824</v>
      </c>
      <c r="D1612">
        <v>0</v>
      </c>
      <c r="H1612">
        <v>0</v>
      </c>
      <c r="I1612" t="s">
        <v>808</v>
      </c>
    </row>
    <row r="1613" spans="1:9" hidden="1" x14ac:dyDescent="0.2">
      <c r="A1613" t="s">
        <v>648</v>
      </c>
      <c r="B1613" t="s">
        <v>822</v>
      </c>
      <c r="C1613">
        <v>0</v>
      </c>
      <c r="D1613">
        <v>0</v>
      </c>
      <c r="F1613">
        <v>0</v>
      </c>
      <c r="H1613">
        <v>0</v>
      </c>
      <c r="I1613" t="s">
        <v>808</v>
      </c>
    </row>
    <row r="1614" spans="1:9" hidden="1" x14ac:dyDescent="0.2">
      <c r="A1614" t="s">
        <v>649</v>
      </c>
      <c r="B1614" t="s">
        <v>825</v>
      </c>
      <c r="I1614" t="s">
        <v>808</v>
      </c>
    </row>
    <row r="1615" spans="1:9" hidden="1" x14ac:dyDescent="0.2">
      <c r="A1615" t="s">
        <v>650</v>
      </c>
      <c r="B1615" t="s">
        <v>816</v>
      </c>
      <c r="C1615">
        <v>0</v>
      </c>
      <c r="D1615">
        <v>6.9831074675054622E-4</v>
      </c>
      <c r="E1615">
        <v>0</v>
      </c>
      <c r="F1615">
        <v>0</v>
      </c>
      <c r="G1615">
        <v>0</v>
      </c>
      <c r="H1615">
        <v>0</v>
      </c>
      <c r="I1615" t="s">
        <v>808</v>
      </c>
    </row>
    <row r="1616" spans="1:9" hidden="1" x14ac:dyDescent="0.2">
      <c r="A1616" t="s">
        <v>650</v>
      </c>
      <c r="B1616" t="s">
        <v>825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 t="s">
        <v>808</v>
      </c>
    </row>
    <row r="1617" spans="1:9" hidden="1" x14ac:dyDescent="0.2">
      <c r="A1617" t="s">
        <v>651</v>
      </c>
      <c r="B1617" t="s">
        <v>810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 t="s">
        <v>808</v>
      </c>
    </row>
    <row r="1618" spans="1:9" hidden="1" x14ac:dyDescent="0.2">
      <c r="A1618" t="s">
        <v>651</v>
      </c>
      <c r="B1618" t="s">
        <v>825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 t="s">
        <v>808</v>
      </c>
    </row>
    <row r="1619" spans="1:9" hidden="1" x14ac:dyDescent="0.2">
      <c r="A1619" t="s">
        <v>652</v>
      </c>
      <c r="B1619" t="s">
        <v>816</v>
      </c>
      <c r="C1619">
        <v>0</v>
      </c>
      <c r="D1619">
        <v>7.0183027562106303E-3</v>
      </c>
      <c r="E1619">
        <v>0</v>
      </c>
      <c r="F1619">
        <v>0</v>
      </c>
      <c r="G1619">
        <v>0</v>
      </c>
      <c r="H1619">
        <v>0</v>
      </c>
      <c r="I1619" t="s">
        <v>808</v>
      </c>
    </row>
    <row r="1620" spans="1:9" hidden="1" x14ac:dyDescent="0.2">
      <c r="A1620" t="s">
        <v>652</v>
      </c>
      <c r="B1620" t="s">
        <v>822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 t="s">
        <v>808</v>
      </c>
    </row>
    <row r="1621" spans="1:9" hidden="1" x14ac:dyDescent="0.2">
      <c r="A1621" t="s">
        <v>653</v>
      </c>
      <c r="B1621" t="s">
        <v>810</v>
      </c>
      <c r="C1621">
        <v>0</v>
      </c>
      <c r="D1621">
        <v>1.022362079698585E-4</v>
      </c>
      <c r="E1621">
        <v>3.11110928140548E-3</v>
      </c>
      <c r="F1621">
        <v>0</v>
      </c>
      <c r="G1621">
        <v>0</v>
      </c>
      <c r="H1621">
        <v>0</v>
      </c>
      <c r="I1621" t="s">
        <v>808</v>
      </c>
    </row>
    <row r="1622" spans="1:9" hidden="1" x14ac:dyDescent="0.2">
      <c r="A1622" t="s">
        <v>653</v>
      </c>
      <c r="B1622" t="s">
        <v>822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 t="s">
        <v>808</v>
      </c>
    </row>
    <row r="1623" spans="1:9" hidden="1" x14ac:dyDescent="0.2">
      <c r="A1623" t="s">
        <v>654</v>
      </c>
      <c r="B1623" t="s">
        <v>822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 t="s">
        <v>808</v>
      </c>
    </row>
    <row r="1624" spans="1:9" hidden="1" x14ac:dyDescent="0.2">
      <c r="A1624" t="s">
        <v>654</v>
      </c>
      <c r="B1624" t="s">
        <v>812</v>
      </c>
      <c r="C1624">
        <v>0</v>
      </c>
      <c r="D1624">
        <v>3.6503692827681171E-4</v>
      </c>
      <c r="E1624">
        <v>0</v>
      </c>
      <c r="F1624">
        <v>0</v>
      </c>
      <c r="G1624">
        <v>0</v>
      </c>
      <c r="H1624">
        <v>0</v>
      </c>
      <c r="I1624" t="s">
        <v>808</v>
      </c>
    </row>
    <row r="1625" spans="1:9" hidden="1" x14ac:dyDescent="0.2">
      <c r="A1625" t="s">
        <v>655</v>
      </c>
      <c r="B1625" t="s">
        <v>810</v>
      </c>
      <c r="C1625">
        <v>0</v>
      </c>
      <c r="D1625">
        <v>6.5822469819991061E-3</v>
      </c>
      <c r="E1625">
        <v>0</v>
      </c>
      <c r="F1625">
        <v>0</v>
      </c>
      <c r="G1625">
        <v>0</v>
      </c>
      <c r="H1625">
        <v>0</v>
      </c>
      <c r="I1625" t="s">
        <v>808</v>
      </c>
    </row>
    <row r="1626" spans="1:9" hidden="1" x14ac:dyDescent="0.2">
      <c r="A1626" t="s">
        <v>655</v>
      </c>
      <c r="B1626" t="s">
        <v>824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 t="s">
        <v>808</v>
      </c>
    </row>
    <row r="1627" spans="1:9" hidden="1" x14ac:dyDescent="0.2">
      <c r="A1627" t="s">
        <v>656</v>
      </c>
      <c r="B1627" t="s">
        <v>810</v>
      </c>
      <c r="C1627">
        <v>4.9952825581882054</v>
      </c>
      <c r="D1627">
        <v>0</v>
      </c>
      <c r="E1627">
        <v>0</v>
      </c>
      <c r="F1627">
        <v>0</v>
      </c>
      <c r="G1627">
        <v>0</v>
      </c>
      <c r="H1627">
        <v>0</v>
      </c>
      <c r="I1627" t="s">
        <v>808</v>
      </c>
    </row>
    <row r="1628" spans="1:9" hidden="1" x14ac:dyDescent="0.2">
      <c r="A1628" t="s">
        <v>656</v>
      </c>
      <c r="B1628" t="s">
        <v>819</v>
      </c>
      <c r="C1628">
        <v>12.488206379197241</v>
      </c>
      <c r="D1628">
        <v>0</v>
      </c>
      <c r="E1628">
        <v>0</v>
      </c>
      <c r="F1628">
        <v>0</v>
      </c>
      <c r="G1628">
        <v>0</v>
      </c>
      <c r="H1628">
        <v>0</v>
      </c>
      <c r="I1628" t="s">
        <v>808</v>
      </c>
    </row>
    <row r="1629" spans="1:9" hidden="1" x14ac:dyDescent="0.2">
      <c r="A1629" t="s">
        <v>656</v>
      </c>
      <c r="B1629" t="s">
        <v>811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 t="s">
        <v>808</v>
      </c>
    </row>
    <row r="1630" spans="1:9" hidden="1" x14ac:dyDescent="0.2">
      <c r="A1630" t="s">
        <v>657</v>
      </c>
      <c r="B1630" t="s">
        <v>815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 t="s">
        <v>800</v>
      </c>
    </row>
    <row r="1631" spans="1:9" hidden="1" x14ac:dyDescent="0.2">
      <c r="A1631" t="s">
        <v>657</v>
      </c>
      <c r="B1631" t="s">
        <v>810</v>
      </c>
      <c r="C1631">
        <v>2.5151008783605699E-4</v>
      </c>
      <c r="D1631">
        <v>0</v>
      </c>
      <c r="E1631">
        <v>0</v>
      </c>
      <c r="F1631">
        <v>0</v>
      </c>
      <c r="G1631">
        <v>0</v>
      </c>
      <c r="H1631">
        <v>0</v>
      </c>
      <c r="I1631" t="s">
        <v>800</v>
      </c>
    </row>
    <row r="1632" spans="1:9" hidden="1" x14ac:dyDescent="0.2">
      <c r="A1632" t="s">
        <v>657</v>
      </c>
      <c r="B1632" t="s">
        <v>824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 t="s">
        <v>800</v>
      </c>
    </row>
    <row r="1633" spans="1:9" hidden="1" x14ac:dyDescent="0.2">
      <c r="A1633" t="s">
        <v>658</v>
      </c>
      <c r="B1633" t="s">
        <v>816</v>
      </c>
      <c r="D1633">
        <v>2.059679336626323E-2</v>
      </c>
      <c r="E1633">
        <v>1.3253819358937E-3</v>
      </c>
      <c r="F1633">
        <v>3.6200043246421149E-4</v>
      </c>
      <c r="G1633">
        <v>1.588282927009309E-3</v>
      </c>
      <c r="H1633">
        <v>0</v>
      </c>
      <c r="I1633" t="s">
        <v>788</v>
      </c>
    </row>
    <row r="1634" spans="1:9" hidden="1" x14ac:dyDescent="0.2">
      <c r="A1634" t="s">
        <v>658</v>
      </c>
      <c r="B1634" t="s">
        <v>825</v>
      </c>
      <c r="D1634">
        <v>0</v>
      </c>
      <c r="E1634">
        <v>0</v>
      </c>
      <c r="F1634">
        <v>0</v>
      </c>
      <c r="G1634">
        <v>0</v>
      </c>
      <c r="H1634">
        <v>0</v>
      </c>
      <c r="I1634" t="s">
        <v>788</v>
      </c>
    </row>
    <row r="1635" spans="1:9" hidden="1" x14ac:dyDescent="0.2">
      <c r="A1635" t="s">
        <v>659</v>
      </c>
      <c r="B1635" t="s">
        <v>810</v>
      </c>
      <c r="D1635">
        <v>0</v>
      </c>
      <c r="E1635">
        <v>0</v>
      </c>
      <c r="F1635">
        <v>0</v>
      </c>
      <c r="G1635">
        <v>0</v>
      </c>
      <c r="H1635">
        <v>0</v>
      </c>
      <c r="I1635" t="s">
        <v>788</v>
      </c>
    </row>
    <row r="1636" spans="1:9" hidden="1" x14ac:dyDescent="0.2">
      <c r="A1636" t="s">
        <v>659</v>
      </c>
      <c r="B1636" t="s">
        <v>825</v>
      </c>
      <c r="D1636">
        <v>0</v>
      </c>
      <c r="E1636">
        <v>0</v>
      </c>
      <c r="F1636">
        <v>0</v>
      </c>
      <c r="G1636">
        <v>0</v>
      </c>
      <c r="H1636">
        <v>0</v>
      </c>
      <c r="I1636" t="s">
        <v>788</v>
      </c>
    </row>
    <row r="1637" spans="1:9" hidden="1" x14ac:dyDescent="0.2">
      <c r="A1637" t="s">
        <v>660</v>
      </c>
      <c r="B1637" t="s">
        <v>816</v>
      </c>
      <c r="I1637" t="s">
        <v>798</v>
      </c>
    </row>
    <row r="1638" spans="1:9" hidden="1" x14ac:dyDescent="0.2">
      <c r="A1638" t="s">
        <v>660</v>
      </c>
      <c r="B1638" t="s">
        <v>825</v>
      </c>
      <c r="I1638" t="s">
        <v>798</v>
      </c>
    </row>
    <row r="1639" spans="1:9" hidden="1" x14ac:dyDescent="0.2">
      <c r="A1639" t="s">
        <v>661</v>
      </c>
      <c r="B1639" t="s">
        <v>810</v>
      </c>
      <c r="I1639" t="s">
        <v>798</v>
      </c>
    </row>
    <row r="1640" spans="1:9" hidden="1" x14ac:dyDescent="0.2">
      <c r="A1640" t="s">
        <v>661</v>
      </c>
      <c r="B1640" t="s">
        <v>825</v>
      </c>
      <c r="I1640" t="s">
        <v>798</v>
      </c>
    </row>
    <row r="1641" spans="1:9" hidden="1" x14ac:dyDescent="0.2">
      <c r="A1641" t="s">
        <v>662</v>
      </c>
      <c r="B1641" t="s">
        <v>855</v>
      </c>
      <c r="C1641">
        <v>0</v>
      </c>
      <c r="D1641">
        <v>4.2957952643418451E-3</v>
      </c>
      <c r="E1641">
        <v>0</v>
      </c>
      <c r="F1641">
        <v>0</v>
      </c>
      <c r="G1641">
        <v>0</v>
      </c>
      <c r="H1641">
        <v>0</v>
      </c>
      <c r="I1641" t="s">
        <v>789</v>
      </c>
    </row>
    <row r="1642" spans="1:9" hidden="1" x14ac:dyDescent="0.2">
      <c r="A1642" t="s">
        <v>662</v>
      </c>
      <c r="B1642" t="s">
        <v>825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 t="s">
        <v>789</v>
      </c>
    </row>
    <row r="1643" spans="1:9" hidden="1" x14ac:dyDescent="0.2">
      <c r="A1643" t="s">
        <v>662</v>
      </c>
      <c r="B1643" t="s">
        <v>849</v>
      </c>
      <c r="C1643">
        <v>0</v>
      </c>
      <c r="D1643">
        <v>9.1856502219521879E-2</v>
      </c>
      <c r="E1643">
        <v>0</v>
      </c>
      <c r="F1643">
        <v>0</v>
      </c>
      <c r="G1643">
        <v>0</v>
      </c>
      <c r="H1643">
        <v>0</v>
      </c>
      <c r="I1643" t="s">
        <v>789</v>
      </c>
    </row>
    <row r="1644" spans="1:9" hidden="1" x14ac:dyDescent="0.2">
      <c r="A1644" t="s">
        <v>662</v>
      </c>
      <c r="B1644" t="s">
        <v>856</v>
      </c>
      <c r="C1644">
        <v>0</v>
      </c>
      <c r="D1644">
        <v>5.9430191045722826E-4</v>
      </c>
      <c r="E1644">
        <v>0</v>
      </c>
      <c r="F1644">
        <v>0</v>
      </c>
      <c r="G1644">
        <v>0</v>
      </c>
      <c r="H1644">
        <v>0</v>
      </c>
      <c r="I1644" t="s">
        <v>789</v>
      </c>
    </row>
    <row r="1645" spans="1:9" hidden="1" x14ac:dyDescent="0.2">
      <c r="A1645" t="s">
        <v>663</v>
      </c>
      <c r="B1645" t="s">
        <v>855</v>
      </c>
      <c r="D1645">
        <v>1.635277552619757E-5</v>
      </c>
      <c r="I1645" t="s">
        <v>789</v>
      </c>
    </row>
    <row r="1646" spans="1:9" hidden="1" x14ac:dyDescent="0.2">
      <c r="A1646" t="s">
        <v>663</v>
      </c>
      <c r="B1646" t="s">
        <v>821</v>
      </c>
      <c r="D1646">
        <v>0</v>
      </c>
      <c r="I1646" t="s">
        <v>789</v>
      </c>
    </row>
    <row r="1647" spans="1:9" hidden="1" x14ac:dyDescent="0.2">
      <c r="A1647" t="s">
        <v>663</v>
      </c>
      <c r="B1647" t="s">
        <v>849</v>
      </c>
      <c r="D1647">
        <v>1.4972940650204809E-4</v>
      </c>
      <c r="I1647" t="s">
        <v>789</v>
      </c>
    </row>
    <row r="1648" spans="1:9" hidden="1" x14ac:dyDescent="0.2">
      <c r="A1648" t="s">
        <v>663</v>
      </c>
      <c r="B1648" t="s">
        <v>856</v>
      </c>
      <c r="D1648">
        <v>7.503994082528092E-6</v>
      </c>
      <c r="I1648" t="s">
        <v>789</v>
      </c>
    </row>
    <row r="1649" spans="1:9" hidden="1" x14ac:dyDescent="0.2">
      <c r="A1649" t="s">
        <v>664</v>
      </c>
      <c r="B1649" t="s">
        <v>840</v>
      </c>
      <c r="C1649">
        <v>0</v>
      </c>
      <c r="I1649" t="s">
        <v>789</v>
      </c>
    </row>
    <row r="1650" spans="1:9" hidden="1" x14ac:dyDescent="0.2">
      <c r="A1650" t="s">
        <v>664</v>
      </c>
      <c r="B1650" t="s">
        <v>829</v>
      </c>
      <c r="C1650">
        <v>0</v>
      </c>
      <c r="I1650" t="s">
        <v>789</v>
      </c>
    </row>
    <row r="1651" spans="1:9" hidden="1" x14ac:dyDescent="0.2">
      <c r="A1651" t="s">
        <v>664</v>
      </c>
      <c r="B1651" t="s">
        <v>839</v>
      </c>
      <c r="C1651">
        <v>0</v>
      </c>
      <c r="I1651" t="s">
        <v>789</v>
      </c>
    </row>
    <row r="1652" spans="1:9" hidden="1" x14ac:dyDescent="0.2">
      <c r="A1652" t="s">
        <v>664</v>
      </c>
      <c r="B1652" t="s">
        <v>832</v>
      </c>
      <c r="C1652">
        <v>0</v>
      </c>
      <c r="I1652" t="s">
        <v>789</v>
      </c>
    </row>
    <row r="1653" spans="1:9" hidden="1" x14ac:dyDescent="0.2">
      <c r="A1653" t="s">
        <v>665</v>
      </c>
      <c r="B1653" t="s">
        <v>816</v>
      </c>
      <c r="C1653">
        <v>4.7762789293204449E-4</v>
      </c>
      <c r="D1653">
        <v>8.7801547790272121</v>
      </c>
      <c r="E1653">
        <v>0</v>
      </c>
      <c r="I1653" t="s">
        <v>789</v>
      </c>
    </row>
    <row r="1654" spans="1:9" hidden="1" x14ac:dyDescent="0.2">
      <c r="A1654" t="s">
        <v>665</v>
      </c>
      <c r="B1654" t="s">
        <v>815</v>
      </c>
      <c r="C1654">
        <v>2.069698208097799E-6</v>
      </c>
      <c r="D1654">
        <v>8.7801671608033677E-2</v>
      </c>
      <c r="E1654">
        <v>0</v>
      </c>
      <c r="I1654" t="s">
        <v>789</v>
      </c>
    </row>
    <row r="1655" spans="1:9" hidden="1" x14ac:dyDescent="0.2">
      <c r="A1655" t="s">
        <v>665</v>
      </c>
      <c r="B1655" t="s">
        <v>883</v>
      </c>
      <c r="C1655">
        <v>0</v>
      </c>
      <c r="D1655">
        <v>0</v>
      </c>
      <c r="E1655">
        <v>0</v>
      </c>
      <c r="I1655" t="s">
        <v>789</v>
      </c>
    </row>
    <row r="1656" spans="1:9" hidden="1" x14ac:dyDescent="0.2">
      <c r="A1656" t="s">
        <v>665</v>
      </c>
      <c r="B1656" t="s">
        <v>811</v>
      </c>
      <c r="C1656">
        <v>0</v>
      </c>
      <c r="D1656">
        <v>0</v>
      </c>
      <c r="E1656">
        <v>0</v>
      </c>
      <c r="I1656" t="s">
        <v>789</v>
      </c>
    </row>
    <row r="1657" spans="1:9" hidden="1" x14ac:dyDescent="0.2">
      <c r="A1657" t="s">
        <v>666</v>
      </c>
      <c r="B1657" t="s">
        <v>884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 t="s">
        <v>791</v>
      </c>
    </row>
    <row r="1658" spans="1:9" hidden="1" x14ac:dyDescent="0.2">
      <c r="A1658" t="s">
        <v>666</v>
      </c>
      <c r="B1658" t="s">
        <v>814</v>
      </c>
      <c r="C1658">
        <v>51.398398208231512</v>
      </c>
      <c r="D1658">
        <v>0</v>
      </c>
      <c r="E1658">
        <v>0</v>
      </c>
      <c r="F1658">
        <v>0</v>
      </c>
      <c r="G1658">
        <v>0</v>
      </c>
      <c r="H1658">
        <v>0</v>
      </c>
      <c r="I1658" t="s">
        <v>791</v>
      </c>
    </row>
    <row r="1659" spans="1:9" hidden="1" x14ac:dyDescent="0.2">
      <c r="A1659" t="s">
        <v>666</v>
      </c>
      <c r="B1659" t="s">
        <v>885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 t="s">
        <v>791</v>
      </c>
    </row>
    <row r="1660" spans="1:9" hidden="1" x14ac:dyDescent="0.2">
      <c r="A1660" t="s">
        <v>666</v>
      </c>
      <c r="B1660" t="s">
        <v>810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 t="s">
        <v>791</v>
      </c>
    </row>
    <row r="1661" spans="1:9" hidden="1" x14ac:dyDescent="0.2">
      <c r="A1661" t="s">
        <v>667</v>
      </c>
      <c r="B1661" t="s">
        <v>885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 t="s">
        <v>789</v>
      </c>
    </row>
    <row r="1662" spans="1:9" hidden="1" x14ac:dyDescent="0.2">
      <c r="A1662" t="s">
        <v>667</v>
      </c>
      <c r="B1662" t="s">
        <v>883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 t="s">
        <v>789</v>
      </c>
    </row>
    <row r="1663" spans="1:9" hidden="1" x14ac:dyDescent="0.2">
      <c r="A1663" t="s">
        <v>667</v>
      </c>
      <c r="B1663" t="s">
        <v>886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 t="s">
        <v>789</v>
      </c>
    </row>
    <row r="1664" spans="1:9" hidden="1" x14ac:dyDescent="0.2">
      <c r="A1664" t="s">
        <v>668</v>
      </c>
      <c r="B1664" t="s">
        <v>853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 t="s">
        <v>789</v>
      </c>
    </row>
    <row r="1665" spans="1:9" hidden="1" x14ac:dyDescent="0.2">
      <c r="A1665" t="s">
        <v>668</v>
      </c>
      <c r="B1665" t="s">
        <v>885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 t="s">
        <v>789</v>
      </c>
    </row>
    <row r="1666" spans="1:9" hidden="1" x14ac:dyDescent="0.2">
      <c r="A1666" t="s">
        <v>668</v>
      </c>
      <c r="B1666" t="s">
        <v>810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 t="s">
        <v>789</v>
      </c>
    </row>
    <row r="1667" spans="1:9" hidden="1" x14ac:dyDescent="0.2">
      <c r="A1667" t="s">
        <v>668</v>
      </c>
      <c r="B1667" t="s">
        <v>824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 t="s">
        <v>789</v>
      </c>
    </row>
    <row r="1668" spans="1:9" hidden="1" x14ac:dyDescent="0.2">
      <c r="A1668" t="s">
        <v>668</v>
      </c>
      <c r="B1668" t="s">
        <v>840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 t="s">
        <v>789</v>
      </c>
    </row>
    <row r="1669" spans="1:9" hidden="1" x14ac:dyDescent="0.2">
      <c r="A1669" t="s">
        <v>668</v>
      </c>
      <c r="B1669" t="s">
        <v>883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 t="s">
        <v>789</v>
      </c>
    </row>
    <row r="1670" spans="1:9" hidden="1" x14ac:dyDescent="0.2">
      <c r="A1670" t="s">
        <v>668</v>
      </c>
      <c r="B1670" t="s">
        <v>830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 t="s">
        <v>789</v>
      </c>
    </row>
    <row r="1671" spans="1:9" hidden="1" x14ac:dyDescent="0.2">
      <c r="A1671" t="s">
        <v>668</v>
      </c>
      <c r="B1671" t="s">
        <v>831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 t="s">
        <v>789</v>
      </c>
    </row>
    <row r="1672" spans="1:9" hidden="1" x14ac:dyDescent="0.2">
      <c r="A1672" t="s">
        <v>668</v>
      </c>
      <c r="B1672" t="s">
        <v>832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 t="s">
        <v>789</v>
      </c>
    </row>
    <row r="1673" spans="1:9" hidden="1" x14ac:dyDescent="0.2">
      <c r="A1673" t="s">
        <v>668</v>
      </c>
      <c r="B1673" t="s">
        <v>854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 t="s">
        <v>789</v>
      </c>
    </row>
    <row r="1674" spans="1:9" hidden="1" x14ac:dyDescent="0.2">
      <c r="A1674" t="s">
        <v>668</v>
      </c>
      <c r="B1674" t="s">
        <v>886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 t="s">
        <v>789</v>
      </c>
    </row>
    <row r="1675" spans="1:9" hidden="1" x14ac:dyDescent="0.2">
      <c r="A1675" t="s">
        <v>669</v>
      </c>
      <c r="B1675" t="s">
        <v>815</v>
      </c>
      <c r="C1675">
        <v>0</v>
      </c>
      <c r="D1675">
        <v>1.8989866686548701E-5</v>
      </c>
      <c r="E1675">
        <v>0</v>
      </c>
      <c r="F1675">
        <v>0</v>
      </c>
      <c r="G1675">
        <v>1.477065449252757E-2</v>
      </c>
      <c r="H1675">
        <v>6.593443799933002E-2</v>
      </c>
      <c r="I1675" t="s">
        <v>806</v>
      </c>
    </row>
    <row r="1676" spans="1:9" hidden="1" x14ac:dyDescent="0.2">
      <c r="A1676" t="s">
        <v>669</v>
      </c>
      <c r="B1676" t="s">
        <v>810</v>
      </c>
      <c r="C1676">
        <v>0</v>
      </c>
      <c r="D1676">
        <v>1.371874913862637E-5</v>
      </c>
      <c r="E1676">
        <v>0</v>
      </c>
      <c r="F1676">
        <v>0</v>
      </c>
      <c r="G1676">
        <v>1.0670677716340631E-2</v>
      </c>
      <c r="H1676">
        <v>4.7631598277882561E-2</v>
      </c>
      <c r="I1676" t="s">
        <v>806</v>
      </c>
    </row>
    <row r="1677" spans="1:9" hidden="1" x14ac:dyDescent="0.2">
      <c r="A1677" t="s">
        <v>669</v>
      </c>
      <c r="B1677" t="s">
        <v>886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 t="s">
        <v>806</v>
      </c>
    </row>
    <row r="1678" spans="1:9" hidden="1" x14ac:dyDescent="0.2">
      <c r="A1678" t="s">
        <v>669</v>
      </c>
      <c r="B1678" t="s">
        <v>887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 t="s">
        <v>806</v>
      </c>
    </row>
    <row r="1679" spans="1:9" hidden="1" x14ac:dyDescent="0.2">
      <c r="A1679" t="s">
        <v>669</v>
      </c>
      <c r="B1679" t="s">
        <v>811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 t="s">
        <v>806</v>
      </c>
    </row>
    <row r="1680" spans="1:9" hidden="1" x14ac:dyDescent="0.2">
      <c r="A1680" t="s">
        <v>669</v>
      </c>
      <c r="B1680" t="s">
        <v>812</v>
      </c>
      <c r="C1680">
        <v>0</v>
      </c>
      <c r="D1680">
        <v>3.1083382370822511E-4</v>
      </c>
      <c r="E1680">
        <v>0</v>
      </c>
      <c r="F1680">
        <v>0</v>
      </c>
      <c r="G1680">
        <v>0.2417715312548151</v>
      </c>
      <c r="H1680">
        <v>1.079198240470737</v>
      </c>
      <c r="I1680" t="s">
        <v>806</v>
      </c>
    </row>
    <row r="1681" spans="1:9" hidden="1" x14ac:dyDescent="0.2">
      <c r="A1681" t="s">
        <v>670</v>
      </c>
      <c r="B1681" t="s">
        <v>810</v>
      </c>
      <c r="C1681">
        <v>0</v>
      </c>
      <c r="D1681">
        <v>1.075773306623512E-4</v>
      </c>
      <c r="E1681">
        <v>0</v>
      </c>
      <c r="F1681">
        <v>0</v>
      </c>
      <c r="G1681">
        <v>0</v>
      </c>
      <c r="H1681">
        <v>4.6636999403054808E-7</v>
      </c>
      <c r="I1681" t="s">
        <v>806</v>
      </c>
    </row>
    <row r="1682" spans="1:9" hidden="1" x14ac:dyDescent="0.2">
      <c r="A1682" t="s">
        <v>670</v>
      </c>
      <c r="B1682" t="s">
        <v>886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 t="s">
        <v>806</v>
      </c>
    </row>
    <row r="1683" spans="1:9" hidden="1" x14ac:dyDescent="0.2">
      <c r="A1683" t="s">
        <v>670</v>
      </c>
      <c r="B1683" t="s">
        <v>887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 t="s">
        <v>806</v>
      </c>
    </row>
    <row r="1684" spans="1:9" hidden="1" x14ac:dyDescent="0.2">
      <c r="A1684" t="s">
        <v>670</v>
      </c>
      <c r="B1684" t="s">
        <v>812</v>
      </c>
      <c r="C1684">
        <v>0</v>
      </c>
      <c r="D1684">
        <v>2.4250654480475E-4</v>
      </c>
      <c r="E1684">
        <v>0</v>
      </c>
      <c r="F1684">
        <v>0</v>
      </c>
      <c r="G1684">
        <v>0</v>
      </c>
      <c r="H1684">
        <v>1.0545678359884171E-6</v>
      </c>
      <c r="I1684" t="s">
        <v>806</v>
      </c>
    </row>
    <row r="1685" spans="1:9" hidden="1" x14ac:dyDescent="0.2">
      <c r="A1685" t="s">
        <v>671</v>
      </c>
      <c r="B1685" t="s">
        <v>843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 t="s">
        <v>791</v>
      </c>
    </row>
    <row r="1686" spans="1:9" hidden="1" x14ac:dyDescent="0.2">
      <c r="A1686" t="s">
        <v>671</v>
      </c>
      <c r="B1686" t="s">
        <v>845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 t="s">
        <v>791</v>
      </c>
    </row>
    <row r="1687" spans="1:9" hidden="1" x14ac:dyDescent="0.2">
      <c r="A1687" t="s">
        <v>671</v>
      </c>
      <c r="B1687" t="s">
        <v>885</v>
      </c>
      <c r="C1687">
        <v>4.9243279280313586E-4</v>
      </c>
      <c r="D1687">
        <v>0</v>
      </c>
      <c r="E1687">
        <v>0</v>
      </c>
      <c r="F1687">
        <v>0</v>
      </c>
      <c r="G1687">
        <v>0</v>
      </c>
      <c r="H1687">
        <v>0</v>
      </c>
      <c r="I1687" t="s">
        <v>791</v>
      </c>
    </row>
    <row r="1688" spans="1:9" hidden="1" x14ac:dyDescent="0.2">
      <c r="A1688" t="s">
        <v>671</v>
      </c>
      <c r="B1688" t="s">
        <v>810</v>
      </c>
      <c r="C1688">
        <v>2.067241878212083E-4</v>
      </c>
      <c r="D1688">
        <v>0</v>
      </c>
      <c r="E1688">
        <v>0</v>
      </c>
      <c r="F1688">
        <v>0</v>
      </c>
      <c r="G1688">
        <v>0</v>
      </c>
      <c r="H1688">
        <v>0</v>
      </c>
      <c r="I1688" t="s">
        <v>791</v>
      </c>
    </row>
    <row r="1689" spans="1:9" hidden="1" x14ac:dyDescent="0.2">
      <c r="A1689" t="s">
        <v>671</v>
      </c>
      <c r="B1689" t="s">
        <v>883</v>
      </c>
      <c r="C1689">
        <v>2.1391530022002409E-4</v>
      </c>
      <c r="D1689">
        <v>0</v>
      </c>
      <c r="E1689">
        <v>0</v>
      </c>
      <c r="F1689">
        <v>0</v>
      </c>
      <c r="G1689">
        <v>0</v>
      </c>
      <c r="H1689">
        <v>0</v>
      </c>
      <c r="I1689" t="s">
        <v>791</v>
      </c>
    </row>
    <row r="1690" spans="1:9" hidden="1" x14ac:dyDescent="0.2">
      <c r="A1690" t="s">
        <v>671</v>
      </c>
      <c r="B1690" t="s">
        <v>846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 t="s">
        <v>791</v>
      </c>
    </row>
    <row r="1691" spans="1:9" hidden="1" x14ac:dyDescent="0.2">
      <c r="A1691" t="s">
        <v>671</v>
      </c>
      <c r="B1691" t="s">
        <v>886</v>
      </c>
      <c r="C1691">
        <v>3.806998440235247E-4</v>
      </c>
      <c r="D1691">
        <v>0</v>
      </c>
      <c r="E1691">
        <v>0</v>
      </c>
      <c r="F1691">
        <v>0</v>
      </c>
      <c r="G1691">
        <v>0</v>
      </c>
      <c r="H1691">
        <v>0</v>
      </c>
      <c r="I1691" t="s">
        <v>791</v>
      </c>
    </row>
    <row r="1692" spans="1:9" hidden="1" x14ac:dyDescent="0.2">
      <c r="A1692" t="s">
        <v>672</v>
      </c>
      <c r="B1692" t="s">
        <v>816</v>
      </c>
      <c r="C1692">
        <v>0</v>
      </c>
      <c r="D1692">
        <v>1.0691878879462481E-3</v>
      </c>
      <c r="E1692">
        <v>0</v>
      </c>
      <c r="F1692">
        <v>0</v>
      </c>
      <c r="G1692">
        <v>0</v>
      </c>
      <c r="H1692">
        <v>0</v>
      </c>
      <c r="I1692" t="s">
        <v>789</v>
      </c>
    </row>
    <row r="1693" spans="1:9" hidden="1" x14ac:dyDescent="0.2">
      <c r="A1693" t="s">
        <v>672</v>
      </c>
      <c r="B1693" t="s">
        <v>824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 t="s">
        <v>789</v>
      </c>
    </row>
    <row r="1694" spans="1:9" hidden="1" x14ac:dyDescent="0.2">
      <c r="A1694" t="s">
        <v>673</v>
      </c>
      <c r="B1694" t="s">
        <v>816</v>
      </c>
      <c r="C1694">
        <v>130.10815190384031</v>
      </c>
      <c r="D1694">
        <v>0</v>
      </c>
      <c r="E1694">
        <v>0</v>
      </c>
      <c r="F1694">
        <v>0</v>
      </c>
      <c r="G1694">
        <v>0</v>
      </c>
      <c r="H1694">
        <v>0</v>
      </c>
      <c r="I1694" t="s">
        <v>788</v>
      </c>
    </row>
    <row r="1695" spans="1:9" hidden="1" x14ac:dyDescent="0.2">
      <c r="A1695" t="s">
        <v>673</v>
      </c>
      <c r="B1695" t="s">
        <v>810</v>
      </c>
      <c r="C1695">
        <v>23.864785890230191</v>
      </c>
      <c r="D1695">
        <v>0</v>
      </c>
      <c r="E1695">
        <v>0</v>
      </c>
      <c r="F1695">
        <v>0</v>
      </c>
      <c r="G1695">
        <v>0</v>
      </c>
      <c r="H1695">
        <v>0</v>
      </c>
      <c r="I1695" t="s">
        <v>788</v>
      </c>
    </row>
    <row r="1696" spans="1:9" hidden="1" x14ac:dyDescent="0.2">
      <c r="A1696" t="s">
        <v>674</v>
      </c>
      <c r="B1696" t="s">
        <v>816</v>
      </c>
      <c r="C1696">
        <v>0</v>
      </c>
      <c r="D1696">
        <v>4.0108466629386979E-6</v>
      </c>
      <c r="E1696">
        <v>1.090735538761908E-6</v>
      </c>
      <c r="F1696">
        <v>0</v>
      </c>
      <c r="G1696">
        <v>0</v>
      </c>
      <c r="H1696">
        <v>8.8025532404803344E-7</v>
      </c>
      <c r="I1696" t="s">
        <v>788</v>
      </c>
    </row>
    <row r="1697" spans="1:9" hidden="1" x14ac:dyDescent="0.2">
      <c r="A1697" t="s">
        <v>674</v>
      </c>
      <c r="B1697" t="s">
        <v>810</v>
      </c>
      <c r="C1697">
        <v>0</v>
      </c>
      <c r="D1697">
        <v>2.9998483137115631E-5</v>
      </c>
      <c r="E1697">
        <v>9.1400496158833222E-6</v>
      </c>
      <c r="F1697">
        <v>0</v>
      </c>
      <c r="G1697">
        <v>0</v>
      </c>
      <c r="H1697">
        <v>8.5546859349650319E-6</v>
      </c>
      <c r="I1697" t="s">
        <v>788</v>
      </c>
    </row>
    <row r="1698" spans="1:9" hidden="1" x14ac:dyDescent="0.2">
      <c r="A1698" t="s">
        <v>675</v>
      </c>
      <c r="B1698" t="s">
        <v>816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 t="s">
        <v>788</v>
      </c>
    </row>
    <row r="1699" spans="1:9" hidden="1" x14ac:dyDescent="0.2">
      <c r="A1699" t="s">
        <v>675</v>
      </c>
      <c r="B1699" t="s">
        <v>810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 t="s">
        <v>788</v>
      </c>
    </row>
    <row r="1700" spans="1:9" hidden="1" x14ac:dyDescent="0.2">
      <c r="A1700" t="s">
        <v>676</v>
      </c>
      <c r="B1700" t="s">
        <v>816</v>
      </c>
      <c r="C1700">
        <v>386.85867424584751</v>
      </c>
      <c r="D1700">
        <v>0</v>
      </c>
      <c r="E1700">
        <v>0</v>
      </c>
      <c r="F1700">
        <v>0</v>
      </c>
      <c r="G1700">
        <v>0</v>
      </c>
      <c r="H1700">
        <v>0</v>
      </c>
      <c r="I1700" t="s">
        <v>788</v>
      </c>
    </row>
    <row r="1701" spans="1:9" hidden="1" x14ac:dyDescent="0.2">
      <c r="A1701" t="s">
        <v>676</v>
      </c>
      <c r="B1701" t="s">
        <v>810</v>
      </c>
      <c r="C1701">
        <v>36.496109924054153</v>
      </c>
      <c r="D1701">
        <v>0</v>
      </c>
      <c r="E1701">
        <v>0</v>
      </c>
      <c r="F1701">
        <v>0</v>
      </c>
      <c r="G1701">
        <v>0</v>
      </c>
      <c r="H1701">
        <v>0</v>
      </c>
      <c r="I1701" t="s">
        <v>788</v>
      </c>
    </row>
    <row r="1702" spans="1:9" hidden="1" x14ac:dyDescent="0.2">
      <c r="A1702" t="s">
        <v>677</v>
      </c>
      <c r="B1702" t="s">
        <v>810</v>
      </c>
      <c r="F1702">
        <v>2.1044038319978842E-6</v>
      </c>
      <c r="G1702">
        <v>6.0383881047135762E-5</v>
      </c>
      <c r="H1702">
        <v>1.311899490332257E-5</v>
      </c>
      <c r="I1702" t="s">
        <v>788</v>
      </c>
    </row>
    <row r="1703" spans="1:9" hidden="1" x14ac:dyDescent="0.2">
      <c r="A1703" t="s">
        <v>678</v>
      </c>
      <c r="B1703" t="s">
        <v>816</v>
      </c>
      <c r="C1703">
        <v>0</v>
      </c>
      <c r="D1703">
        <v>4.8072221530991837E-5</v>
      </c>
      <c r="E1703">
        <v>0</v>
      </c>
      <c r="F1703">
        <v>0</v>
      </c>
      <c r="G1703">
        <v>0</v>
      </c>
      <c r="H1703">
        <v>0</v>
      </c>
      <c r="I1703" t="s">
        <v>796</v>
      </c>
    </row>
    <row r="1704" spans="1:9" hidden="1" x14ac:dyDescent="0.2">
      <c r="A1704" t="s">
        <v>679</v>
      </c>
      <c r="B1704" t="s">
        <v>812</v>
      </c>
      <c r="C1704">
        <v>0</v>
      </c>
      <c r="D1704">
        <v>0</v>
      </c>
      <c r="E1704">
        <v>0</v>
      </c>
      <c r="F1704">
        <v>0</v>
      </c>
      <c r="G1704">
        <v>7.3509625206426414E-6</v>
      </c>
      <c r="H1704">
        <v>0</v>
      </c>
      <c r="I1704" t="s">
        <v>796</v>
      </c>
    </row>
    <row r="1705" spans="1:9" hidden="1" x14ac:dyDescent="0.2">
      <c r="A1705" t="s">
        <v>680</v>
      </c>
      <c r="B1705" t="s">
        <v>810</v>
      </c>
      <c r="C1705">
        <v>2.122380126513529E-4</v>
      </c>
      <c r="I1705" t="s">
        <v>789</v>
      </c>
    </row>
    <row r="1706" spans="1:9" hidden="1" x14ac:dyDescent="0.2">
      <c r="A1706" t="s">
        <v>680</v>
      </c>
      <c r="B1706" t="s">
        <v>888</v>
      </c>
      <c r="C1706">
        <v>0</v>
      </c>
      <c r="I1706" t="s">
        <v>789</v>
      </c>
    </row>
    <row r="1707" spans="1:9" hidden="1" x14ac:dyDescent="0.2">
      <c r="A1707" t="s">
        <v>680</v>
      </c>
      <c r="B1707" t="s">
        <v>889</v>
      </c>
      <c r="C1707">
        <v>1.0964553733201781E-2</v>
      </c>
      <c r="I1707" t="s">
        <v>789</v>
      </c>
    </row>
    <row r="1708" spans="1:9" hidden="1" x14ac:dyDescent="0.2">
      <c r="A1708" t="s">
        <v>680</v>
      </c>
      <c r="B1708" t="s">
        <v>811</v>
      </c>
      <c r="C1708">
        <v>0</v>
      </c>
      <c r="I1708" t="s">
        <v>789</v>
      </c>
    </row>
    <row r="1709" spans="1:9" hidden="1" x14ac:dyDescent="0.2">
      <c r="A1709" t="s">
        <v>680</v>
      </c>
      <c r="B1709" t="s">
        <v>812</v>
      </c>
      <c r="C1709">
        <v>5.1859376250694726E-4</v>
      </c>
      <c r="I1709" t="s">
        <v>789</v>
      </c>
    </row>
    <row r="1710" spans="1:9" hidden="1" x14ac:dyDescent="0.2">
      <c r="A1710" t="s">
        <v>681</v>
      </c>
      <c r="B1710" t="s">
        <v>855</v>
      </c>
      <c r="C1710">
        <v>0</v>
      </c>
      <c r="D1710">
        <v>2.117848940403225E-2</v>
      </c>
      <c r="E1710">
        <v>0</v>
      </c>
      <c r="F1710">
        <v>0</v>
      </c>
      <c r="G1710">
        <v>0</v>
      </c>
      <c r="H1710">
        <v>0</v>
      </c>
      <c r="I1710" t="s">
        <v>798</v>
      </c>
    </row>
    <row r="1711" spans="1:9" hidden="1" x14ac:dyDescent="0.2">
      <c r="A1711" t="s">
        <v>681</v>
      </c>
      <c r="B1711" t="s">
        <v>822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 t="s">
        <v>798</v>
      </c>
    </row>
    <row r="1712" spans="1:9" hidden="1" x14ac:dyDescent="0.2">
      <c r="A1712" t="s">
        <v>681</v>
      </c>
      <c r="B1712" t="s">
        <v>849</v>
      </c>
      <c r="C1712">
        <v>0</v>
      </c>
      <c r="D1712">
        <v>3.8085244431231851</v>
      </c>
      <c r="E1712">
        <v>0</v>
      </c>
      <c r="F1712">
        <v>0</v>
      </c>
      <c r="G1712">
        <v>0</v>
      </c>
      <c r="H1712">
        <v>0</v>
      </c>
      <c r="I1712" t="s">
        <v>798</v>
      </c>
    </row>
    <row r="1713" spans="1:9" hidden="1" x14ac:dyDescent="0.2">
      <c r="A1713" t="s">
        <v>681</v>
      </c>
      <c r="B1713" t="s">
        <v>856</v>
      </c>
      <c r="C1713">
        <v>0</v>
      </c>
      <c r="D1713">
        <v>3.5927301373725041E-3</v>
      </c>
      <c r="E1713">
        <v>0</v>
      </c>
      <c r="F1713">
        <v>0</v>
      </c>
      <c r="G1713">
        <v>0</v>
      </c>
      <c r="H1713">
        <v>0</v>
      </c>
      <c r="I1713" t="s">
        <v>798</v>
      </c>
    </row>
    <row r="1714" spans="1:9" hidden="1" x14ac:dyDescent="0.2">
      <c r="A1714" t="s">
        <v>682</v>
      </c>
      <c r="B1714" t="s">
        <v>855</v>
      </c>
      <c r="C1714">
        <v>0</v>
      </c>
      <c r="D1714">
        <v>5.443167912857589E-6</v>
      </c>
      <c r="E1714">
        <v>0</v>
      </c>
      <c r="F1714">
        <v>0</v>
      </c>
      <c r="G1714">
        <v>0</v>
      </c>
      <c r="H1714">
        <v>0</v>
      </c>
      <c r="I1714" t="s">
        <v>798</v>
      </c>
    </row>
    <row r="1715" spans="1:9" hidden="1" x14ac:dyDescent="0.2">
      <c r="A1715" t="s">
        <v>682</v>
      </c>
      <c r="B1715" t="s">
        <v>815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 t="s">
        <v>798</v>
      </c>
    </row>
    <row r="1716" spans="1:9" hidden="1" x14ac:dyDescent="0.2">
      <c r="A1716" t="s">
        <v>682</v>
      </c>
      <c r="B1716" t="s">
        <v>810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 t="s">
        <v>798</v>
      </c>
    </row>
    <row r="1717" spans="1:9" hidden="1" x14ac:dyDescent="0.2">
      <c r="A1717" t="s">
        <v>682</v>
      </c>
      <c r="B1717" t="s">
        <v>822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 t="s">
        <v>798</v>
      </c>
    </row>
    <row r="1718" spans="1:9" hidden="1" x14ac:dyDescent="0.2">
      <c r="A1718" t="s">
        <v>682</v>
      </c>
      <c r="B1718" t="s">
        <v>849</v>
      </c>
      <c r="C1718">
        <v>0</v>
      </c>
      <c r="D1718">
        <v>5.8772310524465429E-6</v>
      </c>
      <c r="E1718">
        <v>0</v>
      </c>
      <c r="F1718">
        <v>0</v>
      </c>
      <c r="G1718">
        <v>0</v>
      </c>
      <c r="H1718">
        <v>0</v>
      </c>
      <c r="I1718" t="s">
        <v>798</v>
      </c>
    </row>
    <row r="1719" spans="1:9" hidden="1" x14ac:dyDescent="0.2">
      <c r="A1719" t="s">
        <v>682</v>
      </c>
      <c r="B1719" t="s">
        <v>856</v>
      </c>
      <c r="C1719">
        <v>0</v>
      </c>
      <c r="D1719">
        <v>5.0838067315538413E-6</v>
      </c>
      <c r="E1719">
        <v>0</v>
      </c>
      <c r="F1719">
        <v>0</v>
      </c>
      <c r="G1719">
        <v>0</v>
      </c>
      <c r="H1719">
        <v>0</v>
      </c>
      <c r="I1719" t="s">
        <v>798</v>
      </c>
    </row>
    <row r="1720" spans="1:9" hidden="1" x14ac:dyDescent="0.2">
      <c r="A1720" t="s">
        <v>683</v>
      </c>
      <c r="B1720" t="s">
        <v>855</v>
      </c>
      <c r="C1720">
        <v>0</v>
      </c>
      <c r="D1720">
        <v>1.048202577478446E-3</v>
      </c>
      <c r="E1720">
        <v>0</v>
      </c>
      <c r="F1720">
        <v>1.2093959127515311E-6</v>
      </c>
      <c r="G1720">
        <v>0</v>
      </c>
      <c r="H1720">
        <v>0</v>
      </c>
      <c r="I1720" t="s">
        <v>798</v>
      </c>
    </row>
    <row r="1721" spans="1:9" hidden="1" x14ac:dyDescent="0.2">
      <c r="A1721" t="s">
        <v>683</v>
      </c>
      <c r="B1721" t="s">
        <v>824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 t="s">
        <v>798</v>
      </c>
    </row>
    <row r="1722" spans="1:9" hidden="1" x14ac:dyDescent="0.2">
      <c r="A1722" t="s">
        <v>683</v>
      </c>
      <c r="B1722" t="s">
        <v>849</v>
      </c>
      <c r="C1722">
        <v>0</v>
      </c>
      <c r="D1722">
        <v>9.8796119222586881E-2</v>
      </c>
      <c r="E1722">
        <v>0</v>
      </c>
      <c r="F1722">
        <v>0.1932130669625913</v>
      </c>
      <c r="G1722">
        <v>0</v>
      </c>
      <c r="H1722">
        <v>0</v>
      </c>
      <c r="I1722" t="s">
        <v>798</v>
      </c>
    </row>
    <row r="1723" spans="1:9" hidden="1" x14ac:dyDescent="0.2">
      <c r="A1723" t="s">
        <v>683</v>
      </c>
      <c r="B1723" t="s">
        <v>856</v>
      </c>
      <c r="C1723">
        <v>0</v>
      </c>
      <c r="D1723">
        <v>1.6880431899637561E-4</v>
      </c>
      <c r="E1723">
        <v>0</v>
      </c>
      <c r="F1723">
        <v>1.2432050367005109E-6</v>
      </c>
      <c r="G1723">
        <v>0</v>
      </c>
      <c r="H1723">
        <v>0</v>
      </c>
      <c r="I1723" t="s">
        <v>798</v>
      </c>
    </row>
    <row r="1724" spans="1:9" hidden="1" x14ac:dyDescent="0.2">
      <c r="A1724" t="s">
        <v>684</v>
      </c>
      <c r="B1724" t="s">
        <v>855</v>
      </c>
      <c r="C1724">
        <v>0</v>
      </c>
      <c r="D1724">
        <v>5.6050476542097914E-6</v>
      </c>
      <c r="E1724">
        <v>0</v>
      </c>
      <c r="F1724">
        <v>0</v>
      </c>
      <c r="G1724">
        <v>0</v>
      </c>
      <c r="H1724">
        <v>0</v>
      </c>
      <c r="I1724" t="s">
        <v>798</v>
      </c>
    </row>
    <row r="1725" spans="1:9" hidden="1" x14ac:dyDescent="0.2">
      <c r="A1725" t="s">
        <v>684</v>
      </c>
      <c r="B1725" t="s">
        <v>815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 t="s">
        <v>798</v>
      </c>
    </row>
    <row r="1726" spans="1:9" hidden="1" x14ac:dyDescent="0.2">
      <c r="A1726" t="s">
        <v>684</v>
      </c>
      <c r="B1726" t="s">
        <v>810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 t="s">
        <v>798</v>
      </c>
    </row>
    <row r="1727" spans="1:9" hidden="1" x14ac:dyDescent="0.2">
      <c r="A1727" t="s">
        <v>684</v>
      </c>
      <c r="B1727" t="s">
        <v>824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 t="s">
        <v>798</v>
      </c>
    </row>
    <row r="1728" spans="1:9" hidden="1" x14ac:dyDescent="0.2">
      <c r="A1728" t="s">
        <v>684</v>
      </c>
      <c r="B1728" t="s">
        <v>849</v>
      </c>
      <c r="C1728">
        <v>0</v>
      </c>
      <c r="D1728">
        <v>6.0520198257985124E-6</v>
      </c>
      <c r="E1728">
        <v>0</v>
      </c>
      <c r="F1728">
        <v>0</v>
      </c>
      <c r="G1728">
        <v>0</v>
      </c>
      <c r="H1728">
        <v>0</v>
      </c>
      <c r="I1728" t="s">
        <v>798</v>
      </c>
    </row>
    <row r="1729" spans="1:9" hidden="1" x14ac:dyDescent="0.2">
      <c r="A1729" t="s">
        <v>684</v>
      </c>
      <c r="B1729" t="s">
        <v>856</v>
      </c>
      <c r="C1729">
        <v>0</v>
      </c>
      <c r="D1729">
        <v>5.2349990761523883E-6</v>
      </c>
      <c r="E1729">
        <v>0</v>
      </c>
      <c r="F1729">
        <v>0</v>
      </c>
      <c r="G1729">
        <v>0</v>
      </c>
      <c r="H1729">
        <v>0</v>
      </c>
      <c r="I1729" t="s">
        <v>798</v>
      </c>
    </row>
    <row r="1730" spans="1:9" hidden="1" x14ac:dyDescent="0.2">
      <c r="A1730" t="s">
        <v>685</v>
      </c>
      <c r="B1730" t="s">
        <v>874</v>
      </c>
      <c r="C1730">
        <v>0</v>
      </c>
      <c r="D1730">
        <v>3.0831223101020883E-5</v>
      </c>
      <c r="E1730">
        <v>2.2357437691466339E-5</v>
      </c>
      <c r="F1730">
        <v>0</v>
      </c>
      <c r="G1730">
        <v>4.5239857454927758E-5</v>
      </c>
      <c r="H1730">
        <v>0</v>
      </c>
      <c r="I1730" t="s">
        <v>796</v>
      </c>
    </row>
    <row r="1731" spans="1:9" hidden="1" x14ac:dyDescent="0.2">
      <c r="A1731" t="s">
        <v>686</v>
      </c>
      <c r="B1731" t="s">
        <v>874</v>
      </c>
      <c r="C1731">
        <v>0</v>
      </c>
      <c r="D1731">
        <v>0.34448903704395079</v>
      </c>
      <c r="E1731">
        <v>3.1308983276279179E-4</v>
      </c>
      <c r="F1731">
        <v>0</v>
      </c>
      <c r="G1731">
        <v>0</v>
      </c>
      <c r="H1731">
        <v>0</v>
      </c>
      <c r="I1731" t="s">
        <v>796</v>
      </c>
    </row>
    <row r="1732" spans="1:9" hidden="1" x14ac:dyDescent="0.2">
      <c r="A1732" t="s">
        <v>687</v>
      </c>
      <c r="B1732" t="s">
        <v>816</v>
      </c>
      <c r="D1732">
        <v>0</v>
      </c>
      <c r="E1732">
        <v>0</v>
      </c>
      <c r="F1732">
        <v>0</v>
      </c>
      <c r="G1732">
        <v>0</v>
      </c>
      <c r="H1732">
        <v>0</v>
      </c>
      <c r="I1732" t="s">
        <v>798</v>
      </c>
    </row>
    <row r="1733" spans="1:9" hidden="1" x14ac:dyDescent="0.2">
      <c r="A1733" t="s">
        <v>687</v>
      </c>
      <c r="B1733" t="s">
        <v>815</v>
      </c>
      <c r="D1733">
        <v>0</v>
      </c>
      <c r="E1733">
        <v>0</v>
      </c>
      <c r="F1733">
        <v>0</v>
      </c>
      <c r="G1733">
        <v>0</v>
      </c>
      <c r="H1733">
        <v>0</v>
      </c>
      <c r="I1733" t="s">
        <v>798</v>
      </c>
    </row>
    <row r="1734" spans="1:9" hidden="1" x14ac:dyDescent="0.2">
      <c r="A1734" t="s">
        <v>687</v>
      </c>
      <c r="B1734" t="s">
        <v>890</v>
      </c>
      <c r="D1734">
        <v>0</v>
      </c>
      <c r="E1734">
        <v>0</v>
      </c>
      <c r="F1734">
        <v>0</v>
      </c>
      <c r="G1734">
        <v>0</v>
      </c>
      <c r="H1734">
        <v>0</v>
      </c>
      <c r="I1734" t="s">
        <v>798</v>
      </c>
    </row>
    <row r="1735" spans="1:9" hidden="1" x14ac:dyDescent="0.2">
      <c r="A1735" t="s">
        <v>687</v>
      </c>
      <c r="B1735" t="s">
        <v>811</v>
      </c>
      <c r="D1735">
        <v>0</v>
      </c>
      <c r="E1735">
        <v>0</v>
      </c>
      <c r="F1735">
        <v>0</v>
      </c>
      <c r="G1735">
        <v>0</v>
      </c>
      <c r="H1735">
        <v>0</v>
      </c>
      <c r="I1735" t="s">
        <v>798</v>
      </c>
    </row>
    <row r="1736" spans="1:9" hidden="1" x14ac:dyDescent="0.2">
      <c r="A1736" t="s">
        <v>688</v>
      </c>
      <c r="B1736" t="s">
        <v>884</v>
      </c>
      <c r="D1736">
        <v>0</v>
      </c>
      <c r="E1736">
        <v>0</v>
      </c>
      <c r="F1736">
        <v>0</v>
      </c>
      <c r="G1736">
        <v>0</v>
      </c>
      <c r="H1736">
        <v>0</v>
      </c>
      <c r="I1736" t="s">
        <v>807</v>
      </c>
    </row>
    <row r="1737" spans="1:9" hidden="1" x14ac:dyDescent="0.2">
      <c r="A1737" t="s">
        <v>688</v>
      </c>
      <c r="B1737" t="s">
        <v>890</v>
      </c>
      <c r="D1737">
        <v>0</v>
      </c>
      <c r="E1737">
        <v>0</v>
      </c>
      <c r="F1737">
        <v>0</v>
      </c>
      <c r="G1737">
        <v>0</v>
      </c>
      <c r="H1737">
        <v>0</v>
      </c>
      <c r="I1737" t="s">
        <v>807</v>
      </c>
    </row>
    <row r="1738" spans="1:9" hidden="1" x14ac:dyDescent="0.2">
      <c r="A1738" t="s">
        <v>688</v>
      </c>
      <c r="B1738" t="s">
        <v>887</v>
      </c>
      <c r="D1738">
        <v>0</v>
      </c>
      <c r="E1738">
        <v>0</v>
      </c>
      <c r="F1738">
        <v>0</v>
      </c>
      <c r="G1738">
        <v>0</v>
      </c>
      <c r="H1738">
        <v>0</v>
      </c>
      <c r="I1738" t="s">
        <v>807</v>
      </c>
    </row>
    <row r="1739" spans="1:9" hidden="1" x14ac:dyDescent="0.2">
      <c r="A1739" t="s">
        <v>689</v>
      </c>
      <c r="B1739" t="s">
        <v>816</v>
      </c>
      <c r="C1739">
        <v>8.2063726471827338E-4</v>
      </c>
      <c r="D1739">
        <v>0</v>
      </c>
      <c r="E1739">
        <v>0</v>
      </c>
      <c r="F1739">
        <v>0</v>
      </c>
      <c r="G1739">
        <v>0</v>
      </c>
      <c r="H1739">
        <v>0</v>
      </c>
      <c r="I1739" t="s">
        <v>797</v>
      </c>
    </row>
    <row r="1740" spans="1:9" hidden="1" x14ac:dyDescent="0.2">
      <c r="A1740" t="s">
        <v>689</v>
      </c>
      <c r="B1740" t="s">
        <v>810</v>
      </c>
      <c r="C1740">
        <v>7.417608817579646E-5</v>
      </c>
      <c r="D1740">
        <v>0</v>
      </c>
      <c r="E1740">
        <v>0</v>
      </c>
      <c r="F1740">
        <v>0</v>
      </c>
      <c r="G1740">
        <v>0</v>
      </c>
      <c r="H1740">
        <v>0</v>
      </c>
      <c r="I1740" t="s">
        <v>797</v>
      </c>
    </row>
    <row r="1741" spans="1:9" hidden="1" x14ac:dyDescent="0.2">
      <c r="A1741" t="s">
        <v>689</v>
      </c>
      <c r="B1741" t="s">
        <v>891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 t="s">
        <v>797</v>
      </c>
    </row>
    <row r="1742" spans="1:9" hidden="1" x14ac:dyDescent="0.2">
      <c r="A1742" t="s">
        <v>690</v>
      </c>
      <c r="B1742" t="s">
        <v>892</v>
      </c>
      <c r="C1742">
        <v>9.4856546496786195E-2</v>
      </c>
      <c r="D1742">
        <v>0</v>
      </c>
      <c r="E1742">
        <v>0</v>
      </c>
      <c r="F1742">
        <v>0</v>
      </c>
      <c r="G1742">
        <v>0</v>
      </c>
      <c r="H1742">
        <v>0</v>
      </c>
      <c r="I1742" t="s">
        <v>807</v>
      </c>
    </row>
    <row r="1743" spans="1:9" hidden="1" x14ac:dyDescent="0.2">
      <c r="A1743" t="s">
        <v>690</v>
      </c>
      <c r="B1743" t="s">
        <v>893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 t="s">
        <v>807</v>
      </c>
    </row>
    <row r="1744" spans="1:9" hidden="1" x14ac:dyDescent="0.2">
      <c r="A1744" t="s">
        <v>690</v>
      </c>
      <c r="B1744" t="s">
        <v>894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 t="s">
        <v>807</v>
      </c>
    </row>
    <row r="1745" spans="1:9" hidden="1" x14ac:dyDescent="0.2">
      <c r="A1745" t="s">
        <v>690</v>
      </c>
      <c r="B1745" t="s">
        <v>891</v>
      </c>
      <c r="C1745">
        <v>277.30999385135669</v>
      </c>
      <c r="D1745">
        <v>0</v>
      </c>
      <c r="E1745">
        <v>0</v>
      </c>
      <c r="F1745">
        <v>0</v>
      </c>
      <c r="G1745">
        <v>0</v>
      </c>
      <c r="H1745">
        <v>0</v>
      </c>
      <c r="I1745" t="s">
        <v>807</v>
      </c>
    </row>
    <row r="1746" spans="1:9" hidden="1" x14ac:dyDescent="0.2">
      <c r="A1746" t="s">
        <v>690</v>
      </c>
      <c r="B1746" t="s">
        <v>895</v>
      </c>
      <c r="C1746">
        <v>9.5079404404539589E-2</v>
      </c>
      <c r="D1746">
        <v>0</v>
      </c>
      <c r="E1746">
        <v>0</v>
      </c>
      <c r="F1746">
        <v>0</v>
      </c>
      <c r="G1746">
        <v>0</v>
      </c>
      <c r="H1746">
        <v>0</v>
      </c>
      <c r="I1746" t="s">
        <v>807</v>
      </c>
    </row>
    <row r="1747" spans="1:9" hidden="1" x14ac:dyDescent="0.2">
      <c r="A1747" t="s">
        <v>691</v>
      </c>
      <c r="B1747" t="s">
        <v>892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 t="s">
        <v>797</v>
      </c>
    </row>
    <row r="1748" spans="1:9" hidden="1" x14ac:dyDescent="0.2">
      <c r="A1748" t="s">
        <v>691</v>
      </c>
      <c r="B1748" t="s">
        <v>836</v>
      </c>
      <c r="C1748">
        <v>1.6483807107883941</v>
      </c>
      <c r="D1748">
        <v>0</v>
      </c>
      <c r="E1748">
        <v>0</v>
      </c>
      <c r="F1748">
        <v>0.79681942264140893</v>
      </c>
      <c r="G1748">
        <v>1.9362804894611541</v>
      </c>
      <c r="H1748">
        <v>0</v>
      </c>
      <c r="I1748" t="s">
        <v>797</v>
      </c>
    </row>
    <row r="1749" spans="1:9" hidden="1" x14ac:dyDescent="0.2">
      <c r="A1749" t="s">
        <v>691</v>
      </c>
      <c r="B1749" t="s">
        <v>893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 t="s">
        <v>797</v>
      </c>
    </row>
    <row r="1750" spans="1:9" hidden="1" x14ac:dyDescent="0.2">
      <c r="A1750" t="s">
        <v>691</v>
      </c>
      <c r="B1750" t="s">
        <v>810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 t="s">
        <v>797</v>
      </c>
    </row>
    <row r="1751" spans="1:9" hidden="1" x14ac:dyDescent="0.2">
      <c r="A1751" t="s">
        <v>692</v>
      </c>
      <c r="B1751" t="s">
        <v>893</v>
      </c>
      <c r="C1751">
        <v>0</v>
      </c>
      <c r="D1751">
        <v>1.041997016841966E-13</v>
      </c>
      <c r="E1751">
        <v>0</v>
      </c>
      <c r="F1751">
        <v>0</v>
      </c>
      <c r="G1751">
        <v>0</v>
      </c>
      <c r="H1751">
        <v>0</v>
      </c>
      <c r="I1751" t="s">
        <v>797</v>
      </c>
    </row>
    <row r="1752" spans="1:9" hidden="1" x14ac:dyDescent="0.2">
      <c r="A1752" t="s">
        <v>692</v>
      </c>
      <c r="B1752" t="s">
        <v>815</v>
      </c>
      <c r="C1752">
        <v>0</v>
      </c>
      <c r="D1752">
        <v>1.6629754616136118E-5</v>
      </c>
      <c r="E1752">
        <v>0</v>
      </c>
      <c r="F1752">
        <v>0</v>
      </c>
      <c r="G1752">
        <v>0</v>
      </c>
      <c r="H1752">
        <v>8.9494339997837026E-7</v>
      </c>
      <c r="I1752" t="s">
        <v>797</v>
      </c>
    </row>
    <row r="1753" spans="1:9" hidden="1" x14ac:dyDescent="0.2">
      <c r="A1753" t="s">
        <v>692</v>
      </c>
      <c r="B1753" t="s">
        <v>810</v>
      </c>
      <c r="C1753">
        <v>0</v>
      </c>
      <c r="D1753">
        <v>1.420664122721097E-5</v>
      </c>
      <c r="E1753">
        <v>0</v>
      </c>
      <c r="F1753">
        <v>0</v>
      </c>
      <c r="G1753">
        <v>0</v>
      </c>
      <c r="H1753">
        <v>1.3159026286519199E-6</v>
      </c>
      <c r="I1753" t="s">
        <v>797</v>
      </c>
    </row>
    <row r="1754" spans="1:9" hidden="1" x14ac:dyDescent="0.2">
      <c r="A1754" t="s">
        <v>692</v>
      </c>
      <c r="B1754" t="s">
        <v>895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 t="s">
        <v>797</v>
      </c>
    </row>
    <row r="1755" spans="1:9" hidden="1" x14ac:dyDescent="0.2">
      <c r="A1755" t="s">
        <v>692</v>
      </c>
      <c r="B1755" t="s">
        <v>811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 t="s">
        <v>797</v>
      </c>
    </row>
    <row r="1756" spans="1:9" hidden="1" x14ac:dyDescent="0.2">
      <c r="A1756" t="s">
        <v>692</v>
      </c>
      <c r="B1756" t="s">
        <v>812</v>
      </c>
      <c r="C1756">
        <v>0</v>
      </c>
      <c r="D1756">
        <v>1.7628715140947059E-4</v>
      </c>
      <c r="E1756">
        <v>0</v>
      </c>
      <c r="F1756">
        <v>0</v>
      </c>
      <c r="G1756">
        <v>0</v>
      </c>
      <c r="H1756">
        <v>1.897406501348409E-5</v>
      </c>
      <c r="I1756" t="s">
        <v>797</v>
      </c>
    </row>
    <row r="1757" spans="1:9" hidden="1" x14ac:dyDescent="0.2">
      <c r="A1757" t="s">
        <v>693</v>
      </c>
      <c r="B1757" t="s">
        <v>884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 t="s">
        <v>791</v>
      </c>
    </row>
    <row r="1758" spans="1:9" hidden="1" x14ac:dyDescent="0.2">
      <c r="A1758" t="s">
        <v>693</v>
      </c>
      <c r="B1758" t="s">
        <v>814</v>
      </c>
      <c r="C1758">
        <v>5.4464858643485216E-3</v>
      </c>
      <c r="D1758">
        <v>0</v>
      </c>
      <c r="E1758">
        <v>0</v>
      </c>
      <c r="F1758">
        <v>30.355063962384449</v>
      </c>
      <c r="G1758">
        <v>0</v>
      </c>
      <c r="H1758">
        <v>0</v>
      </c>
      <c r="I1758" t="s">
        <v>791</v>
      </c>
    </row>
    <row r="1759" spans="1:9" hidden="1" x14ac:dyDescent="0.2">
      <c r="A1759" t="s">
        <v>693</v>
      </c>
      <c r="B1759" t="s">
        <v>885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 t="s">
        <v>791</v>
      </c>
    </row>
    <row r="1760" spans="1:9" hidden="1" x14ac:dyDescent="0.2">
      <c r="A1760" t="s">
        <v>693</v>
      </c>
      <c r="B1760" t="s">
        <v>893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 t="s">
        <v>791</v>
      </c>
    </row>
    <row r="1761" spans="1:9" hidden="1" x14ac:dyDescent="0.2">
      <c r="A1761" t="s">
        <v>693</v>
      </c>
      <c r="B1761" t="s">
        <v>815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 t="s">
        <v>791</v>
      </c>
    </row>
    <row r="1762" spans="1:9" hidden="1" x14ac:dyDescent="0.2">
      <c r="A1762" t="s">
        <v>693</v>
      </c>
      <c r="B1762" t="s">
        <v>810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 t="s">
        <v>791</v>
      </c>
    </row>
    <row r="1763" spans="1:9" hidden="1" x14ac:dyDescent="0.2">
      <c r="A1763" t="s">
        <v>694</v>
      </c>
      <c r="B1763" t="s">
        <v>884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 t="s">
        <v>791</v>
      </c>
    </row>
    <row r="1764" spans="1:9" hidden="1" x14ac:dyDescent="0.2">
      <c r="A1764" t="s">
        <v>694</v>
      </c>
      <c r="B1764" t="s">
        <v>836</v>
      </c>
      <c r="C1764">
        <v>2.900886898099227E-4</v>
      </c>
      <c r="D1764">
        <v>0</v>
      </c>
      <c r="E1764">
        <v>0</v>
      </c>
      <c r="F1764">
        <v>0</v>
      </c>
      <c r="G1764">
        <v>0</v>
      </c>
      <c r="H1764">
        <v>7.1593986795541367E-4</v>
      </c>
      <c r="I1764" t="s">
        <v>791</v>
      </c>
    </row>
    <row r="1765" spans="1:9" hidden="1" x14ac:dyDescent="0.2">
      <c r="A1765" t="s">
        <v>694</v>
      </c>
      <c r="B1765" t="s">
        <v>885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 t="s">
        <v>791</v>
      </c>
    </row>
    <row r="1766" spans="1:9" hidden="1" x14ac:dyDescent="0.2">
      <c r="A1766" t="s">
        <v>694</v>
      </c>
      <c r="B1766" t="s">
        <v>893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 t="s">
        <v>791</v>
      </c>
    </row>
    <row r="1767" spans="1:9" hidden="1" x14ac:dyDescent="0.2">
      <c r="A1767" t="s">
        <v>694</v>
      </c>
      <c r="B1767" t="s">
        <v>815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8.3937971478096592E-6</v>
      </c>
      <c r="I1767" t="s">
        <v>791</v>
      </c>
    </row>
    <row r="1768" spans="1:9" hidden="1" x14ac:dyDescent="0.2">
      <c r="A1768" t="s">
        <v>694</v>
      </c>
      <c r="B1768" t="s">
        <v>811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 t="s">
        <v>791</v>
      </c>
    </row>
    <row r="1769" spans="1:9" hidden="1" x14ac:dyDescent="0.2">
      <c r="A1769" t="s">
        <v>695</v>
      </c>
      <c r="B1769" t="s">
        <v>844</v>
      </c>
      <c r="D1769">
        <v>0</v>
      </c>
      <c r="E1769">
        <v>0</v>
      </c>
      <c r="F1769">
        <v>0</v>
      </c>
      <c r="G1769">
        <v>0</v>
      </c>
      <c r="H1769">
        <v>0</v>
      </c>
      <c r="I1769" t="s">
        <v>791</v>
      </c>
    </row>
    <row r="1770" spans="1:9" hidden="1" x14ac:dyDescent="0.2">
      <c r="A1770" t="s">
        <v>695</v>
      </c>
      <c r="B1770" t="s">
        <v>814</v>
      </c>
      <c r="D1770">
        <v>1.096417825843413</v>
      </c>
      <c r="E1770">
        <v>0</v>
      </c>
      <c r="F1770">
        <v>0</v>
      </c>
      <c r="G1770">
        <v>0</v>
      </c>
      <c r="H1770">
        <v>0</v>
      </c>
      <c r="I1770" t="s">
        <v>791</v>
      </c>
    </row>
    <row r="1771" spans="1:9" hidden="1" x14ac:dyDescent="0.2">
      <c r="A1771" t="s">
        <v>695</v>
      </c>
      <c r="B1771" t="s">
        <v>893</v>
      </c>
      <c r="D1771">
        <v>0</v>
      </c>
      <c r="E1771">
        <v>0</v>
      </c>
      <c r="F1771">
        <v>0</v>
      </c>
      <c r="G1771">
        <v>0</v>
      </c>
      <c r="H1771">
        <v>0</v>
      </c>
      <c r="I1771" t="s">
        <v>791</v>
      </c>
    </row>
    <row r="1772" spans="1:9" hidden="1" x14ac:dyDescent="0.2">
      <c r="A1772" t="s">
        <v>695</v>
      </c>
      <c r="B1772" t="s">
        <v>815</v>
      </c>
      <c r="D1772">
        <v>0</v>
      </c>
      <c r="E1772">
        <v>0</v>
      </c>
      <c r="F1772">
        <v>0</v>
      </c>
      <c r="G1772">
        <v>0</v>
      </c>
      <c r="H1772">
        <v>0</v>
      </c>
      <c r="I1772" t="s">
        <v>791</v>
      </c>
    </row>
    <row r="1773" spans="1:9" hidden="1" x14ac:dyDescent="0.2">
      <c r="A1773" t="s">
        <v>695</v>
      </c>
      <c r="B1773" t="s">
        <v>810</v>
      </c>
      <c r="D1773">
        <v>0</v>
      </c>
      <c r="E1773">
        <v>0</v>
      </c>
      <c r="F1773">
        <v>0</v>
      </c>
      <c r="G1773">
        <v>0</v>
      </c>
      <c r="H1773">
        <v>0</v>
      </c>
      <c r="I1773" t="s">
        <v>791</v>
      </c>
    </row>
    <row r="1774" spans="1:9" hidden="1" x14ac:dyDescent="0.2">
      <c r="A1774" t="s">
        <v>696</v>
      </c>
      <c r="B1774" t="s">
        <v>874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 t="s">
        <v>791</v>
      </c>
    </row>
    <row r="1775" spans="1:9" hidden="1" x14ac:dyDescent="0.2">
      <c r="A1775" t="s">
        <v>696</v>
      </c>
      <c r="B1775" t="s">
        <v>814</v>
      </c>
      <c r="C1775">
        <v>0</v>
      </c>
      <c r="D1775">
        <v>1.249629301626062E-4</v>
      </c>
      <c r="E1775">
        <v>2.3709955926761819E-5</v>
      </c>
      <c r="F1775">
        <v>0</v>
      </c>
      <c r="G1775">
        <v>0</v>
      </c>
      <c r="H1775">
        <v>2.2308115944579581E-5</v>
      </c>
      <c r="I1775" t="s">
        <v>791</v>
      </c>
    </row>
    <row r="1776" spans="1:9" hidden="1" x14ac:dyDescent="0.2">
      <c r="A1776" t="s">
        <v>696</v>
      </c>
      <c r="B1776" t="s">
        <v>893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 t="s">
        <v>791</v>
      </c>
    </row>
    <row r="1777" spans="1:9" hidden="1" x14ac:dyDescent="0.2">
      <c r="A1777" t="s">
        <v>696</v>
      </c>
      <c r="B1777" t="s">
        <v>815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 t="s">
        <v>791</v>
      </c>
    </row>
    <row r="1778" spans="1:9" hidden="1" x14ac:dyDescent="0.2">
      <c r="A1778" t="s">
        <v>696</v>
      </c>
      <c r="B1778" t="s">
        <v>810</v>
      </c>
      <c r="C1778">
        <v>0</v>
      </c>
      <c r="D1778">
        <v>4.1967158785414889E-6</v>
      </c>
      <c r="E1778">
        <v>8.8353867147750273E-7</v>
      </c>
      <c r="F1778">
        <v>0</v>
      </c>
      <c r="G1778">
        <v>0</v>
      </c>
      <c r="H1778">
        <v>0</v>
      </c>
      <c r="I1778" t="s">
        <v>791</v>
      </c>
    </row>
    <row r="1779" spans="1:9" hidden="1" x14ac:dyDescent="0.2">
      <c r="A1779" t="s">
        <v>696</v>
      </c>
      <c r="B1779" t="s">
        <v>858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 t="s">
        <v>791</v>
      </c>
    </row>
    <row r="1780" spans="1:9" hidden="1" x14ac:dyDescent="0.2">
      <c r="A1780" t="s">
        <v>697</v>
      </c>
      <c r="B1780" t="s">
        <v>841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 t="s">
        <v>791</v>
      </c>
    </row>
    <row r="1781" spans="1:9" hidden="1" x14ac:dyDescent="0.2">
      <c r="A1781" t="s">
        <v>697</v>
      </c>
      <c r="B1781" t="s">
        <v>875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 t="s">
        <v>791</v>
      </c>
    </row>
    <row r="1782" spans="1:9" hidden="1" x14ac:dyDescent="0.2">
      <c r="A1782" t="s">
        <v>697</v>
      </c>
      <c r="B1782" t="s">
        <v>814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 t="s">
        <v>791</v>
      </c>
    </row>
    <row r="1783" spans="1:9" hidden="1" x14ac:dyDescent="0.2">
      <c r="A1783" t="s">
        <v>697</v>
      </c>
      <c r="B1783" t="s">
        <v>828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 t="s">
        <v>791</v>
      </c>
    </row>
    <row r="1784" spans="1:9" hidden="1" x14ac:dyDescent="0.2">
      <c r="A1784" t="s">
        <v>697</v>
      </c>
      <c r="B1784" t="s">
        <v>893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 t="s">
        <v>791</v>
      </c>
    </row>
    <row r="1785" spans="1:9" hidden="1" x14ac:dyDescent="0.2">
      <c r="A1785" t="s">
        <v>697</v>
      </c>
      <c r="B1785" t="s">
        <v>815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 t="s">
        <v>791</v>
      </c>
    </row>
    <row r="1786" spans="1:9" hidden="1" x14ac:dyDescent="0.2">
      <c r="A1786" t="s">
        <v>697</v>
      </c>
      <c r="B1786" t="s">
        <v>810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 t="s">
        <v>791</v>
      </c>
    </row>
    <row r="1787" spans="1:9" hidden="1" x14ac:dyDescent="0.2">
      <c r="A1787" t="s">
        <v>697</v>
      </c>
      <c r="B1787" t="s">
        <v>858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 t="s">
        <v>791</v>
      </c>
    </row>
    <row r="1788" spans="1:9" hidden="1" x14ac:dyDescent="0.2">
      <c r="A1788" t="s">
        <v>698</v>
      </c>
      <c r="B1788" t="s">
        <v>896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 t="s">
        <v>805</v>
      </c>
    </row>
    <row r="1789" spans="1:9" hidden="1" x14ac:dyDescent="0.2">
      <c r="A1789" t="s">
        <v>698</v>
      </c>
      <c r="B1789" t="s">
        <v>814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 t="s">
        <v>805</v>
      </c>
    </row>
    <row r="1790" spans="1:9" hidden="1" x14ac:dyDescent="0.2">
      <c r="A1790" t="s">
        <v>699</v>
      </c>
      <c r="B1790" t="s">
        <v>811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 t="s">
        <v>793</v>
      </c>
    </row>
    <row r="1791" spans="1:9" hidden="1" x14ac:dyDescent="0.2">
      <c r="A1791" t="s">
        <v>700</v>
      </c>
      <c r="B1791" t="s">
        <v>811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 t="s">
        <v>793</v>
      </c>
    </row>
    <row r="1792" spans="1:9" hidden="1" x14ac:dyDescent="0.2">
      <c r="A1792" t="s">
        <v>701</v>
      </c>
      <c r="B1792" t="s">
        <v>811</v>
      </c>
      <c r="C1792">
        <v>4.6297676599148111E-3</v>
      </c>
      <c r="D1792">
        <v>0</v>
      </c>
      <c r="E1792">
        <v>0</v>
      </c>
      <c r="F1792">
        <v>0</v>
      </c>
      <c r="G1792">
        <v>0</v>
      </c>
      <c r="H1792">
        <v>0</v>
      </c>
      <c r="I1792" t="s">
        <v>793</v>
      </c>
    </row>
    <row r="1793" spans="1:9" hidden="1" x14ac:dyDescent="0.2">
      <c r="A1793" t="s">
        <v>702</v>
      </c>
      <c r="B1793" t="s">
        <v>811</v>
      </c>
      <c r="C1793">
        <v>3.3848191931817179E-3</v>
      </c>
      <c r="D1793">
        <v>0</v>
      </c>
      <c r="E1793">
        <v>0</v>
      </c>
      <c r="F1793">
        <v>0</v>
      </c>
      <c r="G1793">
        <v>0</v>
      </c>
      <c r="H1793">
        <v>0</v>
      </c>
      <c r="I1793" t="s">
        <v>793</v>
      </c>
    </row>
    <row r="1794" spans="1:9" hidden="1" x14ac:dyDescent="0.2">
      <c r="A1794" t="s">
        <v>703</v>
      </c>
      <c r="B1794" t="s">
        <v>811</v>
      </c>
      <c r="C1794">
        <v>6158.531004218893</v>
      </c>
      <c r="D1794">
        <v>0</v>
      </c>
      <c r="E1794">
        <v>0</v>
      </c>
      <c r="F1794">
        <v>0</v>
      </c>
      <c r="G1794">
        <v>0</v>
      </c>
      <c r="H1794">
        <v>0</v>
      </c>
      <c r="I1794" t="s">
        <v>793</v>
      </c>
    </row>
    <row r="1795" spans="1:9" hidden="1" x14ac:dyDescent="0.2">
      <c r="A1795" t="s">
        <v>704</v>
      </c>
      <c r="B1795" t="s">
        <v>811</v>
      </c>
      <c r="C1795">
        <v>1.571765619276912E-3</v>
      </c>
      <c r="D1795">
        <v>0</v>
      </c>
      <c r="E1795">
        <v>0</v>
      </c>
      <c r="F1795">
        <v>0</v>
      </c>
      <c r="G1795">
        <v>0</v>
      </c>
      <c r="H1795">
        <v>0</v>
      </c>
      <c r="I1795" t="s">
        <v>793</v>
      </c>
    </row>
    <row r="1796" spans="1:9" hidden="1" x14ac:dyDescent="0.2">
      <c r="A1796" t="s">
        <v>705</v>
      </c>
      <c r="B1796" t="s">
        <v>811</v>
      </c>
      <c r="C1796">
        <v>9804.3881832413572</v>
      </c>
      <c r="D1796">
        <v>0</v>
      </c>
      <c r="E1796">
        <v>0</v>
      </c>
      <c r="F1796">
        <v>0</v>
      </c>
      <c r="G1796">
        <v>0</v>
      </c>
      <c r="H1796">
        <v>0</v>
      </c>
      <c r="I1796" t="s">
        <v>793</v>
      </c>
    </row>
    <row r="1797" spans="1:9" hidden="1" x14ac:dyDescent="0.2">
      <c r="A1797" t="s">
        <v>706</v>
      </c>
      <c r="B1797" t="s">
        <v>811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 t="s">
        <v>793</v>
      </c>
    </row>
    <row r="1798" spans="1:9" hidden="1" x14ac:dyDescent="0.2">
      <c r="A1798" t="s">
        <v>707</v>
      </c>
      <c r="B1798" t="s">
        <v>811</v>
      </c>
      <c r="C1798">
        <v>2951.0881681690948</v>
      </c>
      <c r="D1798">
        <v>0</v>
      </c>
      <c r="E1798">
        <v>0</v>
      </c>
      <c r="F1798">
        <v>0</v>
      </c>
      <c r="G1798">
        <v>0</v>
      </c>
      <c r="H1798">
        <v>0</v>
      </c>
      <c r="I1798" t="s">
        <v>793</v>
      </c>
    </row>
    <row r="1799" spans="1:9" hidden="1" x14ac:dyDescent="0.2">
      <c r="A1799" t="s">
        <v>708</v>
      </c>
      <c r="B1799" t="s">
        <v>811</v>
      </c>
      <c r="C1799">
        <v>2.0431056410690051E-3</v>
      </c>
      <c r="D1799">
        <v>0</v>
      </c>
      <c r="E1799">
        <v>0</v>
      </c>
      <c r="F1799">
        <v>0</v>
      </c>
      <c r="G1799">
        <v>0</v>
      </c>
      <c r="H1799">
        <v>0</v>
      </c>
      <c r="I1799" t="s">
        <v>793</v>
      </c>
    </row>
    <row r="1800" spans="1:9" hidden="1" x14ac:dyDescent="0.2">
      <c r="A1800" t="s">
        <v>709</v>
      </c>
      <c r="B1800" t="s">
        <v>893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 t="s">
        <v>806</v>
      </c>
    </row>
    <row r="1801" spans="1:9" hidden="1" x14ac:dyDescent="0.2">
      <c r="A1801" t="s">
        <v>709</v>
      </c>
      <c r="B1801" t="s">
        <v>842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 t="s">
        <v>806</v>
      </c>
    </row>
    <row r="1802" spans="1:9" hidden="1" x14ac:dyDescent="0.2">
      <c r="A1802" t="s">
        <v>709</v>
      </c>
      <c r="B1802" t="s">
        <v>876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 t="s">
        <v>806</v>
      </c>
    </row>
    <row r="1803" spans="1:9" hidden="1" x14ac:dyDescent="0.2">
      <c r="A1803" t="s">
        <v>709</v>
      </c>
      <c r="B1803" t="s">
        <v>834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 t="s">
        <v>806</v>
      </c>
    </row>
    <row r="1804" spans="1:9" hidden="1" x14ac:dyDescent="0.2">
      <c r="A1804" t="s">
        <v>709</v>
      </c>
      <c r="B1804" t="s">
        <v>877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 t="s">
        <v>806</v>
      </c>
    </row>
    <row r="1805" spans="1:9" hidden="1" x14ac:dyDescent="0.2">
      <c r="A1805" t="s">
        <v>710</v>
      </c>
      <c r="B1805" t="s">
        <v>844</v>
      </c>
      <c r="C1805">
        <v>0</v>
      </c>
      <c r="E1805">
        <v>0</v>
      </c>
      <c r="F1805">
        <v>0</v>
      </c>
      <c r="G1805">
        <v>0</v>
      </c>
      <c r="H1805">
        <v>0</v>
      </c>
      <c r="I1805" t="s">
        <v>789</v>
      </c>
    </row>
    <row r="1806" spans="1:9" hidden="1" x14ac:dyDescent="0.2">
      <c r="A1806" t="s">
        <v>710</v>
      </c>
      <c r="B1806" t="s">
        <v>810</v>
      </c>
      <c r="C1806">
        <v>0</v>
      </c>
      <c r="E1806">
        <v>0</v>
      </c>
      <c r="F1806">
        <v>0</v>
      </c>
      <c r="G1806">
        <v>0</v>
      </c>
      <c r="H1806">
        <v>0</v>
      </c>
      <c r="I1806" t="s">
        <v>789</v>
      </c>
    </row>
    <row r="1807" spans="1:9" hidden="1" x14ac:dyDescent="0.2">
      <c r="A1807" t="s">
        <v>710</v>
      </c>
      <c r="B1807" t="s">
        <v>824</v>
      </c>
      <c r="C1807">
        <v>0</v>
      </c>
      <c r="E1807">
        <v>0</v>
      </c>
      <c r="F1807">
        <v>0</v>
      </c>
      <c r="G1807">
        <v>0</v>
      </c>
      <c r="H1807">
        <v>0</v>
      </c>
      <c r="I1807" t="s">
        <v>789</v>
      </c>
    </row>
    <row r="1808" spans="1:9" hidden="1" x14ac:dyDescent="0.2">
      <c r="A1808" t="s">
        <v>711</v>
      </c>
      <c r="B1808" t="s">
        <v>841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 t="s">
        <v>791</v>
      </c>
    </row>
    <row r="1809" spans="1:9" hidden="1" x14ac:dyDescent="0.2">
      <c r="A1809" t="s">
        <v>711</v>
      </c>
      <c r="B1809" t="s">
        <v>875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 t="s">
        <v>791</v>
      </c>
    </row>
    <row r="1810" spans="1:9" hidden="1" x14ac:dyDescent="0.2">
      <c r="A1810" t="s">
        <v>711</v>
      </c>
      <c r="B1810" t="s">
        <v>814</v>
      </c>
      <c r="C1810">
        <v>0</v>
      </c>
      <c r="D1810">
        <v>5.8041488078449126E-4</v>
      </c>
      <c r="E1810">
        <v>1.307300104169103E-4</v>
      </c>
      <c r="F1810">
        <v>0</v>
      </c>
      <c r="G1810">
        <v>67.210094957031075</v>
      </c>
      <c r="H1810">
        <v>13.02719495889481</v>
      </c>
      <c r="I1810" t="s">
        <v>791</v>
      </c>
    </row>
    <row r="1811" spans="1:9" hidden="1" x14ac:dyDescent="0.2">
      <c r="A1811" t="s">
        <v>711</v>
      </c>
      <c r="B1811" t="s">
        <v>828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 t="s">
        <v>791</v>
      </c>
    </row>
    <row r="1812" spans="1:9" hidden="1" x14ac:dyDescent="0.2">
      <c r="A1812" t="s">
        <v>711</v>
      </c>
      <c r="B1812" t="s">
        <v>893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 t="s">
        <v>791</v>
      </c>
    </row>
    <row r="1813" spans="1:9" hidden="1" x14ac:dyDescent="0.2">
      <c r="A1813" t="s">
        <v>711</v>
      </c>
      <c r="B1813" t="s">
        <v>815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 t="s">
        <v>791</v>
      </c>
    </row>
    <row r="1814" spans="1:9" hidden="1" x14ac:dyDescent="0.2">
      <c r="A1814" t="s">
        <v>711</v>
      </c>
      <c r="B1814" t="s">
        <v>810</v>
      </c>
      <c r="C1814">
        <v>0</v>
      </c>
      <c r="D1814">
        <v>3.746159281299669E-6</v>
      </c>
      <c r="E1814">
        <v>9.3624485560420767E-7</v>
      </c>
      <c r="F1814">
        <v>0</v>
      </c>
      <c r="G1814">
        <v>0.48133634701566219</v>
      </c>
      <c r="H1814">
        <v>0</v>
      </c>
      <c r="I1814" t="s">
        <v>791</v>
      </c>
    </row>
    <row r="1815" spans="1:9" hidden="1" x14ac:dyDescent="0.2">
      <c r="A1815" t="s">
        <v>711</v>
      </c>
      <c r="B1815" t="s">
        <v>858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 t="s">
        <v>791</v>
      </c>
    </row>
    <row r="1816" spans="1:9" hidden="1" x14ac:dyDescent="0.2">
      <c r="A1816" t="s">
        <v>712</v>
      </c>
      <c r="B1816" t="s">
        <v>855</v>
      </c>
      <c r="C1816">
        <v>0</v>
      </c>
      <c r="D1816">
        <v>3.730336334629773E-5</v>
      </c>
      <c r="E1816">
        <v>0</v>
      </c>
      <c r="F1816">
        <v>0</v>
      </c>
      <c r="G1816">
        <v>0</v>
      </c>
      <c r="H1816">
        <v>0</v>
      </c>
      <c r="I1816" t="s">
        <v>792</v>
      </c>
    </row>
    <row r="1817" spans="1:9" hidden="1" x14ac:dyDescent="0.2">
      <c r="A1817" t="s">
        <v>712</v>
      </c>
      <c r="B1817" t="s">
        <v>893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 t="s">
        <v>792</v>
      </c>
    </row>
    <row r="1818" spans="1:9" hidden="1" x14ac:dyDescent="0.2">
      <c r="A1818" t="s">
        <v>712</v>
      </c>
      <c r="B1818" t="s">
        <v>815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 t="s">
        <v>792</v>
      </c>
    </row>
    <row r="1819" spans="1:9" hidden="1" x14ac:dyDescent="0.2">
      <c r="A1819" t="s">
        <v>712</v>
      </c>
      <c r="B1819" t="s">
        <v>810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 t="s">
        <v>792</v>
      </c>
    </row>
    <row r="1820" spans="1:9" hidden="1" x14ac:dyDescent="0.2">
      <c r="A1820" t="s">
        <v>712</v>
      </c>
      <c r="B1820" t="s">
        <v>849</v>
      </c>
      <c r="C1820">
        <v>0</v>
      </c>
      <c r="D1820">
        <v>4.5644276337671609E-5</v>
      </c>
      <c r="E1820">
        <v>0</v>
      </c>
      <c r="F1820">
        <v>0</v>
      </c>
      <c r="G1820">
        <v>0</v>
      </c>
      <c r="H1820">
        <v>0</v>
      </c>
      <c r="I1820" t="s">
        <v>792</v>
      </c>
    </row>
    <row r="1821" spans="1:9" hidden="1" x14ac:dyDescent="0.2">
      <c r="A1821" t="s">
        <v>712</v>
      </c>
      <c r="B1821" t="s">
        <v>856</v>
      </c>
      <c r="C1821">
        <v>0</v>
      </c>
      <c r="D1821">
        <v>3.5603002836405872E-5</v>
      </c>
      <c r="E1821">
        <v>0</v>
      </c>
      <c r="F1821">
        <v>0</v>
      </c>
      <c r="G1821">
        <v>0</v>
      </c>
      <c r="H1821">
        <v>0</v>
      </c>
      <c r="I1821" t="s">
        <v>792</v>
      </c>
    </row>
    <row r="1822" spans="1:9" hidden="1" x14ac:dyDescent="0.2">
      <c r="A1822" t="s">
        <v>712</v>
      </c>
      <c r="B1822" t="s">
        <v>812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 t="s">
        <v>792</v>
      </c>
    </row>
    <row r="1823" spans="1:9" hidden="1" x14ac:dyDescent="0.2">
      <c r="A1823" t="s">
        <v>713</v>
      </c>
      <c r="B1823" t="s">
        <v>826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 t="s">
        <v>789</v>
      </c>
    </row>
    <row r="1824" spans="1:9" hidden="1" x14ac:dyDescent="0.2">
      <c r="A1824" t="s">
        <v>713</v>
      </c>
      <c r="B1824" t="s">
        <v>893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 t="s">
        <v>789</v>
      </c>
    </row>
    <row r="1825" spans="1:9" hidden="1" x14ac:dyDescent="0.2">
      <c r="A1825" t="s">
        <v>713</v>
      </c>
      <c r="B1825" t="s">
        <v>894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 t="s">
        <v>789</v>
      </c>
    </row>
    <row r="1826" spans="1:9" hidden="1" x14ac:dyDescent="0.2">
      <c r="A1826" t="s">
        <v>713</v>
      </c>
      <c r="B1826" t="s">
        <v>810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 t="s">
        <v>789</v>
      </c>
    </row>
    <row r="1827" spans="1:9" hidden="1" x14ac:dyDescent="0.2">
      <c r="A1827" t="s">
        <v>713</v>
      </c>
      <c r="B1827" t="s">
        <v>832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 t="s">
        <v>789</v>
      </c>
    </row>
    <row r="1828" spans="1:9" hidden="1" x14ac:dyDescent="0.2">
      <c r="A1828" t="s">
        <v>713</v>
      </c>
      <c r="B1828" t="s">
        <v>888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 t="s">
        <v>789</v>
      </c>
    </row>
    <row r="1829" spans="1:9" hidden="1" x14ac:dyDescent="0.2">
      <c r="A1829" t="s">
        <v>713</v>
      </c>
      <c r="B1829" t="s">
        <v>812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 t="s">
        <v>789</v>
      </c>
    </row>
    <row r="1830" spans="1:9" x14ac:dyDescent="0.2">
      <c r="A1830" t="s">
        <v>714</v>
      </c>
      <c r="B1830" t="s">
        <v>810</v>
      </c>
      <c r="E1830">
        <v>0</v>
      </c>
      <c r="F1830">
        <v>0</v>
      </c>
      <c r="G1830">
        <v>0</v>
      </c>
      <c r="H1830">
        <v>0</v>
      </c>
      <c r="I1830" t="s">
        <v>794</v>
      </c>
    </row>
    <row r="1831" spans="1:9" x14ac:dyDescent="0.2">
      <c r="A1831" t="s">
        <v>714</v>
      </c>
      <c r="B1831" t="s">
        <v>873</v>
      </c>
      <c r="E1831">
        <v>0</v>
      </c>
      <c r="F1831">
        <v>0</v>
      </c>
      <c r="G1831">
        <v>0</v>
      </c>
      <c r="H1831">
        <v>0</v>
      </c>
      <c r="I1831" t="s">
        <v>794</v>
      </c>
    </row>
    <row r="1832" spans="1:9" hidden="1" x14ac:dyDescent="0.2">
      <c r="A1832" t="s">
        <v>715</v>
      </c>
      <c r="B1832" t="s">
        <v>811</v>
      </c>
      <c r="I1832" t="s">
        <v>799</v>
      </c>
    </row>
    <row r="1833" spans="1:9" hidden="1" x14ac:dyDescent="0.2">
      <c r="A1833" t="s">
        <v>716</v>
      </c>
      <c r="B1833" t="s">
        <v>811</v>
      </c>
      <c r="I1833" t="s">
        <v>799</v>
      </c>
    </row>
    <row r="1834" spans="1:9" hidden="1" x14ac:dyDescent="0.2">
      <c r="A1834" t="s">
        <v>717</v>
      </c>
      <c r="B1834" t="s">
        <v>810</v>
      </c>
      <c r="C1834">
        <v>0</v>
      </c>
      <c r="I1834" t="s">
        <v>799</v>
      </c>
    </row>
    <row r="1835" spans="1:9" hidden="1" x14ac:dyDescent="0.2">
      <c r="A1835" t="s">
        <v>717</v>
      </c>
      <c r="B1835" t="s">
        <v>819</v>
      </c>
      <c r="C1835">
        <v>0</v>
      </c>
      <c r="I1835" t="s">
        <v>799</v>
      </c>
    </row>
    <row r="1836" spans="1:9" hidden="1" x14ac:dyDescent="0.2">
      <c r="A1836" t="s">
        <v>717</v>
      </c>
      <c r="B1836" t="s">
        <v>811</v>
      </c>
      <c r="C1836">
        <v>0</v>
      </c>
      <c r="I1836" t="s">
        <v>799</v>
      </c>
    </row>
    <row r="1837" spans="1:9" hidden="1" x14ac:dyDescent="0.2">
      <c r="A1837" t="s">
        <v>718</v>
      </c>
      <c r="B1837" t="s">
        <v>897</v>
      </c>
      <c r="C1837">
        <v>0</v>
      </c>
      <c r="I1837" t="s">
        <v>799</v>
      </c>
    </row>
    <row r="1838" spans="1:9" hidden="1" x14ac:dyDescent="0.2">
      <c r="A1838" t="s">
        <v>718</v>
      </c>
      <c r="B1838" t="s">
        <v>810</v>
      </c>
      <c r="C1838">
        <v>0</v>
      </c>
      <c r="I1838" t="s">
        <v>799</v>
      </c>
    </row>
    <row r="1839" spans="1:9" hidden="1" x14ac:dyDescent="0.2">
      <c r="A1839" t="s">
        <v>718</v>
      </c>
      <c r="B1839" t="s">
        <v>811</v>
      </c>
      <c r="C1839">
        <v>0</v>
      </c>
      <c r="I1839" t="s">
        <v>799</v>
      </c>
    </row>
    <row r="1840" spans="1:9" hidden="1" x14ac:dyDescent="0.2">
      <c r="A1840" t="s">
        <v>719</v>
      </c>
      <c r="B1840" t="s">
        <v>810</v>
      </c>
      <c r="I1840" t="s">
        <v>799</v>
      </c>
    </row>
    <row r="1841" spans="1:9" hidden="1" x14ac:dyDescent="0.2">
      <c r="A1841" t="s">
        <v>719</v>
      </c>
      <c r="B1841" t="s">
        <v>858</v>
      </c>
      <c r="I1841" t="s">
        <v>799</v>
      </c>
    </row>
    <row r="1842" spans="1:9" hidden="1" x14ac:dyDescent="0.2">
      <c r="A1842" t="s">
        <v>719</v>
      </c>
      <c r="B1842" t="s">
        <v>811</v>
      </c>
      <c r="I1842" t="s">
        <v>799</v>
      </c>
    </row>
    <row r="1843" spans="1:9" hidden="1" x14ac:dyDescent="0.2">
      <c r="A1843" t="s">
        <v>720</v>
      </c>
      <c r="B1843" t="s">
        <v>898</v>
      </c>
      <c r="C1843">
        <v>0</v>
      </c>
      <c r="I1843" t="s">
        <v>799</v>
      </c>
    </row>
    <row r="1844" spans="1:9" hidden="1" x14ac:dyDescent="0.2">
      <c r="A1844" t="s">
        <v>720</v>
      </c>
      <c r="B1844" t="s">
        <v>810</v>
      </c>
      <c r="C1844">
        <v>0</v>
      </c>
      <c r="I1844" t="s">
        <v>799</v>
      </c>
    </row>
    <row r="1845" spans="1:9" hidden="1" x14ac:dyDescent="0.2">
      <c r="A1845" t="s">
        <v>720</v>
      </c>
      <c r="B1845" t="s">
        <v>811</v>
      </c>
      <c r="C1845">
        <v>0</v>
      </c>
      <c r="I1845" t="s">
        <v>799</v>
      </c>
    </row>
    <row r="1846" spans="1:9" hidden="1" x14ac:dyDescent="0.2">
      <c r="A1846" t="s">
        <v>721</v>
      </c>
      <c r="B1846" t="s">
        <v>897</v>
      </c>
      <c r="C1846">
        <v>0</v>
      </c>
      <c r="I1846" t="s">
        <v>799</v>
      </c>
    </row>
    <row r="1847" spans="1:9" hidden="1" x14ac:dyDescent="0.2">
      <c r="A1847" t="s">
        <v>721</v>
      </c>
      <c r="B1847" t="s">
        <v>811</v>
      </c>
      <c r="C1847">
        <v>0</v>
      </c>
      <c r="I1847" t="s">
        <v>799</v>
      </c>
    </row>
    <row r="1848" spans="1:9" hidden="1" x14ac:dyDescent="0.2">
      <c r="A1848" t="s">
        <v>722</v>
      </c>
      <c r="B1848" t="s">
        <v>898</v>
      </c>
      <c r="C1848">
        <v>0</v>
      </c>
      <c r="I1848" t="s">
        <v>799</v>
      </c>
    </row>
    <row r="1849" spans="1:9" hidden="1" x14ac:dyDescent="0.2">
      <c r="A1849" t="s">
        <v>722</v>
      </c>
      <c r="B1849" t="s">
        <v>811</v>
      </c>
      <c r="C1849">
        <v>0</v>
      </c>
      <c r="I1849" t="s">
        <v>799</v>
      </c>
    </row>
    <row r="1850" spans="1:9" hidden="1" x14ac:dyDescent="0.2">
      <c r="A1850" t="s">
        <v>723</v>
      </c>
      <c r="B1850" t="s">
        <v>858</v>
      </c>
      <c r="I1850" t="s">
        <v>808</v>
      </c>
    </row>
    <row r="1851" spans="1:9" hidden="1" x14ac:dyDescent="0.2">
      <c r="A1851" t="s">
        <v>724</v>
      </c>
      <c r="B1851" t="s">
        <v>810</v>
      </c>
      <c r="C1851">
        <v>4641.3876388503704</v>
      </c>
      <c r="D1851">
        <v>0</v>
      </c>
      <c r="E1851">
        <v>0</v>
      </c>
      <c r="F1851">
        <v>0</v>
      </c>
      <c r="G1851">
        <v>0</v>
      </c>
      <c r="H1851">
        <v>0</v>
      </c>
      <c r="I1851" t="s">
        <v>796</v>
      </c>
    </row>
    <row r="1852" spans="1:9" hidden="1" x14ac:dyDescent="0.2">
      <c r="A1852" t="s">
        <v>725</v>
      </c>
      <c r="B1852" t="s">
        <v>810</v>
      </c>
      <c r="C1852">
        <v>271.79643869171292</v>
      </c>
      <c r="D1852">
        <v>0</v>
      </c>
      <c r="E1852">
        <v>0</v>
      </c>
      <c r="F1852">
        <v>0</v>
      </c>
      <c r="G1852">
        <v>0</v>
      </c>
      <c r="H1852">
        <v>0</v>
      </c>
      <c r="I1852" t="s">
        <v>796</v>
      </c>
    </row>
    <row r="1853" spans="1:9" hidden="1" x14ac:dyDescent="0.2">
      <c r="A1853" t="s">
        <v>726</v>
      </c>
      <c r="B1853" t="s">
        <v>816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 t="s">
        <v>796</v>
      </c>
    </row>
    <row r="1854" spans="1:9" hidden="1" x14ac:dyDescent="0.2">
      <c r="A1854" t="s">
        <v>726</v>
      </c>
      <c r="B1854" t="s">
        <v>841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 t="s">
        <v>796</v>
      </c>
    </row>
    <row r="1855" spans="1:9" hidden="1" x14ac:dyDescent="0.2">
      <c r="A1855" t="s">
        <v>726</v>
      </c>
      <c r="B1855" t="s">
        <v>893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 t="s">
        <v>796</v>
      </c>
    </row>
    <row r="1856" spans="1:9" hidden="1" x14ac:dyDescent="0.2">
      <c r="A1856" t="s">
        <v>726</v>
      </c>
      <c r="B1856" t="s">
        <v>838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 t="s">
        <v>796</v>
      </c>
    </row>
    <row r="1857" spans="1:9" hidden="1" x14ac:dyDescent="0.2">
      <c r="A1857" t="s">
        <v>726</v>
      </c>
      <c r="B1857" t="s">
        <v>842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 t="s">
        <v>796</v>
      </c>
    </row>
    <row r="1858" spans="1:9" hidden="1" x14ac:dyDescent="0.2">
      <c r="A1858" t="s">
        <v>727</v>
      </c>
      <c r="B1858" t="s">
        <v>841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 t="s">
        <v>796</v>
      </c>
    </row>
    <row r="1859" spans="1:9" hidden="1" x14ac:dyDescent="0.2">
      <c r="A1859" t="s">
        <v>727</v>
      </c>
      <c r="B1859" t="s">
        <v>893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 t="s">
        <v>796</v>
      </c>
    </row>
    <row r="1860" spans="1:9" hidden="1" x14ac:dyDescent="0.2">
      <c r="A1860" t="s">
        <v>727</v>
      </c>
      <c r="B1860" t="s">
        <v>838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 t="s">
        <v>796</v>
      </c>
    </row>
    <row r="1861" spans="1:9" hidden="1" x14ac:dyDescent="0.2">
      <c r="A1861" t="s">
        <v>727</v>
      </c>
      <c r="B1861" t="s">
        <v>842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 t="s">
        <v>796</v>
      </c>
    </row>
    <row r="1862" spans="1:9" hidden="1" x14ac:dyDescent="0.2">
      <c r="A1862" t="s">
        <v>728</v>
      </c>
      <c r="B1862" t="s">
        <v>841</v>
      </c>
      <c r="C1862">
        <v>3.525565079541461E-4</v>
      </c>
      <c r="D1862">
        <v>0</v>
      </c>
      <c r="E1862">
        <v>0</v>
      </c>
      <c r="F1862">
        <v>0</v>
      </c>
      <c r="G1862">
        <v>0</v>
      </c>
      <c r="H1862">
        <v>0</v>
      </c>
      <c r="I1862" t="s">
        <v>796</v>
      </c>
    </row>
    <row r="1863" spans="1:9" hidden="1" x14ac:dyDescent="0.2">
      <c r="A1863" t="s">
        <v>728</v>
      </c>
      <c r="B1863" t="s">
        <v>893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 t="s">
        <v>796</v>
      </c>
    </row>
    <row r="1864" spans="1:9" hidden="1" x14ac:dyDescent="0.2">
      <c r="A1864" t="s">
        <v>728</v>
      </c>
      <c r="B1864" t="s">
        <v>838</v>
      </c>
      <c r="C1864">
        <v>6.213597079818648E-4</v>
      </c>
      <c r="D1864">
        <v>0</v>
      </c>
      <c r="E1864">
        <v>0</v>
      </c>
      <c r="F1864">
        <v>0</v>
      </c>
      <c r="G1864">
        <v>0</v>
      </c>
      <c r="H1864">
        <v>0</v>
      </c>
      <c r="I1864" t="s">
        <v>796</v>
      </c>
    </row>
    <row r="1865" spans="1:9" hidden="1" x14ac:dyDescent="0.2">
      <c r="A1865" t="s">
        <v>728</v>
      </c>
      <c r="B1865" t="s">
        <v>842</v>
      </c>
      <c r="C1865">
        <v>2.8364168437358412E-4</v>
      </c>
      <c r="D1865">
        <v>0</v>
      </c>
      <c r="E1865">
        <v>0</v>
      </c>
      <c r="F1865">
        <v>0</v>
      </c>
      <c r="G1865">
        <v>0</v>
      </c>
      <c r="H1865">
        <v>0</v>
      </c>
      <c r="I1865" t="s">
        <v>796</v>
      </c>
    </row>
    <row r="1866" spans="1:9" hidden="1" x14ac:dyDescent="0.2">
      <c r="A1866" t="s">
        <v>729</v>
      </c>
      <c r="B1866" t="s">
        <v>810</v>
      </c>
      <c r="I1866" t="s">
        <v>796</v>
      </c>
    </row>
    <row r="1867" spans="1:9" hidden="1" x14ac:dyDescent="0.2">
      <c r="A1867" t="s">
        <v>730</v>
      </c>
      <c r="B1867" t="s">
        <v>812</v>
      </c>
      <c r="I1867" t="s">
        <v>796</v>
      </c>
    </row>
    <row r="1868" spans="1:9" hidden="1" x14ac:dyDescent="0.2">
      <c r="A1868" t="s">
        <v>731</v>
      </c>
      <c r="B1868" t="s">
        <v>810</v>
      </c>
      <c r="I1868" t="s">
        <v>802</v>
      </c>
    </row>
    <row r="1869" spans="1:9" hidden="1" x14ac:dyDescent="0.2">
      <c r="A1869" t="s">
        <v>732</v>
      </c>
      <c r="B1869" t="s">
        <v>811</v>
      </c>
      <c r="I1869" t="s">
        <v>802</v>
      </c>
    </row>
    <row r="1870" spans="1:9" hidden="1" x14ac:dyDescent="0.2">
      <c r="A1870" t="s">
        <v>733</v>
      </c>
      <c r="B1870" t="s">
        <v>810</v>
      </c>
      <c r="I1870" t="s">
        <v>789</v>
      </c>
    </row>
    <row r="1871" spans="1:9" hidden="1" x14ac:dyDescent="0.2">
      <c r="A1871" t="s">
        <v>734</v>
      </c>
      <c r="B1871" t="s">
        <v>810</v>
      </c>
      <c r="I1871" t="s">
        <v>789</v>
      </c>
    </row>
    <row r="1872" spans="1:9" hidden="1" x14ac:dyDescent="0.2">
      <c r="A1872" t="s">
        <v>735</v>
      </c>
      <c r="B1872" t="s">
        <v>810</v>
      </c>
      <c r="I1872" t="s">
        <v>800</v>
      </c>
    </row>
    <row r="1873" spans="1:9" hidden="1" x14ac:dyDescent="0.2">
      <c r="A1873" t="s">
        <v>736</v>
      </c>
      <c r="B1873" t="s">
        <v>810</v>
      </c>
      <c r="I1873" t="s">
        <v>798</v>
      </c>
    </row>
    <row r="1874" spans="1:9" hidden="1" x14ac:dyDescent="0.2">
      <c r="A1874" t="s">
        <v>737</v>
      </c>
      <c r="B1874" t="s">
        <v>810</v>
      </c>
      <c r="I1874" t="s">
        <v>801</v>
      </c>
    </row>
    <row r="1875" spans="1:9" hidden="1" x14ac:dyDescent="0.2">
      <c r="A1875" t="s">
        <v>738</v>
      </c>
      <c r="B1875" t="s">
        <v>810</v>
      </c>
      <c r="I1875" t="s">
        <v>800</v>
      </c>
    </row>
    <row r="1876" spans="1:9" hidden="1" x14ac:dyDescent="0.2">
      <c r="A1876" t="s">
        <v>739</v>
      </c>
      <c r="B1876" t="s">
        <v>810</v>
      </c>
      <c r="I1876" t="s">
        <v>798</v>
      </c>
    </row>
    <row r="1877" spans="1:9" hidden="1" x14ac:dyDescent="0.2">
      <c r="A1877" t="s">
        <v>740</v>
      </c>
      <c r="B1877" t="s">
        <v>810</v>
      </c>
      <c r="I1877" t="s">
        <v>801</v>
      </c>
    </row>
    <row r="1878" spans="1:9" hidden="1" x14ac:dyDescent="0.2">
      <c r="A1878" t="s">
        <v>741</v>
      </c>
      <c r="B1878" t="s">
        <v>811</v>
      </c>
      <c r="I1878" t="s">
        <v>790</v>
      </c>
    </row>
    <row r="1879" spans="1:9" hidden="1" x14ac:dyDescent="0.2">
      <c r="A1879" t="s">
        <v>742</v>
      </c>
      <c r="B1879" t="s">
        <v>811</v>
      </c>
      <c r="I1879" t="s">
        <v>790</v>
      </c>
    </row>
    <row r="1880" spans="1:9" hidden="1" x14ac:dyDescent="0.2">
      <c r="A1880" t="s">
        <v>743</v>
      </c>
      <c r="B1880" t="s">
        <v>811</v>
      </c>
      <c r="I1880" t="s">
        <v>790</v>
      </c>
    </row>
    <row r="1881" spans="1:9" hidden="1" x14ac:dyDescent="0.2">
      <c r="A1881" t="s">
        <v>744</v>
      </c>
      <c r="B1881" t="s">
        <v>811</v>
      </c>
      <c r="I1881" t="s">
        <v>790</v>
      </c>
    </row>
    <row r="1882" spans="1:9" hidden="1" x14ac:dyDescent="0.2">
      <c r="A1882" t="s">
        <v>745</v>
      </c>
      <c r="B1882" t="s">
        <v>811</v>
      </c>
      <c r="I1882" t="s">
        <v>790</v>
      </c>
    </row>
    <row r="1883" spans="1:9" hidden="1" x14ac:dyDescent="0.2">
      <c r="A1883" t="s">
        <v>746</v>
      </c>
      <c r="B1883" t="s">
        <v>811</v>
      </c>
      <c r="I1883" t="s">
        <v>790</v>
      </c>
    </row>
    <row r="1884" spans="1:9" hidden="1" x14ac:dyDescent="0.2">
      <c r="A1884" t="s">
        <v>747</v>
      </c>
      <c r="B1884" t="s">
        <v>811</v>
      </c>
      <c r="I1884" t="s">
        <v>790</v>
      </c>
    </row>
    <row r="1885" spans="1:9" hidden="1" x14ac:dyDescent="0.2">
      <c r="A1885" t="s">
        <v>748</v>
      </c>
      <c r="B1885" t="s">
        <v>810</v>
      </c>
      <c r="I1885" t="s">
        <v>790</v>
      </c>
    </row>
    <row r="1886" spans="1:9" hidden="1" x14ac:dyDescent="0.2">
      <c r="A1886" t="s">
        <v>749</v>
      </c>
      <c r="B1886" t="s">
        <v>810</v>
      </c>
      <c r="I1886" t="s">
        <v>790</v>
      </c>
    </row>
    <row r="1887" spans="1:9" hidden="1" x14ac:dyDescent="0.2">
      <c r="A1887" t="s">
        <v>750</v>
      </c>
      <c r="B1887" t="s">
        <v>810</v>
      </c>
      <c r="I1887" t="s">
        <v>790</v>
      </c>
    </row>
    <row r="1888" spans="1:9" hidden="1" x14ac:dyDescent="0.2">
      <c r="A1888" t="s">
        <v>751</v>
      </c>
      <c r="B1888" t="s">
        <v>810</v>
      </c>
      <c r="I1888" t="s">
        <v>790</v>
      </c>
    </row>
    <row r="1889" spans="1:9" hidden="1" x14ac:dyDescent="0.2">
      <c r="A1889" t="s">
        <v>752</v>
      </c>
      <c r="B1889" t="s">
        <v>810</v>
      </c>
      <c r="I1889" t="s">
        <v>790</v>
      </c>
    </row>
    <row r="1890" spans="1:9" hidden="1" x14ac:dyDescent="0.2">
      <c r="A1890" t="s">
        <v>753</v>
      </c>
      <c r="B1890" t="s">
        <v>899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 t="s">
        <v>800</v>
      </c>
    </row>
    <row r="1891" spans="1:9" hidden="1" x14ac:dyDescent="0.2">
      <c r="A1891" t="s">
        <v>753</v>
      </c>
      <c r="B1891" t="s">
        <v>893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 t="s">
        <v>800</v>
      </c>
    </row>
    <row r="1892" spans="1:9" hidden="1" x14ac:dyDescent="0.2">
      <c r="A1892" t="s">
        <v>753</v>
      </c>
      <c r="B1892" t="s">
        <v>815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 t="s">
        <v>800</v>
      </c>
    </row>
    <row r="1893" spans="1:9" hidden="1" x14ac:dyDescent="0.2">
      <c r="A1893" t="s">
        <v>753</v>
      </c>
      <c r="B1893" t="s">
        <v>810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 t="s">
        <v>800</v>
      </c>
    </row>
    <row r="1894" spans="1:9" hidden="1" x14ac:dyDescent="0.2">
      <c r="A1894" t="s">
        <v>753</v>
      </c>
      <c r="B1894" t="s">
        <v>824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 t="s">
        <v>800</v>
      </c>
    </row>
    <row r="1895" spans="1:9" hidden="1" x14ac:dyDescent="0.2">
      <c r="A1895" t="s">
        <v>754</v>
      </c>
      <c r="B1895" t="s">
        <v>899</v>
      </c>
      <c r="I1895" t="s">
        <v>788</v>
      </c>
    </row>
    <row r="1896" spans="1:9" hidden="1" x14ac:dyDescent="0.2">
      <c r="A1896" t="s">
        <v>754</v>
      </c>
      <c r="B1896" t="s">
        <v>900</v>
      </c>
      <c r="I1896" t="s">
        <v>788</v>
      </c>
    </row>
    <row r="1897" spans="1:9" hidden="1" x14ac:dyDescent="0.2">
      <c r="A1897" t="s">
        <v>755</v>
      </c>
      <c r="B1897" t="s">
        <v>899</v>
      </c>
      <c r="I1897" t="s">
        <v>788</v>
      </c>
    </row>
    <row r="1898" spans="1:9" hidden="1" x14ac:dyDescent="0.2">
      <c r="A1898" t="s">
        <v>755</v>
      </c>
      <c r="B1898" t="s">
        <v>901</v>
      </c>
      <c r="I1898" t="s">
        <v>788</v>
      </c>
    </row>
    <row r="1899" spans="1:9" hidden="1" x14ac:dyDescent="0.2">
      <c r="A1899" t="s">
        <v>756</v>
      </c>
      <c r="B1899" t="s">
        <v>899</v>
      </c>
      <c r="F1899">
        <v>0</v>
      </c>
      <c r="G1899">
        <v>0</v>
      </c>
      <c r="H1899">
        <v>0</v>
      </c>
      <c r="I1899" t="s">
        <v>807</v>
      </c>
    </row>
    <row r="1900" spans="1:9" hidden="1" x14ac:dyDescent="0.2">
      <c r="A1900" t="s">
        <v>757</v>
      </c>
      <c r="B1900" t="s">
        <v>816</v>
      </c>
      <c r="I1900" t="s">
        <v>792</v>
      </c>
    </row>
    <row r="1901" spans="1:9" hidden="1" x14ac:dyDescent="0.2">
      <c r="A1901" t="s">
        <v>757</v>
      </c>
      <c r="B1901" t="s">
        <v>899</v>
      </c>
      <c r="I1901" t="s">
        <v>792</v>
      </c>
    </row>
    <row r="1902" spans="1:9" hidden="1" x14ac:dyDescent="0.2">
      <c r="A1902" t="s">
        <v>757</v>
      </c>
      <c r="B1902" t="s">
        <v>810</v>
      </c>
      <c r="I1902" t="s">
        <v>792</v>
      </c>
    </row>
    <row r="1903" spans="1:9" hidden="1" x14ac:dyDescent="0.2">
      <c r="A1903" t="s">
        <v>757</v>
      </c>
      <c r="B1903" t="s">
        <v>822</v>
      </c>
      <c r="I1903" t="s">
        <v>792</v>
      </c>
    </row>
    <row r="1904" spans="1:9" hidden="1" x14ac:dyDescent="0.2">
      <c r="A1904" t="s">
        <v>757</v>
      </c>
      <c r="B1904" t="s">
        <v>811</v>
      </c>
      <c r="I1904" t="s">
        <v>792</v>
      </c>
    </row>
    <row r="1905" spans="1:9" hidden="1" x14ac:dyDescent="0.2">
      <c r="A1905" t="s">
        <v>758</v>
      </c>
      <c r="B1905" t="s">
        <v>899</v>
      </c>
      <c r="C1905">
        <v>0</v>
      </c>
      <c r="F1905">
        <v>0</v>
      </c>
      <c r="G1905">
        <v>0</v>
      </c>
      <c r="H1905">
        <v>0</v>
      </c>
      <c r="I1905" t="s">
        <v>792</v>
      </c>
    </row>
    <row r="1906" spans="1:9" hidden="1" x14ac:dyDescent="0.2">
      <c r="A1906" t="s">
        <v>758</v>
      </c>
      <c r="B1906" t="s">
        <v>810</v>
      </c>
      <c r="C1906">
        <v>3.0186059206389708</v>
      </c>
      <c r="F1906">
        <v>0</v>
      </c>
      <c r="G1906">
        <v>0</v>
      </c>
      <c r="H1906">
        <v>0</v>
      </c>
      <c r="I1906" t="s">
        <v>792</v>
      </c>
    </row>
    <row r="1907" spans="1:9" hidden="1" x14ac:dyDescent="0.2">
      <c r="A1907" t="s">
        <v>758</v>
      </c>
      <c r="B1907" t="s">
        <v>812</v>
      </c>
      <c r="C1907">
        <v>8.2724386436945174</v>
      </c>
      <c r="F1907">
        <v>0</v>
      </c>
      <c r="G1907">
        <v>0</v>
      </c>
      <c r="H1907">
        <v>0</v>
      </c>
      <c r="I1907" t="s">
        <v>792</v>
      </c>
    </row>
    <row r="1908" spans="1:9" hidden="1" x14ac:dyDescent="0.2">
      <c r="A1908" t="s">
        <v>759</v>
      </c>
      <c r="B1908" t="s">
        <v>899</v>
      </c>
      <c r="I1908" t="s">
        <v>792</v>
      </c>
    </row>
    <row r="1909" spans="1:9" hidden="1" x14ac:dyDescent="0.2">
      <c r="A1909" t="s">
        <v>759</v>
      </c>
      <c r="B1909" t="s">
        <v>810</v>
      </c>
      <c r="I1909" t="s">
        <v>792</v>
      </c>
    </row>
    <row r="1910" spans="1:9" hidden="1" x14ac:dyDescent="0.2">
      <c r="A1910" t="s">
        <v>759</v>
      </c>
      <c r="B1910" t="s">
        <v>824</v>
      </c>
      <c r="I1910" t="s">
        <v>792</v>
      </c>
    </row>
    <row r="1911" spans="1:9" hidden="1" x14ac:dyDescent="0.2">
      <c r="A1911" t="s">
        <v>760</v>
      </c>
      <c r="B1911" t="s">
        <v>855</v>
      </c>
      <c r="I1911" t="s">
        <v>789</v>
      </c>
    </row>
    <row r="1912" spans="1:9" hidden="1" x14ac:dyDescent="0.2">
      <c r="A1912" t="s">
        <v>760</v>
      </c>
      <c r="B1912" t="s">
        <v>841</v>
      </c>
      <c r="I1912" t="s">
        <v>789</v>
      </c>
    </row>
    <row r="1913" spans="1:9" hidden="1" x14ac:dyDescent="0.2">
      <c r="A1913" t="s">
        <v>760</v>
      </c>
      <c r="B1913" t="s">
        <v>828</v>
      </c>
      <c r="I1913" t="s">
        <v>789</v>
      </c>
    </row>
    <row r="1914" spans="1:9" hidden="1" x14ac:dyDescent="0.2">
      <c r="A1914" t="s">
        <v>760</v>
      </c>
      <c r="B1914" t="s">
        <v>838</v>
      </c>
      <c r="I1914" t="s">
        <v>789</v>
      </c>
    </row>
    <row r="1915" spans="1:9" hidden="1" x14ac:dyDescent="0.2">
      <c r="A1915" t="s">
        <v>760</v>
      </c>
      <c r="B1915" t="s">
        <v>902</v>
      </c>
      <c r="I1915" t="s">
        <v>789</v>
      </c>
    </row>
    <row r="1916" spans="1:9" hidden="1" x14ac:dyDescent="0.2">
      <c r="A1916" t="s">
        <v>760</v>
      </c>
      <c r="B1916" t="s">
        <v>822</v>
      </c>
      <c r="I1916" t="s">
        <v>789</v>
      </c>
    </row>
    <row r="1917" spans="1:9" hidden="1" x14ac:dyDescent="0.2">
      <c r="A1917" t="s">
        <v>760</v>
      </c>
      <c r="B1917" t="s">
        <v>829</v>
      </c>
      <c r="I1917" t="s">
        <v>789</v>
      </c>
    </row>
    <row r="1918" spans="1:9" hidden="1" x14ac:dyDescent="0.2">
      <c r="A1918" t="s">
        <v>760</v>
      </c>
      <c r="B1918" t="s">
        <v>849</v>
      </c>
      <c r="I1918" t="s">
        <v>789</v>
      </c>
    </row>
    <row r="1919" spans="1:9" hidden="1" x14ac:dyDescent="0.2">
      <c r="A1919" t="s">
        <v>760</v>
      </c>
      <c r="B1919" t="s">
        <v>842</v>
      </c>
      <c r="I1919" t="s">
        <v>789</v>
      </c>
    </row>
    <row r="1920" spans="1:9" hidden="1" x14ac:dyDescent="0.2">
      <c r="A1920" t="s">
        <v>760</v>
      </c>
      <c r="B1920" t="s">
        <v>834</v>
      </c>
      <c r="I1920" t="s">
        <v>789</v>
      </c>
    </row>
    <row r="1921" spans="1:9" hidden="1" x14ac:dyDescent="0.2">
      <c r="A1921" t="s">
        <v>760</v>
      </c>
      <c r="B1921" t="s">
        <v>856</v>
      </c>
      <c r="I1921" t="s">
        <v>789</v>
      </c>
    </row>
    <row r="1922" spans="1:9" hidden="1" x14ac:dyDescent="0.2">
      <c r="A1922" t="s">
        <v>761</v>
      </c>
      <c r="B1922" t="s">
        <v>855</v>
      </c>
      <c r="I1922" t="s">
        <v>789</v>
      </c>
    </row>
    <row r="1923" spans="1:9" hidden="1" x14ac:dyDescent="0.2">
      <c r="A1923" t="s">
        <v>761</v>
      </c>
      <c r="B1923" t="s">
        <v>875</v>
      </c>
      <c r="I1923" t="s">
        <v>789</v>
      </c>
    </row>
    <row r="1924" spans="1:9" hidden="1" x14ac:dyDescent="0.2">
      <c r="A1924" t="s">
        <v>761</v>
      </c>
      <c r="B1924" t="s">
        <v>828</v>
      </c>
      <c r="I1924" t="s">
        <v>789</v>
      </c>
    </row>
    <row r="1925" spans="1:9" hidden="1" x14ac:dyDescent="0.2">
      <c r="A1925" t="s">
        <v>761</v>
      </c>
      <c r="B1925" t="s">
        <v>902</v>
      </c>
      <c r="I1925" t="s">
        <v>789</v>
      </c>
    </row>
    <row r="1926" spans="1:9" hidden="1" x14ac:dyDescent="0.2">
      <c r="A1926" t="s">
        <v>761</v>
      </c>
      <c r="B1926" t="s">
        <v>822</v>
      </c>
      <c r="I1926" t="s">
        <v>789</v>
      </c>
    </row>
    <row r="1927" spans="1:9" hidden="1" x14ac:dyDescent="0.2">
      <c r="A1927" t="s">
        <v>761</v>
      </c>
      <c r="B1927" t="s">
        <v>848</v>
      </c>
      <c r="I1927" t="s">
        <v>789</v>
      </c>
    </row>
    <row r="1928" spans="1:9" hidden="1" x14ac:dyDescent="0.2">
      <c r="A1928" t="s">
        <v>761</v>
      </c>
      <c r="B1928" t="s">
        <v>829</v>
      </c>
      <c r="I1928" t="s">
        <v>789</v>
      </c>
    </row>
    <row r="1929" spans="1:9" hidden="1" x14ac:dyDescent="0.2">
      <c r="A1929" t="s">
        <v>761</v>
      </c>
      <c r="B1929" t="s">
        <v>849</v>
      </c>
      <c r="I1929" t="s">
        <v>789</v>
      </c>
    </row>
    <row r="1930" spans="1:9" hidden="1" x14ac:dyDescent="0.2">
      <c r="A1930" t="s">
        <v>761</v>
      </c>
      <c r="B1930" t="s">
        <v>876</v>
      </c>
      <c r="I1930" t="s">
        <v>789</v>
      </c>
    </row>
    <row r="1931" spans="1:9" hidden="1" x14ac:dyDescent="0.2">
      <c r="A1931" t="s">
        <v>761</v>
      </c>
      <c r="B1931" t="s">
        <v>834</v>
      </c>
      <c r="I1931" t="s">
        <v>789</v>
      </c>
    </row>
    <row r="1932" spans="1:9" hidden="1" x14ac:dyDescent="0.2">
      <c r="A1932" t="s">
        <v>761</v>
      </c>
      <c r="B1932" t="s">
        <v>856</v>
      </c>
      <c r="I1932" t="s">
        <v>789</v>
      </c>
    </row>
    <row r="1933" spans="1:9" hidden="1" x14ac:dyDescent="0.2">
      <c r="A1933" t="s">
        <v>762</v>
      </c>
      <c r="B1933" t="s">
        <v>815</v>
      </c>
      <c r="C1933">
        <v>0</v>
      </c>
      <c r="E1933">
        <v>0</v>
      </c>
      <c r="F1933">
        <v>0</v>
      </c>
      <c r="G1933">
        <v>0</v>
      </c>
      <c r="H1933">
        <v>0</v>
      </c>
      <c r="I1933" t="s">
        <v>797</v>
      </c>
    </row>
    <row r="1934" spans="1:9" hidden="1" x14ac:dyDescent="0.2">
      <c r="A1934" t="s">
        <v>763</v>
      </c>
      <c r="B1934" t="s">
        <v>858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 t="s">
        <v>798</v>
      </c>
    </row>
    <row r="1935" spans="1:9" hidden="1" x14ac:dyDescent="0.2">
      <c r="A1935" t="s">
        <v>764</v>
      </c>
      <c r="B1935" t="s">
        <v>810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 t="s">
        <v>795</v>
      </c>
    </row>
    <row r="1936" spans="1:9" hidden="1" x14ac:dyDescent="0.2">
      <c r="A1936" t="s">
        <v>765</v>
      </c>
      <c r="B1936" t="s">
        <v>899</v>
      </c>
      <c r="C1936">
        <v>0</v>
      </c>
      <c r="D1936">
        <v>1.6242026278414509E-4</v>
      </c>
      <c r="E1936">
        <v>0</v>
      </c>
      <c r="F1936">
        <v>0</v>
      </c>
      <c r="G1936">
        <v>0</v>
      </c>
      <c r="H1936">
        <v>0</v>
      </c>
      <c r="I1936" t="s">
        <v>792</v>
      </c>
    </row>
    <row r="1937" spans="1:9" hidden="1" x14ac:dyDescent="0.2">
      <c r="A1937" t="s">
        <v>765</v>
      </c>
      <c r="B1937" t="s">
        <v>810</v>
      </c>
      <c r="C1937">
        <v>0</v>
      </c>
      <c r="D1937">
        <v>4.4589107898423719E-5</v>
      </c>
      <c r="E1937">
        <v>0</v>
      </c>
      <c r="F1937">
        <v>0</v>
      </c>
      <c r="G1937">
        <v>0</v>
      </c>
      <c r="H1937">
        <v>0</v>
      </c>
      <c r="I1937" t="s">
        <v>792</v>
      </c>
    </row>
    <row r="1938" spans="1:9" hidden="1" x14ac:dyDescent="0.2">
      <c r="A1938" t="s">
        <v>765</v>
      </c>
      <c r="B1938" t="s">
        <v>812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 t="s">
        <v>792</v>
      </c>
    </row>
    <row r="1939" spans="1:9" hidden="1" x14ac:dyDescent="0.2">
      <c r="A1939" t="s">
        <v>766</v>
      </c>
      <c r="B1939" t="s">
        <v>810</v>
      </c>
      <c r="C1939">
        <v>0</v>
      </c>
      <c r="D1939">
        <v>3.582559776562725E-5</v>
      </c>
      <c r="E1939">
        <v>0</v>
      </c>
      <c r="F1939">
        <v>0</v>
      </c>
      <c r="G1939">
        <v>1.183334243880497</v>
      </c>
      <c r="H1939">
        <v>0.62838561164360707</v>
      </c>
      <c r="I1939" t="s">
        <v>798</v>
      </c>
    </row>
    <row r="1940" spans="1:9" hidden="1" x14ac:dyDescent="0.2">
      <c r="A1940" t="s">
        <v>766</v>
      </c>
      <c r="B1940" t="s">
        <v>824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 t="s">
        <v>798</v>
      </c>
    </row>
    <row r="1941" spans="1:9" hidden="1" x14ac:dyDescent="0.2">
      <c r="A1941" t="s">
        <v>766</v>
      </c>
      <c r="B1941" t="s">
        <v>858</v>
      </c>
      <c r="C1941">
        <v>0</v>
      </c>
      <c r="D1941">
        <v>7.1651195641864954E-5</v>
      </c>
      <c r="E1941">
        <v>0</v>
      </c>
      <c r="F1941">
        <v>0</v>
      </c>
      <c r="G1941">
        <v>2.3666684917396248</v>
      </c>
      <c r="H1941">
        <v>1.2567712251604981</v>
      </c>
      <c r="I1941" t="s">
        <v>798</v>
      </c>
    </row>
    <row r="1942" spans="1:9" hidden="1" x14ac:dyDescent="0.2">
      <c r="A1942" t="s">
        <v>767</v>
      </c>
      <c r="B1942" t="s">
        <v>810</v>
      </c>
      <c r="C1942">
        <v>1.5466819810364271E-4</v>
      </c>
      <c r="D1942">
        <v>0</v>
      </c>
      <c r="E1942">
        <v>0</v>
      </c>
      <c r="F1942">
        <v>0</v>
      </c>
      <c r="G1942">
        <v>0</v>
      </c>
      <c r="H1942">
        <v>0</v>
      </c>
      <c r="I1942" t="s">
        <v>798</v>
      </c>
    </row>
    <row r="1943" spans="1:9" hidden="1" x14ac:dyDescent="0.2">
      <c r="A1943" t="s">
        <v>767</v>
      </c>
      <c r="B1943" t="s">
        <v>824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 t="s">
        <v>798</v>
      </c>
    </row>
    <row r="1944" spans="1:9" hidden="1" x14ac:dyDescent="0.2">
      <c r="A1944" t="s">
        <v>767</v>
      </c>
      <c r="B1944" t="s">
        <v>811</v>
      </c>
      <c r="C1944">
        <v>3.0933639661820048E-4</v>
      </c>
      <c r="D1944">
        <v>0</v>
      </c>
      <c r="E1944">
        <v>0</v>
      </c>
      <c r="F1944">
        <v>0</v>
      </c>
      <c r="G1944">
        <v>0</v>
      </c>
      <c r="H1944">
        <v>0</v>
      </c>
      <c r="I1944" t="s">
        <v>798</v>
      </c>
    </row>
    <row r="1945" spans="1:9" hidden="1" x14ac:dyDescent="0.2">
      <c r="A1945" t="s">
        <v>768</v>
      </c>
      <c r="B1945" t="s">
        <v>824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 t="s">
        <v>799</v>
      </c>
    </row>
    <row r="1946" spans="1:9" hidden="1" x14ac:dyDescent="0.2">
      <c r="A1946" t="s">
        <v>769</v>
      </c>
      <c r="B1946" t="s">
        <v>822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 t="s">
        <v>799</v>
      </c>
    </row>
    <row r="1947" spans="1:9" hidden="1" x14ac:dyDescent="0.2">
      <c r="A1947" t="s">
        <v>770</v>
      </c>
      <c r="B1947" t="s">
        <v>894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 t="s">
        <v>797</v>
      </c>
    </row>
    <row r="1948" spans="1:9" hidden="1" x14ac:dyDescent="0.2">
      <c r="A1948" t="s">
        <v>770</v>
      </c>
      <c r="B1948" t="s">
        <v>815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 t="s">
        <v>797</v>
      </c>
    </row>
    <row r="1949" spans="1:9" hidden="1" x14ac:dyDescent="0.2">
      <c r="A1949" t="s">
        <v>770</v>
      </c>
      <c r="B1949" t="s">
        <v>859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 t="s">
        <v>797</v>
      </c>
    </row>
    <row r="1950" spans="1:9" hidden="1" x14ac:dyDescent="0.2">
      <c r="A1950" t="s">
        <v>771</v>
      </c>
      <c r="B1950" t="s">
        <v>859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 t="s">
        <v>797</v>
      </c>
    </row>
    <row r="1951" spans="1:9" hidden="1" x14ac:dyDescent="0.2">
      <c r="A1951" t="s">
        <v>772</v>
      </c>
      <c r="B1951" t="s">
        <v>826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 t="s">
        <v>789</v>
      </c>
    </row>
    <row r="1952" spans="1:9" hidden="1" x14ac:dyDescent="0.2">
      <c r="A1952" t="s">
        <v>772</v>
      </c>
      <c r="B1952" t="s">
        <v>827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 t="s">
        <v>789</v>
      </c>
    </row>
    <row r="1953" spans="1:9" hidden="1" x14ac:dyDescent="0.2">
      <c r="A1953" t="s">
        <v>772</v>
      </c>
      <c r="B1953" t="s">
        <v>893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 t="s">
        <v>789</v>
      </c>
    </row>
    <row r="1954" spans="1:9" hidden="1" x14ac:dyDescent="0.2">
      <c r="A1954" t="s">
        <v>772</v>
      </c>
      <c r="B1954" t="s">
        <v>894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 t="s">
        <v>789</v>
      </c>
    </row>
    <row r="1955" spans="1:9" hidden="1" x14ac:dyDescent="0.2">
      <c r="A1955" t="s">
        <v>772</v>
      </c>
      <c r="B1955" t="s">
        <v>833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 t="s">
        <v>789</v>
      </c>
    </row>
    <row r="1956" spans="1:9" hidden="1" x14ac:dyDescent="0.2">
      <c r="A1956" t="s">
        <v>773</v>
      </c>
      <c r="B1956" t="s">
        <v>827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 t="s">
        <v>789</v>
      </c>
    </row>
    <row r="1957" spans="1:9" hidden="1" x14ac:dyDescent="0.2">
      <c r="A1957" t="s">
        <v>773</v>
      </c>
      <c r="B1957" t="s">
        <v>814</v>
      </c>
      <c r="C1957">
        <v>3.2870824450848311E-4</v>
      </c>
      <c r="D1957">
        <v>0</v>
      </c>
      <c r="E1957">
        <v>0</v>
      </c>
      <c r="F1957">
        <v>0</v>
      </c>
      <c r="G1957">
        <v>0</v>
      </c>
      <c r="H1957">
        <v>0</v>
      </c>
      <c r="I1957" t="s">
        <v>789</v>
      </c>
    </row>
    <row r="1958" spans="1:9" hidden="1" x14ac:dyDescent="0.2">
      <c r="A1958" t="s">
        <v>773</v>
      </c>
      <c r="B1958" t="s">
        <v>893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 t="s">
        <v>789</v>
      </c>
    </row>
    <row r="1959" spans="1:9" hidden="1" x14ac:dyDescent="0.2">
      <c r="A1959" t="s">
        <v>773</v>
      </c>
      <c r="B1959" t="s">
        <v>815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 t="s">
        <v>789</v>
      </c>
    </row>
    <row r="1960" spans="1:9" hidden="1" x14ac:dyDescent="0.2">
      <c r="A1960" t="s">
        <v>773</v>
      </c>
      <c r="B1960" t="s">
        <v>810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 t="s">
        <v>789</v>
      </c>
    </row>
    <row r="1961" spans="1:9" hidden="1" x14ac:dyDescent="0.2">
      <c r="A1961" t="s">
        <v>773</v>
      </c>
      <c r="B1961" t="s">
        <v>822</v>
      </c>
      <c r="C1961">
        <v>4.1221595343645988E-5</v>
      </c>
      <c r="D1961">
        <v>0</v>
      </c>
      <c r="E1961">
        <v>0</v>
      </c>
      <c r="F1961">
        <v>0</v>
      </c>
      <c r="G1961">
        <v>0</v>
      </c>
      <c r="H1961">
        <v>0</v>
      </c>
      <c r="I1961" t="s">
        <v>789</v>
      </c>
    </row>
    <row r="1962" spans="1:9" hidden="1" x14ac:dyDescent="0.2">
      <c r="A1962" t="s">
        <v>774</v>
      </c>
      <c r="B1962" t="s">
        <v>826</v>
      </c>
      <c r="C1962">
        <v>0</v>
      </c>
      <c r="D1962">
        <v>0</v>
      </c>
      <c r="E1962">
        <v>0</v>
      </c>
      <c r="F1962">
        <v>0</v>
      </c>
      <c r="I1962" t="s">
        <v>789</v>
      </c>
    </row>
    <row r="1963" spans="1:9" hidden="1" x14ac:dyDescent="0.2">
      <c r="A1963" t="s">
        <v>774</v>
      </c>
      <c r="B1963" t="s">
        <v>853</v>
      </c>
      <c r="C1963">
        <v>0</v>
      </c>
      <c r="D1963">
        <v>0</v>
      </c>
      <c r="E1963">
        <v>0</v>
      </c>
      <c r="F1963">
        <v>0</v>
      </c>
      <c r="I1963" t="s">
        <v>789</v>
      </c>
    </row>
    <row r="1964" spans="1:9" hidden="1" x14ac:dyDescent="0.2">
      <c r="A1964" t="s">
        <v>774</v>
      </c>
      <c r="B1964" t="s">
        <v>827</v>
      </c>
      <c r="C1964">
        <v>0</v>
      </c>
      <c r="D1964">
        <v>0</v>
      </c>
      <c r="E1964">
        <v>0</v>
      </c>
      <c r="F1964">
        <v>0</v>
      </c>
      <c r="I1964" t="s">
        <v>789</v>
      </c>
    </row>
    <row r="1965" spans="1:9" hidden="1" x14ac:dyDescent="0.2">
      <c r="A1965" t="s">
        <v>774</v>
      </c>
      <c r="B1965" t="s">
        <v>885</v>
      </c>
      <c r="C1965">
        <v>0</v>
      </c>
      <c r="D1965">
        <v>3.4614625228937019E-6</v>
      </c>
      <c r="E1965">
        <v>0</v>
      </c>
      <c r="F1965">
        <v>0</v>
      </c>
      <c r="I1965" t="s">
        <v>789</v>
      </c>
    </row>
    <row r="1966" spans="1:9" hidden="1" x14ac:dyDescent="0.2">
      <c r="A1966" t="s">
        <v>774</v>
      </c>
      <c r="B1966" t="s">
        <v>893</v>
      </c>
      <c r="C1966">
        <v>0</v>
      </c>
      <c r="D1966">
        <v>0</v>
      </c>
      <c r="E1966">
        <v>0</v>
      </c>
      <c r="F1966">
        <v>0</v>
      </c>
      <c r="I1966" t="s">
        <v>789</v>
      </c>
    </row>
    <row r="1967" spans="1:9" hidden="1" x14ac:dyDescent="0.2">
      <c r="A1967" t="s">
        <v>774</v>
      </c>
      <c r="B1967" t="s">
        <v>810</v>
      </c>
      <c r="C1967">
        <v>0</v>
      </c>
      <c r="D1967">
        <v>9.5973884230631843E-7</v>
      </c>
      <c r="E1967">
        <v>0</v>
      </c>
      <c r="F1967">
        <v>0</v>
      </c>
      <c r="I1967" t="s">
        <v>789</v>
      </c>
    </row>
    <row r="1968" spans="1:9" hidden="1" x14ac:dyDescent="0.2">
      <c r="A1968" t="s">
        <v>774</v>
      </c>
      <c r="B1968" t="s">
        <v>824</v>
      </c>
      <c r="C1968">
        <v>0</v>
      </c>
      <c r="D1968">
        <v>0</v>
      </c>
      <c r="E1968">
        <v>0</v>
      </c>
      <c r="F1968">
        <v>0</v>
      </c>
      <c r="I1968" t="s">
        <v>789</v>
      </c>
    </row>
    <row r="1969" spans="1:9" hidden="1" x14ac:dyDescent="0.2">
      <c r="A1969" t="s">
        <v>774</v>
      </c>
      <c r="B1969" t="s">
        <v>840</v>
      </c>
      <c r="C1969">
        <v>0</v>
      </c>
      <c r="D1969">
        <v>0</v>
      </c>
      <c r="E1969">
        <v>0</v>
      </c>
      <c r="F1969">
        <v>0</v>
      </c>
      <c r="I1969" t="s">
        <v>789</v>
      </c>
    </row>
    <row r="1970" spans="1:9" hidden="1" x14ac:dyDescent="0.2">
      <c r="A1970" t="s">
        <v>774</v>
      </c>
      <c r="B1970" t="s">
        <v>883</v>
      </c>
      <c r="C1970">
        <v>0</v>
      </c>
      <c r="D1970">
        <v>2.2950197464648159E-4</v>
      </c>
      <c r="E1970">
        <v>0</v>
      </c>
      <c r="F1970">
        <v>0</v>
      </c>
      <c r="I1970" t="s">
        <v>789</v>
      </c>
    </row>
    <row r="1971" spans="1:9" hidden="1" x14ac:dyDescent="0.2">
      <c r="A1971" t="s">
        <v>774</v>
      </c>
      <c r="B1971" t="s">
        <v>854</v>
      </c>
      <c r="C1971">
        <v>0</v>
      </c>
      <c r="D1971">
        <v>0</v>
      </c>
      <c r="E1971">
        <v>0</v>
      </c>
      <c r="F1971">
        <v>0</v>
      </c>
      <c r="I1971" t="s">
        <v>789</v>
      </c>
    </row>
    <row r="1972" spans="1:9" hidden="1" x14ac:dyDescent="0.2">
      <c r="A1972" t="s">
        <v>774</v>
      </c>
      <c r="B1972" t="s">
        <v>833</v>
      </c>
      <c r="C1972">
        <v>0</v>
      </c>
      <c r="D1972">
        <v>0</v>
      </c>
      <c r="E1972">
        <v>0</v>
      </c>
      <c r="F1972">
        <v>0</v>
      </c>
      <c r="I1972" t="s">
        <v>789</v>
      </c>
    </row>
    <row r="1973" spans="1:9" hidden="1" x14ac:dyDescent="0.2">
      <c r="A1973" t="s">
        <v>774</v>
      </c>
      <c r="B1973" t="s">
        <v>886</v>
      </c>
      <c r="C1973">
        <v>0</v>
      </c>
      <c r="D1973">
        <v>1.7304253285620869E-4</v>
      </c>
      <c r="E1973">
        <v>0</v>
      </c>
      <c r="F1973">
        <v>0</v>
      </c>
      <c r="I1973" t="s">
        <v>789</v>
      </c>
    </row>
    <row r="1974" spans="1:9" hidden="1" x14ac:dyDescent="0.2">
      <c r="A1974" t="s">
        <v>775</v>
      </c>
      <c r="B1974" t="s">
        <v>894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 t="s">
        <v>796</v>
      </c>
    </row>
    <row r="1975" spans="1:9" hidden="1" x14ac:dyDescent="0.2">
      <c r="A1975" t="s">
        <v>775</v>
      </c>
      <c r="B1975" t="s">
        <v>830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 t="s">
        <v>796</v>
      </c>
    </row>
    <row r="1976" spans="1:9" hidden="1" x14ac:dyDescent="0.2">
      <c r="A1976" t="s">
        <v>775</v>
      </c>
      <c r="B1976" t="s">
        <v>831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 t="s">
        <v>796</v>
      </c>
    </row>
    <row r="1977" spans="1:9" hidden="1" x14ac:dyDescent="0.2">
      <c r="A1977" t="s">
        <v>775</v>
      </c>
      <c r="B1977" t="s">
        <v>832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 t="s">
        <v>796</v>
      </c>
    </row>
    <row r="1978" spans="1:9" x14ac:dyDescent="0.2">
      <c r="A1978" t="s">
        <v>776</v>
      </c>
      <c r="B1978" t="s">
        <v>810</v>
      </c>
      <c r="F1978">
        <v>0</v>
      </c>
      <c r="G1978">
        <v>0</v>
      </c>
      <c r="H1978">
        <v>0</v>
      </c>
      <c r="I1978" t="s">
        <v>794</v>
      </c>
    </row>
    <row r="1979" spans="1:9" x14ac:dyDescent="0.2">
      <c r="A1979" t="s">
        <v>776</v>
      </c>
      <c r="B1979" t="s">
        <v>858</v>
      </c>
      <c r="F1979">
        <v>0</v>
      </c>
      <c r="G1979">
        <v>0</v>
      </c>
      <c r="H1979">
        <v>0</v>
      </c>
      <c r="I1979" t="s">
        <v>794</v>
      </c>
    </row>
    <row r="1980" spans="1:9" x14ac:dyDescent="0.2">
      <c r="A1980" t="s">
        <v>776</v>
      </c>
      <c r="B1980" t="s">
        <v>873</v>
      </c>
      <c r="F1980">
        <v>0</v>
      </c>
      <c r="G1980">
        <v>0</v>
      </c>
      <c r="H1980">
        <v>0</v>
      </c>
      <c r="I1980" t="s">
        <v>794</v>
      </c>
    </row>
    <row r="1981" spans="1:9" x14ac:dyDescent="0.2">
      <c r="A1981" t="s">
        <v>777</v>
      </c>
      <c r="B1981" t="s">
        <v>822</v>
      </c>
      <c r="F1981">
        <v>0</v>
      </c>
      <c r="G1981">
        <v>0</v>
      </c>
      <c r="H1981">
        <v>0</v>
      </c>
      <c r="I1981" t="s">
        <v>794</v>
      </c>
    </row>
    <row r="1982" spans="1:9" x14ac:dyDescent="0.2">
      <c r="A1982" t="s">
        <v>778</v>
      </c>
      <c r="B1982" t="s">
        <v>858</v>
      </c>
      <c r="F1982">
        <v>0</v>
      </c>
      <c r="G1982">
        <v>0</v>
      </c>
      <c r="H1982">
        <v>0</v>
      </c>
      <c r="I1982" t="s">
        <v>794</v>
      </c>
    </row>
    <row r="1983" spans="1:9" x14ac:dyDescent="0.2">
      <c r="A1983" t="s">
        <v>779</v>
      </c>
      <c r="B1983" t="s">
        <v>810</v>
      </c>
      <c r="F1983">
        <v>0</v>
      </c>
      <c r="G1983">
        <v>0</v>
      </c>
      <c r="H1983">
        <v>0</v>
      </c>
      <c r="I1983" t="s">
        <v>794</v>
      </c>
    </row>
    <row r="1984" spans="1:9" x14ac:dyDescent="0.2">
      <c r="A1984" t="s">
        <v>779</v>
      </c>
      <c r="B1984" t="s">
        <v>822</v>
      </c>
      <c r="F1984">
        <v>0</v>
      </c>
      <c r="G1984">
        <v>0</v>
      </c>
      <c r="H1984">
        <v>0</v>
      </c>
      <c r="I1984" t="s">
        <v>794</v>
      </c>
    </row>
    <row r="1985" spans="1:9" x14ac:dyDescent="0.2">
      <c r="A1985" t="s">
        <v>779</v>
      </c>
      <c r="B1985" t="s">
        <v>873</v>
      </c>
      <c r="F1985">
        <v>0</v>
      </c>
      <c r="G1985">
        <v>0</v>
      </c>
      <c r="H1985">
        <v>0</v>
      </c>
      <c r="I1985" t="s">
        <v>794</v>
      </c>
    </row>
    <row r="1986" spans="1:9" hidden="1" x14ac:dyDescent="0.2">
      <c r="A1986" t="s">
        <v>780</v>
      </c>
      <c r="B1986" t="s">
        <v>816</v>
      </c>
      <c r="C1986">
        <v>0</v>
      </c>
      <c r="I1986" t="s">
        <v>789</v>
      </c>
    </row>
    <row r="1987" spans="1:9" hidden="1" x14ac:dyDescent="0.2">
      <c r="A1987" t="s">
        <v>780</v>
      </c>
      <c r="B1987" t="s">
        <v>810</v>
      </c>
      <c r="C1987">
        <v>0</v>
      </c>
      <c r="I1987" t="s">
        <v>789</v>
      </c>
    </row>
    <row r="1988" spans="1:9" hidden="1" x14ac:dyDescent="0.2">
      <c r="A1988" t="s">
        <v>780</v>
      </c>
      <c r="B1988" t="s">
        <v>824</v>
      </c>
      <c r="C1988">
        <v>0</v>
      </c>
      <c r="I1988" t="s">
        <v>789</v>
      </c>
    </row>
    <row r="1989" spans="1:9" hidden="1" x14ac:dyDescent="0.2">
      <c r="A1989" t="s">
        <v>780</v>
      </c>
      <c r="B1989" t="s">
        <v>889</v>
      </c>
      <c r="C1989">
        <v>0</v>
      </c>
      <c r="I1989" t="s">
        <v>789</v>
      </c>
    </row>
    <row r="1990" spans="1:9" hidden="1" x14ac:dyDescent="0.2">
      <c r="A1990" t="s">
        <v>780</v>
      </c>
      <c r="B1990" t="s">
        <v>886</v>
      </c>
      <c r="C1990">
        <v>0</v>
      </c>
      <c r="I1990" t="s">
        <v>789</v>
      </c>
    </row>
    <row r="1991" spans="1:9" hidden="1" x14ac:dyDescent="0.2">
      <c r="A1991" t="s">
        <v>781</v>
      </c>
      <c r="B1991" t="s">
        <v>810</v>
      </c>
      <c r="C1991">
        <v>1.3209073445066199E-2</v>
      </c>
      <c r="I1991" t="s">
        <v>789</v>
      </c>
    </row>
    <row r="1992" spans="1:9" hidden="1" x14ac:dyDescent="0.2">
      <c r="A1992" t="s">
        <v>781</v>
      </c>
      <c r="B1992" t="s">
        <v>903</v>
      </c>
      <c r="C1992">
        <v>0.34842164669588999</v>
      </c>
      <c r="I1992" t="s">
        <v>789</v>
      </c>
    </row>
    <row r="1993" spans="1:9" hidden="1" x14ac:dyDescent="0.2">
      <c r="A1993" t="s">
        <v>781</v>
      </c>
      <c r="B1993" t="s">
        <v>889</v>
      </c>
      <c r="C1993">
        <v>0</v>
      </c>
      <c r="I1993" t="s">
        <v>789</v>
      </c>
    </row>
    <row r="1994" spans="1:9" x14ac:dyDescent="0.2">
      <c r="A1994" t="s">
        <v>782</v>
      </c>
      <c r="B1994" t="s">
        <v>810</v>
      </c>
      <c r="C1994">
        <v>4498.6988440926689</v>
      </c>
      <c r="D1994">
        <v>0</v>
      </c>
      <c r="E1994">
        <v>0</v>
      </c>
      <c r="F1994">
        <v>0</v>
      </c>
      <c r="G1994">
        <v>0</v>
      </c>
      <c r="H1994">
        <v>0</v>
      </c>
      <c r="I1994" t="s">
        <v>794</v>
      </c>
    </row>
    <row r="1995" spans="1:9" hidden="1" x14ac:dyDescent="0.2">
      <c r="A1995" t="s">
        <v>783</v>
      </c>
      <c r="B1995" t="s">
        <v>893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 t="s">
        <v>789</v>
      </c>
    </row>
    <row r="1996" spans="1:9" hidden="1" x14ac:dyDescent="0.2">
      <c r="A1996" t="s">
        <v>783</v>
      </c>
      <c r="B1996" t="s">
        <v>894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 t="s">
        <v>789</v>
      </c>
    </row>
    <row r="1997" spans="1:9" hidden="1" x14ac:dyDescent="0.2">
      <c r="A1997" t="s">
        <v>783</v>
      </c>
      <c r="B1997" t="s">
        <v>810</v>
      </c>
      <c r="C1997">
        <v>1.3209073442487611E-2</v>
      </c>
      <c r="D1997">
        <v>0</v>
      </c>
      <c r="E1997">
        <v>0</v>
      </c>
      <c r="F1997">
        <v>0</v>
      </c>
      <c r="G1997">
        <v>0</v>
      </c>
      <c r="H1997">
        <v>0</v>
      </c>
      <c r="I1997" t="s">
        <v>789</v>
      </c>
    </row>
    <row r="1998" spans="1:9" hidden="1" x14ac:dyDescent="0.2">
      <c r="A1998" t="s">
        <v>783</v>
      </c>
      <c r="B1998" t="s">
        <v>903</v>
      </c>
      <c r="C1998">
        <v>0.3484216467005391</v>
      </c>
      <c r="D1998">
        <v>0</v>
      </c>
      <c r="E1998">
        <v>0</v>
      </c>
      <c r="F1998">
        <v>0</v>
      </c>
      <c r="G1998">
        <v>0</v>
      </c>
      <c r="H1998">
        <v>0</v>
      </c>
      <c r="I1998" t="s">
        <v>789</v>
      </c>
    </row>
    <row r="1999" spans="1:9" hidden="1" x14ac:dyDescent="0.2">
      <c r="A1999" t="s">
        <v>783</v>
      </c>
      <c r="B1999" t="s">
        <v>889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 t="s">
        <v>789</v>
      </c>
    </row>
    <row r="2000" spans="1:9" hidden="1" x14ac:dyDescent="0.2">
      <c r="A2000" t="s">
        <v>784</v>
      </c>
      <c r="B2000" t="s">
        <v>816</v>
      </c>
      <c r="C2000">
        <v>5.5884647249641532E-2</v>
      </c>
      <c r="D2000">
        <v>0</v>
      </c>
      <c r="E2000">
        <v>0</v>
      </c>
      <c r="F2000">
        <v>0</v>
      </c>
      <c r="H2000">
        <v>0</v>
      </c>
      <c r="I2000" t="s">
        <v>789</v>
      </c>
    </row>
    <row r="2001" spans="1:9" hidden="1" x14ac:dyDescent="0.2">
      <c r="A2001" t="s">
        <v>784</v>
      </c>
      <c r="B2001" t="s">
        <v>893</v>
      </c>
      <c r="C2001">
        <v>0</v>
      </c>
      <c r="D2001">
        <v>0</v>
      </c>
      <c r="E2001">
        <v>0</v>
      </c>
      <c r="F2001">
        <v>0</v>
      </c>
      <c r="H2001">
        <v>0</v>
      </c>
      <c r="I2001" t="s">
        <v>789</v>
      </c>
    </row>
    <row r="2002" spans="1:9" hidden="1" x14ac:dyDescent="0.2">
      <c r="A2002" t="s">
        <v>784</v>
      </c>
      <c r="B2002" t="s">
        <v>810</v>
      </c>
      <c r="C2002">
        <v>0.10668884400784551</v>
      </c>
      <c r="D2002">
        <v>0</v>
      </c>
      <c r="E2002">
        <v>0</v>
      </c>
      <c r="F2002">
        <v>0</v>
      </c>
      <c r="H2002">
        <v>0</v>
      </c>
      <c r="I2002" t="s">
        <v>789</v>
      </c>
    </row>
    <row r="2003" spans="1:9" hidden="1" x14ac:dyDescent="0.2">
      <c r="A2003" t="s">
        <v>784</v>
      </c>
      <c r="B2003" t="s">
        <v>824</v>
      </c>
      <c r="C2003">
        <v>0</v>
      </c>
      <c r="D2003">
        <v>0</v>
      </c>
      <c r="E2003">
        <v>0</v>
      </c>
      <c r="F2003">
        <v>0</v>
      </c>
      <c r="H2003">
        <v>0</v>
      </c>
      <c r="I2003" t="s">
        <v>789</v>
      </c>
    </row>
    <row r="2004" spans="1:9" hidden="1" x14ac:dyDescent="0.2">
      <c r="A2004" t="s">
        <v>784</v>
      </c>
      <c r="B2004" t="s">
        <v>889</v>
      </c>
      <c r="C2004">
        <v>0.75190214615142725</v>
      </c>
      <c r="D2004">
        <v>0</v>
      </c>
      <c r="E2004">
        <v>0</v>
      </c>
      <c r="F2004">
        <v>0</v>
      </c>
      <c r="H2004">
        <v>0</v>
      </c>
      <c r="I2004" t="s">
        <v>789</v>
      </c>
    </row>
    <row r="2005" spans="1:9" hidden="1" x14ac:dyDescent="0.2">
      <c r="A2005" t="s">
        <v>784</v>
      </c>
      <c r="B2005" t="s">
        <v>886</v>
      </c>
      <c r="C2005">
        <v>0</v>
      </c>
      <c r="D2005">
        <v>0</v>
      </c>
      <c r="E2005">
        <v>0</v>
      </c>
      <c r="F2005">
        <v>0</v>
      </c>
      <c r="H2005">
        <v>0</v>
      </c>
      <c r="I2005" t="s">
        <v>789</v>
      </c>
    </row>
    <row r="2006" spans="1:9" hidden="1" x14ac:dyDescent="0.2">
      <c r="A2006" t="s">
        <v>785</v>
      </c>
      <c r="B2006" t="s">
        <v>893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 t="s">
        <v>789</v>
      </c>
    </row>
    <row r="2007" spans="1:9" hidden="1" x14ac:dyDescent="0.2">
      <c r="A2007" t="s">
        <v>785</v>
      </c>
      <c r="B2007" t="s">
        <v>810</v>
      </c>
      <c r="C2007">
        <v>2.2742781904543509E-4</v>
      </c>
      <c r="D2007">
        <v>0</v>
      </c>
      <c r="E2007">
        <v>0</v>
      </c>
      <c r="F2007">
        <v>0</v>
      </c>
      <c r="G2007">
        <v>0</v>
      </c>
      <c r="H2007">
        <v>0</v>
      </c>
      <c r="I2007" t="s">
        <v>789</v>
      </c>
    </row>
    <row r="2008" spans="1:9" hidden="1" x14ac:dyDescent="0.2">
      <c r="A2008" t="s">
        <v>785</v>
      </c>
      <c r="B2008" t="s">
        <v>888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 t="s">
        <v>789</v>
      </c>
    </row>
    <row r="2009" spans="1:9" hidden="1" x14ac:dyDescent="0.2">
      <c r="A2009" t="s">
        <v>785</v>
      </c>
      <c r="B2009" t="s">
        <v>889</v>
      </c>
      <c r="C2009">
        <v>1.1042579619957089E-2</v>
      </c>
      <c r="D2009">
        <v>0</v>
      </c>
      <c r="E2009">
        <v>0</v>
      </c>
      <c r="F2009">
        <v>0</v>
      </c>
      <c r="G2009">
        <v>0</v>
      </c>
      <c r="H2009">
        <v>0</v>
      </c>
      <c r="I2009" t="s">
        <v>789</v>
      </c>
    </row>
    <row r="2010" spans="1:9" hidden="1" x14ac:dyDescent="0.2">
      <c r="A2010" t="s">
        <v>785</v>
      </c>
      <c r="B2010" t="s">
        <v>811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 t="s">
        <v>789</v>
      </c>
    </row>
    <row r="2011" spans="1:9" hidden="1" x14ac:dyDescent="0.2">
      <c r="A2011" t="s">
        <v>785</v>
      </c>
      <c r="B2011" t="s">
        <v>812</v>
      </c>
      <c r="C2011">
        <v>5.4572234201621234E-4</v>
      </c>
      <c r="D2011">
        <v>0</v>
      </c>
      <c r="E2011">
        <v>0</v>
      </c>
      <c r="F2011">
        <v>0</v>
      </c>
      <c r="G2011">
        <v>0</v>
      </c>
      <c r="H2011">
        <v>0</v>
      </c>
      <c r="I2011" t="s">
        <v>789</v>
      </c>
    </row>
    <row r="2012" spans="1:9" hidden="1" x14ac:dyDescent="0.2">
      <c r="A2012" t="s">
        <v>786</v>
      </c>
      <c r="B2012" t="s">
        <v>884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 t="s">
        <v>791</v>
      </c>
    </row>
    <row r="2013" spans="1:9" hidden="1" x14ac:dyDescent="0.2">
      <c r="A2013" t="s">
        <v>786</v>
      </c>
      <c r="B2013" t="s">
        <v>814</v>
      </c>
      <c r="C2013">
        <v>3.016284015272345E-4</v>
      </c>
      <c r="D2013">
        <v>1.0731281362811509E-5</v>
      </c>
      <c r="E2013">
        <v>0</v>
      </c>
      <c r="F2013">
        <v>0</v>
      </c>
      <c r="G2013">
        <v>0</v>
      </c>
      <c r="H2013">
        <v>3.395440816592852E-5</v>
      </c>
      <c r="I2013" t="s">
        <v>791</v>
      </c>
    </row>
    <row r="2014" spans="1:9" hidden="1" x14ac:dyDescent="0.2">
      <c r="A2014" t="s">
        <v>786</v>
      </c>
      <c r="B2014" t="s">
        <v>885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 t="s">
        <v>791</v>
      </c>
    </row>
    <row r="2015" spans="1:9" hidden="1" x14ac:dyDescent="0.2">
      <c r="A2015" t="s">
        <v>786</v>
      </c>
      <c r="B2015" t="s">
        <v>893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 t="s">
        <v>791</v>
      </c>
    </row>
    <row r="2016" spans="1:9" hidden="1" x14ac:dyDescent="0.2">
      <c r="A2016" t="s">
        <v>786</v>
      </c>
      <c r="B2016" t="s">
        <v>810</v>
      </c>
      <c r="C2016">
        <v>8.9665408005988237E-7</v>
      </c>
      <c r="D2016">
        <v>1.421747412557057E-7</v>
      </c>
      <c r="E2016">
        <v>0</v>
      </c>
      <c r="F2016">
        <v>0</v>
      </c>
      <c r="G2016">
        <v>0</v>
      </c>
      <c r="H2016">
        <v>0</v>
      </c>
      <c r="I2016" t="s">
        <v>791</v>
      </c>
    </row>
    <row r="2017" spans="1:9" hidden="1" x14ac:dyDescent="0.2">
      <c r="A2017" t="s">
        <v>786</v>
      </c>
      <c r="B2017" t="s">
        <v>812</v>
      </c>
      <c r="C2017">
        <v>2.5187756767523409E-4</v>
      </c>
      <c r="D2017">
        <v>8.069346489488724E-6</v>
      </c>
      <c r="E2017">
        <v>0</v>
      </c>
      <c r="F2017">
        <v>0</v>
      </c>
      <c r="G2017">
        <v>0</v>
      </c>
      <c r="H2017">
        <v>2.83629849473853E-5</v>
      </c>
      <c r="I2017" t="s">
        <v>791</v>
      </c>
    </row>
    <row r="2018" spans="1:9" hidden="1" x14ac:dyDescent="0.2">
      <c r="A2018" t="s">
        <v>2</v>
      </c>
      <c r="B2018" t="s">
        <v>816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 t="s">
        <v>790</v>
      </c>
    </row>
    <row r="2019" spans="1:9" hidden="1" x14ac:dyDescent="0.2">
      <c r="A2019" t="s">
        <v>2</v>
      </c>
      <c r="B2019" t="s">
        <v>836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 t="s">
        <v>790</v>
      </c>
    </row>
    <row r="2020" spans="1:9" hidden="1" x14ac:dyDescent="0.2">
      <c r="A2020" t="s">
        <v>2</v>
      </c>
      <c r="B2020" t="s">
        <v>864</v>
      </c>
      <c r="C2020">
        <v>5.5513076996446323E-5</v>
      </c>
      <c r="D2020">
        <v>0</v>
      </c>
      <c r="E2020">
        <v>0</v>
      </c>
      <c r="F2020">
        <v>0</v>
      </c>
      <c r="G2020">
        <v>0</v>
      </c>
      <c r="H2020">
        <v>0</v>
      </c>
      <c r="I2020" t="s">
        <v>790</v>
      </c>
    </row>
    <row r="2021" spans="1:9" hidden="1" x14ac:dyDescent="0.2">
      <c r="A2021" t="s">
        <v>3</v>
      </c>
      <c r="B2021" t="s">
        <v>844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 t="s">
        <v>791</v>
      </c>
    </row>
    <row r="2022" spans="1:9" hidden="1" x14ac:dyDescent="0.2">
      <c r="A2022" t="s">
        <v>3</v>
      </c>
      <c r="B2022" t="s">
        <v>814</v>
      </c>
      <c r="C2022">
        <v>0</v>
      </c>
      <c r="D2022">
        <v>9.1749678582536061E-5</v>
      </c>
      <c r="E2022">
        <v>0</v>
      </c>
      <c r="F2022">
        <v>0</v>
      </c>
      <c r="G2022">
        <v>0</v>
      </c>
      <c r="H2022">
        <v>3.2316508258499842E-5</v>
      </c>
      <c r="I2022" t="s">
        <v>791</v>
      </c>
    </row>
    <row r="2023" spans="1:9" hidden="1" x14ac:dyDescent="0.2">
      <c r="A2023" t="s">
        <v>3</v>
      </c>
      <c r="B2023" t="s">
        <v>810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 t="s">
        <v>791</v>
      </c>
    </row>
    <row r="2024" spans="1:9" hidden="1" x14ac:dyDescent="0.2">
      <c r="A2024" t="s">
        <v>4</v>
      </c>
      <c r="B2024" t="s">
        <v>844</v>
      </c>
      <c r="C2024">
        <v>0</v>
      </c>
      <c r="I2024" t="s">
        <v>791</v>
      </c>
    </row>
    <row r="2025" spans="1:9" hidden="1" x14ac:dyDescent="0.2">
      <c r="A2025" t="s">
        <v>4</v>
      </c>
      <c r="B2025" t="s">
        <v>904</v>
      </c>
      <c r="C2025">
        <v>0</v>
      </c>
      <c r="I2025" t="s">
        <v>791</v>
      </c>
    </row>
    <row r="2026" spans="1:9" hidden="1" x14ac:dyDescent="0.2">
      <c r="A2026" t="s">
        <v>5</v>
      </c>
      <c r="B2026" t="s">
        <v>844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 t="s">
        <v>791</v>
      </c>
    </row>
    <row r="2027" spans="1:9" hidden="1" x14ac:dyDescent="0.2">
      <c r="A2027" t="s">
        <v>5</v>
      </c>
      <c r="B2027" t="s">
        <v>905</v>
      </c>
      <c r="C2027">
        <v>122.5631331059826</v>
      </c>
      <c r="D2027">
        <v>0</v>
      </c>
      <c r="E2027">
        <v>0</v>
      </c>
      <c r="F2027">
        <v>0</v>
      </c>
      <c r="G2027">
        <v>0</v>
      </c>
      <c r="H2027">
        <v>0</v>
      </c>
      <c r="I2027" t="s">
        <v>791</v>
      </c>
    </row>
    <row r="2028" spans="1:9" hidden="1" x14ac:dyDescent="0.2">
      <c r="A2028" t="s">
        <v>6</v>
      </c>
      <c r="B2028" t="s">
        <v>815</v>
      </c>
      <c r="C2028">
        <v>0</v>
      </c>
      <c r="I2028" t="s">
        <v>792</v>
      </c>
    </row>
    <row r="2029" spans="1:9" hidden="1" x14ac:dyDescent="0.2">
      <c r="A2029" t="s">
        <v>6</v>
      </c>
      <c r="B2029" t="s">
        <v>810</v>
      </c>
      <c r="C2029">
        <v>0</v>
      </c>
      <c r="I2029" t="s">
        <v>792</v>
      </c>
    </row>
    <row r="2030" spans="1:9" hidden="1" x14ac:dyDescent="0.2">
      <c r="A2030" t="s">
        <v>6</v>
      </c>
      <c r="B2030" t="s">
        <v>839</v>
      </c>
      <c r="C2030">
        <v>0</v>
      </c>
      <c r="I2030" t="s">
        <v>792</v>
      </c>
    </row>
    <row r="2031" spans="1:9" hidden="1" x14ac:dyDescent="0.2">
      <c r="A2031" t="s">
        <v>6</v>
      </c>
      <c r="B2031" t="s">
        <v>812</v>
      </c>
      <c r="C2031">
        <v>0</v>
      </c>
      <c r="I2031" t="s">
        <v>792</v>
      </c>
    </row>
    <row r="2032" spans="1:9" hidden="1" x14ac:dyDescent="0.2">
      <c r="A2032" t="s">
        <v>7</v>
      </c>
      <c r="B2032" t="s">
        <v>814</v>
      </c>
      <c r="C2032">
        <v>0</v>
      </c>
      <c r="I2032" t="s">
        <v>792</v>
      </c>
    </row>
    <row r="2033" spans="1:9" hidden="1" x14ac:dyDescent="0.2">
      <c r="A2033" t="s">
        <v>7</v>
      </c>
      <c r="B2033" t="s">
        <v>815</v>
      </c>
      <c r="C2033">
        <v>0</v>
      </c>
      <c r="I2033" t="s">
        <v>792</v>
      </c>
    </row>
    <row r="2034" spans="1:9" hidden="1" x14ac:dyDescent="0.2">
      <c r="A2034" t="s">
        <v>7</v>
      </c>
      <c r="B2034" t="s">
        <v>810</v>
      </c>
      <c r="C2034">
        <v>0</v>
      </c>
      <c r="I2034" t="s">
        <v>792</v>
      </c>
    </row>
    <row r="2035" spans="1:9" hidden="1" x14ac:dyDescent="0.2">
      <c r="A2035" t="s">
        <v>7</v>
      </c>
      <c r="B2035" t="s">
        <v>812</v>
      </c>
      <c r="C2035">
        <v>0</v>
      </c>
      <c r="I2035" t="s">
        <v>792</v>
      </c>
    </row>
    <row r="2036" spans="1:9" hidden="1" x14ac:dyDescent="0.2">
      <c r="A2036" t="s">
        <v>8</v>
      </c>
      <c r="B2036" t="s">
        <v>814</v>
      </c>
      <c r="C2036">
        <v>3.1041321036867181E-4</v>
      </c>
      <c r="D2036">
        <v>0</v>
      </c>
      <c r="E2036">
        <v>0</v>
      </c>
      <c r="F2036">
        <v>0</v>
      </c>
      <c r="G2036">
        <v>0</v>
      </c>
      <c r="H2036">
        <v>0</v>
      </c>
      <c r="I2036" t="s">
        <v>792</v>
      </c>
    </row>
    <row r="2037" spans="1:9" hidden="1" x14ac:dyDescent="0.2">
      <c r="A2037" t="s">
        <v>8</v>
      </c>
      <c r="B2037" t="s">
        <v>810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 t="s">
        <v>792</v>
      </c>
    </row>
    <row r="2038" spans="1:9" hidden="1" x14ac:dyDescent="0.2">
      <c r="A2038" t="s">
        <v>8</v>
      </c>
      <c r="B2038" t="s">
        <v>812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 t="s">
        <v>792</v>
      </c>
    </row>
    <row r="2039" spans="1:9" hidden="1" x14ac:dyDescent="0.2">
      <c r="A2039" t="s">
        <v>9</v>
      </c>
      <c r="B2039" t="s">
        <v>816</v>
      </c>
      <c r="C2039">
        <v>0</v>
      </c>
      <c r="I2039" t="s">
        <v>792</v>
      </c>
    </row>
    <row r="2040" spans="1:9" hidden="1" x14ac:dyDescent="0.2">
      <c r="A2040" t="s">
        <v>9</v>
      </c>
      <c r="B2040" t="s">
        <v>816</v>
      </c>
      <c r="C2040">
        <v>0</v>
      </c>
      <c r="I2040" t="s">
        <v>792</v>
      </c>
    </row>
    <row r="2041" spans="1:9" hidden="1" x14ac:dyDescent="0.2">
      <c r="A2041" t="s">
        <v>9</v>
      </c>
      <c r="B2041" t="s">
        <v>816</v>
      </c>
      <c r="C2041">
        <v>0</v>
      </c>
      <c r="I2041" t="s">
        <v>792</v>
      </c>
    </row>
    <row r="2042" spans="1:9" hidden="1" x14ac:dyDescent="0.2">
      <c r="A2042" t="s">
        <v>9</v>
      </c>
      <c r="B2042" t="s">
        <v>816</v>
      </c>
      <c r="C2042">
        <v>0</v>
      </c>
      <c r="I2042" t="s">
        <v>792</v>
      </c>
    </row>
    <row r="2043" spans="1:9" hidden="1" x14ac:dyDescent="0.2">
      <c r="A2043" t="s">
        <v>9</v>
      </c>
      <c r="B2043" t="s">
        <v>816</v>
      </c>
      <c r="C2043">
        <v>0</v>
      </c>
      <c r="I2043" t="s">
        <v>792</v>
      </c>
    </row>
    <row r="2044" spans="1:9" hidden="1" x14ac:dyDescent="0.2">
      <c r="A2044" t="s">
        <v>9</v>
      </c>
      <c r="B2044" t="s">
        <v>816</v>
      </c>
      <c r="C2044">
        <v>0</v>
      </c>
      <c r="I2044" t="s">
        <v>792</v>
      </c>
    </row>
    <row r="2045" spans="1:9" hidden="1" x14ac:dyDescent="0.2">
      <c r="A2045" t="s">
        <v>9</v>
      </c>
      <c r="B2045" t="s">
        <v>816</v>
      </c>
      <c r="C2045">
        <v>0</v>
      </c>
      <c r="I2045" t="s">
        <v>792</v>
      </c>
    </row>
    <row r="2046" spans="1:9" hidden="1" x14ac:dyDescent="0.2">
      <c r="A2046" t="s">
        <v>9</v>
      </c>
      <c r="B2046" t="s">
        <v>816</v>
      </c>
      <c r="C2046">
        <v>0</v>
      </c>
      <c r="I2046" t="s">
        <v>792</v>
      </c>
    </row>
    <row r="2047" spans="1:9" hidden="1" x14ac:dyDescent="0.2">
      <c r="A2047" t="s">
        <v>9</v>
      </c>
      <c r="B2047" t="s">
        <v>816</v>
      </c>
      <c r="C2047">
        <v>0</v>
      </c>
      <c r="I2047" t="s">
        <v>792</v>
      </c>
    </row>
    <row r="2048" spans="1:9" hidden="1" x14ac:dyDescent="0.2">
      <c r="A2048" t="s">
        <v>9</v>
      </c>
      <c r="B2048" t="s">
        <v>816</v>
      </c>
      <c r="C2048">
        <v>0</v>
      </c>
      <c r="I2048" t="s">
        <v>792</v>
      </c>
    </row>
    <row r="2049" spans="1:9" hidden="1" x14ac:dyDescent="0.2">
      <c r="A2049" t="s">
        <v>9</v>
      </c>
      <c r="B2049" t="s">
        <v>816</v>
      </c>
      <c r="C2049">
        <v>0</v>
      </c>
      <c r="I2049" t="s">
        <v>792</v>
      </c>
    </row>
    <row r="2050" spans="1:9" hidden="1" x14ac:dyDescent="0.2">
      <c r="A2050" t="s">
        <v>9</v>
      </c>
      <c r="B2050" t="s">
        <v>816</v>
      </c>
      <c r="C2050">
        <v>0</v>
      </c>
      <c r="I2050" t="s">
        <v>792</v>
      </c>
    </row>
    <row r="2051" spans="1:9" hidden="1" x14ac:dyDescent="0.2">
      <c r="A2051" t="s">
        <v>9</v>
      </c>
      <c r="B2051" t="s">
        <v>816</v>
      </c>
      <c r="C2051">
        <v>0</v>
      </c>
      <c r="I2051" t="s">
        <v>792</v>
      </c>
    </row>
    <row r="2052" spans="1:9" hidden="1" x14ac:dyDescent="0.2">
      <c r="A2052" t="s">
        <v>9</v>
      </c>
      <c r="B2052" t="s">
        <v>816</v>
      </c>
      <c r="C2052">
        <v>0</v>
      </c>
      <c r="I2052" t="s">
        <v>792</v>
      </c>
    </row>
    <row r="2053" spans="1:9" hidden="1" x14ac:dyDescent="0.2">
      <c r="A2053" t="s">
        <v>9</v>
      </c>
      <c r="B2053" t="s">
        <v>816</v>
      </c>
      <c r="C2053">
        <v>0</v>
      </c>
      <c r="I2053" t="s">
        <v>792</v>
      </c>
    </row>
    <row r="2054" spans="1:9" hidden="1" x14ac:dyDescent="0.2">
      <c r="A2054" t="s">
        <v>9</v>
      </c>
      <c r="B2054" t="s">
        <v>816</v>
      </c>
      <c r="C2054">
        <v>0</v>
      </c>
      <c r="I2054" t="s">
        <v>792</v>
      </c>
    </row>
    <row r="2055" spans="1:9" hidden="1" x14ac:dyDescent="0.2">
      <c r="A2055" t="s">
        <v>9</v>
      </c>
      <c r="B2055" t="s">
        <v>816</v>
      </c>
      <c r="C2055">
        <v>0</v>
      </c>
      <c r="I2055" t="s">
        <v>792</v>
      </c>
    </row>
    <row r="2056" spans="1:9" hidden="1" x14ac:dyDescent="0.2">
      <c r="A2056" t="s">
        <v>9</v>
      </c>
      <c r="B2056" t="s">
        <v>816</v>
      </c>
      <c r="C2056">
        <v>0</v>
      </c>
      <c r="I2056" t="s">
        <v>792</v>
      </c>
    </row>
    <row r="2057" spans="1:9" hidden="1" x14ac:dyDescent="0.2">
      <c r="A2057" t="s">
        <v>9</v>
      </c>
      <c r="B2057" t="s">
        <v>816</v>
      </c>
      <c r="C2057">
        <v>0</v>
      </c>
      <c r="I2057" t="s">
        <v>792</v>
      </c>
    </row>
    <row r="2058" spans="1:9" hidden="1" x14ac:dyDescent="0.2">
      <c r="A2058" t="s">
        <v>9</v>
      </c>
      <c r="B2058" t="s">
        <v>816</v>
      </c>
      <c r="C2058">
        <v>0</v>
      </c>
      <c r="I2058" t="s">
        <v>792</v>
      </c>
    </row>
    <row r="2059" spans="1:9" hidden="1" x14ac:dyDescent="0.2">
      <c r="A2059" t="s">
        <v>9</v>
      </c>
      <c r="B2059" t="s">
        <v>816</v>
      </c>
      <c r="C2059">
        <v>0</v>
      </c>
      <c r="I2059" t="s">
        <v>792</v>
      </c>
    </row>
    <row r="2060" spans="1:9" hidden="1" x14ac:dyDescent="0.2">
      <c r="A2060" t="s">
        <v>9</v>
      </c>
      <c r="B2060" t="s">
        <v>816</v>
      </c>
      <c r="C2060">
        <v>0</v>
      </c>
      <c r="I2060" t="s">
        <v>792</v>
      </c>
    </row>
    <row r="2061" spans="1:9" hidden="1" x14ac:dyDescent="0.2">
      <c r="A2061" t="s">
        <v>9</v>
      </c>
      <c r="B2061" t="s">
        <v>816</v>
      </c>
      <c r="C2061">
        <v>0</v>
      </c>
      <c r="I2061" t="s">
        <v>792</v>
      </c>
    </row>
    <row r="2062" spans="1:9" hidden="1" x14ac:dyDescent="0.2">
      <c r="A2062" t="s">
        <v>9</v>
      </c>
      <c r="B2062" t="s">
        <v>816</v>
      </c>
      <c r="C2062">
        <v>0</v>
      </c>
      <c r="I2062" t="s">
        <v>792</v>
      </c>
    </row>
    <row r="2063" spans="1:9" hidden="1" x14ac:dyDescent="0.2">
      <c r="A2063" t="s">
        <v>9</v>
      </c>
      <c r="B2063" t="s">
        <v>816</v>
      </c>
      <c r="C2063">
        <v>0</v>
      </c>
      <c r="I2063" t="s">
        <v>792</v>
      </c>
    </row>
    <row r="2064" spans="1:9" hidden="1" x14ac:dyDescent="0.2">
      <c r="A2064" t="s">
        <v>9</v>
      </c>
      <c r="B2064" t="s">
        <v>816</v>
      </c>
      <c r="C2064">
        <v>0</v>
      </c>
      <c r="I2064" t="s">
        <v>792</v>
      </c>
    </row>
    <row r="2065" spans="1:9" hidden="1" x14ac:dyDescent="0.2">
      <c r="A2065" t="s">
        <v>9</v>
      </c>
      <c r="B2065" t="s">
        <v>816</v>
      </c>
      <c r="C2065">
        <v>0</v>
      </c>
      <c r="I2065" t="s">
        <v>792</v>
      </c>
    </row>
    <row r="2066" spans="1:9" hidden="1" x14ac:dyDescent="0.2">
      <c r="A2066" t="s">
        <v>9</v>
      </c>
      <c r="B2066" t="s">
        <v>816</v>
      </c>
      <c r="C2066">
        <v>0</v>
      </c>
      <c r="I2066" t="s">
        <v>792</v>
      </c>
    </row>
    <row r="2067" spans="1:9" hidden="1" x14ac:dyDescent="0.2">
      <c r="A2067" t="s">
        <v>9</v>
      </c>
      <c r="B2067" t="s">
        <v>816</v>
      </c>
      <c r="C2067">
        <v>0</v>
      </c>
      <c r="I2067" t="s">
        <v>792</v>
      </c>
    </row>
    <row r="2068" spans="1:9" hidden="1" x14ac:dyDescent="0.2">
      <c r="A2068" t="s">
        <v>9</v>
      </c>
      <c r="B2068" t="s">
        <v>816</v>
      </c>
      <c r="C2068">
        <v>0</v>
      </c>
      <c r="I2068" t="s">
        <v>792</v>
      </c>
    </row>
    <row r="2069" spans="1:9" hidden="1" x14ac:dyDescent="0.2">
      <c r="A2069" t="s">
        <v>9</v>
      </c>
      <c r="B2069" t="s">
        <v>816</v>
      </c>
      <c r="C2069">
        <v>0</v>
      </c>
      <c r="I2069" t="s">
        <v>792</v>
      </c>
    </row>
    <row r="2070" spans="1:9" hidden="1" x14ac:dyDescent="0.2">
      <c r="A2070" t="s">
        <v>9</v>
      </c>
      <c r="B2070" t="s">
        <v>816</v>
      </c>
      <c r="C2070">
        <v>0</v>
      </c>
      <c r="I2070" t="s">
        <v>792</v>
      </c>
    </row>
    <row r="2071" spans="1:9" hidden="1" x14ac:dyDescent="0.2">
      <c r="A2071" t="s">
        <v>9</v>
      </c>
      <c r="B2071" t="s">
        <v>816</v>
      </c>
      <c r="C2071">
        <v>0</v>
      </c>
      <c r="I2071" t="s">
        <v>792</v>
      </c>
    </row>
    <row r="2072" spans="1:9" hidden="1" x14ac:dyDescent="0.2">
      <c r="A2072" t="s">
        <v>9</v>
      </c>
      <c r="B2072" t="s">
        <v>816</v>
      </c>
      <c r="C2072">
        <v>0</v>
      </c>
      <c r="I2072" t="s">
        <v>792</v>
      </c>
    </row>
    <row r="2073" spans="1:9" hidden="1" x14ac:dyDescent="0.2">
      <c r="A2073" t="s">
        <v>9</v>
      </c>
      <c r="B2073" t="s">
        <v>816</v>
      </c>
      <c r="C2073">
        <v>0</v>
      </c>
      <c r="I2073" t="s">
        <v>792</v>
      </c>
    </row>
    <row r="2074" spans="1:9" hidden="1" x14ac:dyDescent="0.2">
      <c r="A2074" t="s">
        <v>9</v>
      </c>
      <c r="B2074" t="s">
        <v>816</v>
      </c>
      <c r="C2074">
        <v>0</v>
      </c>
      <c r="I2074" t="s">
        <v>792</v>
      </c>
    </row>
    <row r="2075" spans="1:9" hidden="1" x14ac:dyDescent="0.2">
      <c r="A2075" t="s">
        <v>9</v>
      </c>
      <c r="B2075" t="s">
        <v>816</v>
      </c>
      <c r="C2075">
        <v>0</v>
      </c>
      <c r="I2075" t="s">
        <v>792</v>
      </c>
    </row>
    <row r="2076" spans="1:9" hidden="1" x14ac:dyDescent="0.2">
      <c r="A2076" t="s">
        <v>9</v>
      </c>
      <c r="B2076" t="s">
        <v>816</v>
      </c>
      <c r="C2076">
        <v>0</v>
      </c>
      <c r="I2076" t="s">
        <v>792</v>
      </c>
    </row>
    <row r="2077" spans="1:9" hidden="1" x14ac:dyDescent="0.2">
      <c r="A2077" t="s">
        <v>9</v>
      </c>
      <c r="B2077" t="s">
        <v>816</v>
      </c>
      <c r="C2077">
        <v>0</v>
      </c>
      <c r="I2077" t="s">
        <v>792</v>
      </c>
    </row>
    <row r="2078" spans="1:9" hidden="1" x14ac:dyDescent="0.2">
      <c r="A2078" t="s">
        <v>9</v>
      </c>
      <c r="B2078" t="s">
        <v>816</v>
      </c>
      <c r="C2078">
        <v>0</v>
      </c>
      <c r="I2078" t="s">
        <v>792</v>
      </c>
    </row>
    <row r="2079" spans="1:9" hidden="1" x14ac:dyDescent="0.2">
      <c r="A2079" t="s">
        <v>9</v>
      </c>
      <c r="B2079" t="s">
        <v>816</v>
      </c>
      <c r="C2079">
        <v>0</v>
      </c>
      <c r="I2079" t="s">
        <v>792</v>
      </c>
    </row>
    <row r="2080" spans="1:9" hidden="1" x14ac:dyDescent="0.2">
      <c r="A2080" t="s">
        <v>9</v>
      </c>
      <c r="B2080" t="s">
        <v>816</v>
      </c>
      <c r="C2080">
        <v>0</v>
      </c>
      <c r="I2080" t="s">
        <v>792</v>
      </c>
    </row>
    <row r="2081" spans="1:9" hidden="1" x14ac:dyDescent="0.2">
      <c r="A2081" t="s">
        <v>9</v>
      </c>
      <c r="B2081" t="s">
        <v>816</v>
      </c>
      <c r="C2081">
        <v>0</v>
      </c>
      <c r="I2081" t="s">
        <v>792</v>
      </c>
    </row>
    <row r="2082" spans="1:9" hidden="1" x14ac:dyDescent="0.2">
      <c r="A2082" t="s">
        <v>9</v>
      </c>
      <c r="B2082" t="s">
        <v>816</v>
      </c>
      <c r="C2082">
        <v>0</v>
      </c>
      <c r="I2082" t="s">
        <v>792</v>
      </c>
    </row>
    <row r="2083" spans="1:9" hidden="1" x14ac:dyDescent="0.2">
      <c r="A2083" t="s">
        <v>9</v>
      </c>
      <c r="B2083" t="s">
        <v>816</v>
      </c>
      <c r="C2083">
        <v>0</v>
      </c>
      <c r="I2083" t="s">
        <v>792</v>
      </c>
    </row>
    <row r="2084" spans="1:9" hidden="1" x14ac:dyDescent="0.2">
      <c r="A2084" t="s">
        <v>9</v>
      </c>
      <c r="B2084" t="s">
        <v>816</v>
      </c>
      <c r="C2084">
        <v>0</v>
      </c>
      <c r="I2084" t="s">
        <v>792</v>
      </c>
    </row>
    <row r="2085" spans="1:9" hidden="1" x14ac:dyDescent="0.2">
      <c r="A2085" t="s">
        <v>9</v>
      </c>
      <c r="B2085" t="s">
        <v>816</v>
      </c>
      <c r="C2085">
        <v>0</v>
      </c>
      <c r="I2085" t="s">
        <v>792</v>
      </c>
    </row>
    <row r="2086" spans="1:9" hidden="1" x14ac:dyDescent="0.2">
      <c r="A2086" t="s">
        <v>9</v>
      </c>
      <c r="B2086" t="s">
        <v>816</v>
      </c>
      <c r="C2086">
        <v>0</v>
      </c>
      <c r="I2086" t="s">
        <v>792</v>
      </c>
    </row>
    <row r="2087" spans="1:9" hidden="1" x14ac:dyDescent="0.2">
      <c r="A2087" t="s">
        <v>9</v>
      </c>
      <c r="B2087" t="s">
        <v>816</v>
      </c>
      <c r="C2087">
        <v>0</v>
      </c>
      <c r="I2087" t="s">
        <v>792</v>
      </c>
    </row>
    <row r="2088" spans="1:9" hidden="1" x14ac:dyDescent="0.2">
      <c r="A2088" t="s">
        <v>9</v>
      </c>
      <c r="B2088" t="s">
        <v>816</v>
      </c>
      <c r="C2088">
        <v>0</v>
      </c>
      <c r="I2088" t="s">
        <v>792</v>
      </c>
    </row>
    <row r="2089" spans="1:9" hidden="1" x14ac:dyDescent="0.2">
      <c r="A2089" t="s">
        <v>9</v>
      </c>
      <c r="B2089" t="s">
        <v>816</v>
      </c>
      <c r="C2089">
        <v>0</v>
      </c>
      <c r="I2089" t="s">
        <v>792</v>
      </c>
    </row>
    <row r="2090" spans="1:9" hidden="1" x14ac:dyDescent="0.2">
      <c r="A2090" t="s">
        <v>9</v>
      </c>
      <c r="B2090" t="s">
        <v>816</v>
      </c>
      <c r="C2090">
        <v>0</v>
      </c>
      <c r="I2090" t="s">
        <v>792</v>
      </c>
    </row>
    <row r="2091" spans="1:9" hidden="1" x14ac:dyDescent="0.2">
      <c r="A2091" t="s">
        <v>9</v>
      </c>
      <c r="B2091" t="s">
        <v>816</v>
      </c>
      <c r="C2091">
        <v>0</v>
      </c>
      <c r="I2091" t="s">
        <v>792</v>
      </c>
    </row>
    <row r="2092" spans="1:9" hidden="1" x14ac:dyDescent="0.2">
      <c r="A2092" t="s">
        <v>9</v>
      </c>
      <c r="B2092" t="s">
        <v>816</v>
      </c>
      <c r="C2092">
        <v>0</v>
      </c>
      <c r="I2092" t="s">
        <v>792</v>
      </c>
    </row>
    <row r="2093" spans="1:9" hidden="1" x14ac:dyDescent="0.2">
      <c r="A2093" t="s">
        <v>9</v>
      </c>
      <c r="B2093" t="s">
        <v>816</v>
      </c>
      <c r="C2093">
        <v>0</v>
      </c>
      <c r="I2093" t="s">
        <v>792</v>
      </c>
    </row>
    <row r="2094" spans="1:9" hidden="1" x14ac:dyDescent="0.2">
      <c r="A2094" t="s">
        <v>9</v>
      </c>
      <c r="B2094" t="s">
        <v>816</v>
      </c>
      <c r="C2094">
        <v>0</v>
      </c>
      <c r="I2094" t="s">
        <v>792</v>
      </c>
    </row>
    <row r="2095" spans="1:9" hidden="1" x14ac:dyDescent="0.2">
      <c r="A2095" t="s">
        <v>9</v>
      </c>
      <c r="B2095" t="s">
        <v>816</v>
      </c>
      <c r="C2095">
        <v>0</v>
      </c>
      <c r="I2095" t="s">
        <v>792</v>
      </c>
    </row>
    <row r="2096" spans="1:9" hidden="1" x14ac:dyDescent="0.2">
      <c r="A2096" t="s">
        <v>9</v>
      </c>
      <c r="B2096" t="s">
        <v>816</v>
      </c>
      <c r="C2096">
        <v>0</v>
      </c>
      <c r="I2096" t="s">
        <v>792</v>
      </c>
    </row>
    <row r="2097" spans="1:9" hidden="1" x14ac:dyDescent="0.2">
      <c r="A2097" t="s">
        <v>9</v>
      </c>
      <c r="B2097" t="s">
        <v>816</v>
      </c>
      <c r="C2097">
        <v>0</v>
      </c>
      <c r="I2097" t="s">
        <v>792</v>
      </c>
    </row>
    <row r="2098" spans="1:9" hidden="1" x14ac:dyDescent="0.2">
      <c r="A2098" t="s">
        <v>9</v>
      </c>
      <c r="B2098" t="s">
        <v>816</v>
      </c>
      <c r="C2098">
        <v>0</v>
      </c>
      <c r="I2098" t="s">
        <v>792</v>
      </c>
    </row>
    <row r="2099" spans="1:9" hidden="1" x14ac:dyDescent="0.2">
      <c r="A2099" t="s">
        <v>9</v>
      </c>
      <c r="B2099" t="s">
        <v>816</v>
      </c>
      <c r="C2099">
        <v>0</v>
      </c>
      <c r="I2099" t="s">
        <v>792</v>
      </c>
    </row>
    <row r="2100" spans="1:9" hidden="1" x14ac:dyDescent="0.2">
      <c r="A2100" t="s">
        <v>9</v>
      </c>
      <c r="B2100" t="s">
        <v>816</v>
      </c>
      <c r="C2100">
        <v>0</v>
      </c>
      <c r="I2100" t="s">
        <v>792</v>
      </c>
    </row>
    <row r="2101" spans="1:9" hidden="1" x14ac:dyDescent="0.2">
      <c r="A2101" t="s">
        <v>9</v>
      </c>
      <c r="B2101" t="s">
        <v>816</v>
      </c>
      <c r="C2101">
        <v>0</v>
      </c>
      <c r="I2101" t="s">
        <v>792</v>
      </c>
    </row>
    <row r="2102" spans="1:9" hidden="1" x14ac:dyDescent="0.2">
      <c r="A2102" t="s">
        <v>9</v>
      </c>
      <c r="B2102" t="s">
        <v>816</v>
      </c>
      <c r="C2102">
        <v>0</v>
      </c>
      <c r="I2102" t="s">
        <v>792</v>
      </c>
    </row>
    <row r="2103" spans="1:9" hidden="1" x14ac:dyDescent="0.2">
      <c r="A2103" t="s">
        <v>9</v>
      </c>
      <c r="B2103" t="s">
        <v>815</v>
      </c>
      <c r="C2103">
        <v>0</v>
      </c>
      <c r="I2103" t="s">
        <v>792</v>
      </c>
    </row>
    <row r="2104" spans="1:9" hidden="1" x14ac:dyDescent="0.2">
      <c r="A2104" t="s">
        <v>9</v>
      </c>
      <c r="B2104" t="s">
        <v>815</v>
      </c>
      <c r="C2104">
        <v>0</v>
      </c>
      <c r="I2104" t="s">
        <v>792</v>
      </c>
    </row>
    <row r="2105" spans="1:9" hidden="1" x14ac:dyDescent="0.2">
      <c r="A2105" t="s">
        <v>9</v>
      </c>
      <c r="B2105" t="s">
        <v>815</v>
      </c>
      <c r="C2105">
        <v>0</v>
      </c>
      <c r="I2105" t="s">
        <v>792</v>
      </c>
    </row>
    <row r="2106" spans="1:9" hidden="1" x14ac:dyDescent="0.2">
      <c r="A2106" t="s">
        <v>9</v>
      </c>
      <c r="B2106" t="s">
        <v>815</v>
      </c>
      <c r="C2106">
        <v>0</v>
      </c>
      <c r="I2106" t="s">
        <v>792</v>
      </c>
    </row>
    <row r="2107" spans="1:9" hidden="1" x14ac:dyDescent="0.2">
      <c r="A2107" t="s">
        <v>9</v>
      </c>
      <c r="B2107" t="s">
        <v>815</v>
      </c>
      <c r="C2107">
        <v>0</v>
      </c>
      <c r="I2107" t="s">
        <v>792</v>
      </c>
    </row>
    <row r="2108" spans="1:9" hidden="1" x14ac:dyDescent="0.2">
      <c r="A2108" t="s">
        <v>9</v>
      </c>
      <c r="B2108" t="s">
        <v>815</v>
      </c>
      <c r="C2108">
        <v>0</v>
      </c>
      <c r="I2108" t="s">
        <v>792</v>
      </c>
    </row>
    <row r="2109" spans="1:9" hidden="1" x14ac:dyDescent="0.2">
      <c r="A2109" t="s">
        <v>9</v>
      </c>
      <c r="B2109" t="s">
        <v>815</v>
      </c>
      <c r="C2109">
        <v>0</v>
      </c>
      <c r="I2109" t="s">
        <v>792</v>
      </c>
    </row>
    <row r="2110" spans="1:9" hidden="1" x14ac:dyDescent="0.2">
      <c r="A2110" t="s">
        <v>9</v>
      </c>
      <c r="B2110" t="s">
        <v>815</v>
      </c>
      <c r="C2110">
        <v>0</v>
      </c>
      <c r="I2110" t="s">
        <v>792</v>
      </c>
    </row>
    <row r="2111" spans="1:9" hidden="1" x14ac:dyDescent="0.2">
      <c r="A2111" t="s">
        <v>9</v>
      </c>
      <c r="B2111" t="s">
        <v>815</v>
      </c>
      <c r="C2111">
        <v>0</v>
      </c>
      <c r="I2111" t="s">
        <v>792</v>
      </c>
    </row>
    <row r="2112" spans="1:9" hidden="1" x14ac:dyDescent="0.2">
      <c r="A2112" t="s">
        <v>9</v>
      </c>
      <c r="B2112" t="s">
        <v>815</v>
      </c>
      <c r="C2112">
        <v>0</v>
      </c>
      <c r="I2112" t="s">
        <v>792</v>
      </c>
    </row>
    <row r="2113" spans="1:9" hidden="1" x14ac:dyDescent="0.2">
      <c r="A2113" t="s">
        <v>9</v>
      </c>
      <c r="B2113" t="s">
        <v>815</v>
      </c>
      <c r="C2113">
        <v>0</v>
      </c>
      <c r="I2113" t="s">
        <v>792</v>
      </c>
    </row>
    <row r="2114" spans="1:9" hidden="1" x14ac:dyDescent="0.2">
      <c r="A2114" t="s">
        <v>9</v>
      </c>
      <c r="B2114" t="s">
        <v>815</v>
      </c>
      <c r="C2114">
        <v>0</v>
      </c>
      <c r="I2114" t="s">
        <v>792</v>
      </c>
    </row>
    <row r="2115" spans="1:9" hidden="1" x14ac:dyDescent="0.2">
      <c r="A2115" t="s">
        <v>9</v>
      </c>
      <c r="B2115" t="s">
        <v>815</v>
      </c>
      <c r="C2115">
        <v>0</v>
      </c>
      <c r="I2115" t="s">
        <v>792</v>
      </c>
    </row>
    <row r="2116" spans="1:9" hidden="1" x14ac:dyDescent="0.2">
      <c r="A2116" t="s">
        <v>9</v>
      </c>
      <c r="B2116" t="s">
        <v>815</v>
      </c>
      <c r="C2116">
        <v>0</v>
      </c>
      <c r="I2116" t="s">
        <v>792</v>
      </c>
    </row>
    <row r="2117" spans="1:9" hidden="1" x14ac:dyDescent="0.2">
      <c r="A2117" t="s">
        <v>9</v>
      </c>
      <c r="B2117" t="s">
        <v>815</v>
      </c>
      <c r="C2117">
        <v>0</v>
      </c>
      <c r="I2117" t="s">
        <v>792</v>
      </c>
    </row>
    <row r="2118" spans="1:9" hidden="1" x14ac:dyDescent="0.2">
      <c r="A2118" t="s">
        <v>9</v>
      </c>
      <c r="B2118" t="s">
        <v>815</v>
      </c>
      <c r="C2118">
        <v>0</v>
      </c>
      <c r="I2118" t="s">
        <v>792</v>
      </c>
    </row>
    <row r="2119" spans="1:9" hidden="1" x14ac:dyDescent="0.2">
      <c r="A2119" t="s">
        <v>9</v>
      </c>
      <c r="B2119" t="s">
        <v>815</v>
      </c>
      <c r="C2119">
        <v>0</v>
      </c>
      <c r="I2119" t="s">
        <v>792</v>
      </c>
    </row>
    <row r="2120" spans="1:9" hidden="1" x14ac:dyDescent="0.2">
      <c r="A2120" t="s">
        <v>9</v>
      </c>
      <c r="B2120" t="s">
        <v>815</v>
      </c>
      <c r="C2120">
        <v>0</v>
      </c>
      <c r="I2120" t="s">
        <v>792</v>
      </c>
    </row>
    <row r="2121" spans="1:9" hidden="1" x14ac:dyDescent="0.2">
      <c r="A2121" t="s">
        <v>9</v>
      </c>
      <c r="B2121" t="s">
        <v>815</v>
      </c>
      <c r="C2121">
        <v>0</v>
      </c>
      <c r="I2121" t="s">
        <v>792</v>
      </c>
    </row>
    <row r="2122" spans="1:9" hidden="1" x14ac:dyDescent="0.2">
      <c r="A2122" t="s">
        <v>9</v>
      </c>
      <c r="B2122" t="s">
        <v>815</v>
      </c>
      <c r="C2122">
        <v>0</v>
      </c>
      <c r="I2122" t="s">
        <v>792</v>
      </c>
    </row>
    <row r="2123" spans="1:9" hidden="1" x14ac:dyDescent="0.2">
      <c r="A2123" t="s">
        <v>9</v>
      </c>
      <c r="B2123" t="s">
        <v>815</v>
      </c>
      <c r="C2123">
        <v>0</v>
      </c>
      <c r="I2123" t="s">
        <v>792</v>
      </c>
    </row>
    <row r="2124" spans="1:9" hidden="1" x14ac:dyDescent="0.2">
      <c r="A2124" t="s">
        <v>9</v>
      </c>
      <c r="B2124" t="s">
        <v>815</v>
      </c>
      <c r="C2124">
        <v>0</v>
      </c>
      <c r="I2124" t="s">
        <v>792</v>
      </c>
    </row>
    <row r="2125" spans="1:9" hidden="1" x14ac:dyDescent="0.2">
      <c r="A2125" t="s">
        <v>9</v>
      </c>
      <c r="B2125" t="s">
        <v>815</v>
      </c>
      <c r="C2125">
        <v>0</v>
      </c>
      <c r="I2125" t="s">
        <v>792</v>
      </c>
    </row>
    <row r="2126" spans="1:9" hidden="1" x14ac:dyDescent="0.2">
      <c r="A2126" t="s">
        <v>9</v>
      </c>
      <c r="B2126" t="s">
        <v>815</v>
      </c>
      <c r="C2126">
        <v>0</v>
      </c>
      <c r="I2126" t="s">
        <v>792</v>
      </c>
    </row>
    <row r="2127" spans="1:9" hidden="1" x14ac:dyDescent="0.2">
      <c r="A2127" t="s">
        <v>9</v>
      </c>
      <c r="B2127" t="s">
        <v>815</v>
      </c>
      <c r="C2127">
        <v>0</v>
      </c>
      <c r="I2127" t="s">
        <v>792</v>
      </c>
    </row>
    <row r="2128" spans="1:9" hidden="1" x14ac:dyDescent="0.2">
      <c r="A2128" t="s">
        <v>9</v>
      </c>
      <c r="B2128" t="s">
        <v>815</v>
      </c>
      <c r="C2128">
        <v>0</v>
      </c>
      <c r="I2128" t="s">
        <v>792</v>
      </c>
    </row>
    <row r="2129" spans="1:9" hidden="1" x14ac:dyDescent="0.2">
      <c r="A2129" t="s">
        <v>9</v>
      </c>
      <c r="B2129" t="s">
        <v>815</v>
      </c>
      <c r="C2129">
        <v>0</v>
      </c>
      <c r="I2129" t="s">
        <v>792</v>
      </c>
    </row>
    <row r="2130" spans="1:9" hidden="1" x14ac:dyDescent="0.2">
      <c r="A2130" t="s">
        <v>9</v>
      </c>
      <c r="B2130" t="s">
        <v>815</v>
      </c>
      <c r="C2130">
        <v>0</v>
      </c>
      <c r="I2130" t="s">
        <v>792</v>
      </c>
    </row>
    <row r="2131" spans="1:9" hidden="1" x14ac:dyDescent="0.2">
      <c r="A2131" t="s">
        <v>9</v>
      </c>
      <c r="B2131" t="s">
        <v>815</v>
      </c>
      <c r="C2131">
        <v>0</v>
      </c>
      <c r="I2131" t="s">
        <v>792</v>
      </c>
    </row>
    <row r="2132" spans="1:9" hidden="1" x14ac:dyDescent="0.2">
      <c r="A2132" t="s">
        <v>9</v>
      </c>
      <c r="B2132" t="s">
        <v>815</v>
      </c>
      <c r="C2132">
        <v>0</v>
      </c>
      <c r="I2132" t="s">
        <v>792</v>
      </c>
    </row>
    <row r="2133" spans="1:9" hidden="1" x14ac:dyDescent="0.2">
      <c r="A2133" t="s">
        <v>9</v>
      </c>
      <c r="B2133" t="s">
        <v>815</v>
      </c>
      <c r="C2133">
        <v>0</v>
      </c>
      <c r="I2133" t="s">
        <v>792</v>
      </c>
    </row>
    <row r="2134" spans="1:9" hidden="1" x14ac:dyDescent="0.2">
      <c r="A2134" t="s">
        <v>9</v>
      </c>
      <c r="B2134" t="s">
        <v>815</v>
      </c>
      <c r="C2134">
        <v>0</v>
      </c>
      <c r="I2134" t="s">
        <v>792</v>
      </c>
    </row>
    <row r="2135" spans="1:9" hidden="1" x14ac:dyDescent="0.2">
      <c r="A2135" t="s">
        <v>9</v>
      </c>
      <c r="B2135" t="s">
        <v>815</v>
      </c>
      <c r="C2135">
        <v>0</v>
      </c>
      <c r="I2135" t="s">
        <v>792</v>
      </c>
    </row>
    <row r="2136" spans="1:9" hidden="1" x14ac:dyDescent="0.2">
      <c r="A2136" t="s">
        <v>9</v>
      </c>
      <c r="B2136" t="s">
        <v>815</v>
      </c>
      <c r="C2136">
        <v>0</v>
      </c>
      <c r="I2136" t="s">
        <v>792</v>
      </c>
    </row>
    <row r="2137" spans="1:9" hidden="1" x14ac:dyDescent="0.2">
      <c r="A2137" t="s">
        <v>9</v>
      </c>
      <c r="B2137" t="s">
        <v>815</v>
      </c>
      <c r="C2137">
        <v>0</v>
      </c>
      <c r="I2137" t="s">
        <v>792</v>
      </c>
    </row>
    <row r="2138" spans="1:9" hidden="1" x14ac:dyDescent="0.2">
      <c r="A2138" t="s">
        <v>9</v>
      </c>
      <c r="B2138" t="s">
        <v>815</v>
      </c>
      <c r="C2138">
        <v>0</v>
      </c>
      <c r="I2138" t="s">
        <v>792</v>
      </c>
    </row>
    <row r="2139" spans="1:9" hidden="1" x14ac:dyDescent="0.2">
      <c r="A2139" t="s">
        <v>9</v>
      </c>
      <c r="B2139" t="s">
        <v>815</v>
      </c>
      <c r="C2139">
        <v>0</v>
      </c>
      <c r="I2139" t="s">
        <v>792</v>
      </c>
    </row>
    <row r="2140" spans="1:9" hidden="1" x14ac:dyDescent="0.2">
      <c r="A2140" t="s">
        <v>9</v>
      </c>
      <c r="B2140" t="s">
        <v>815</v>
      </c>
      <c r="C2140">
        <v>0</v>
      </c>
      <c r="I2140" t="s">
        <v>792</v>
      </c>
    </row>
    <row r="2141" spans="1:9" hidden="1" x14ac:dyDescent="0.2">
      <c r="A2141" t="s">
        <v>9</v>
      </c>
      <c r="B2141" t="s">
        <v>815</v>
      </c>
      <c r="C2141">
        <v>0</v>
      </c>
      <c r="I2141" t="s">
        <v>792</v>
      </c>
    </row>
    <row r="2142" spans="1:9" hidden="1" x14ac:dyDescent="0.2">
      <c r="A2142" t="s">
        <v>9</v>
      </c>
      <c r="B2142" t="s">
        <v>815</v>
      </c>
      <c r="C2142">
        <v>0</v>
      </c>
      <c r="I2142" t="s">
        <v>792</v>
      </c>
    </row>
    <row r="2143" spans="1:9" hidden="1" x14ac:dyDescent="0.2">
      <c r="A2143" t="s">
        <v>9</v>
      </c>
      <c r="B2143" t="s">
        <v>815</v>
      </c>
      <c r="C2143">
        <v>0</v>
      </c>
      <c r="I2143" t="s">
        <v>792</v>
      </c>
    </row>
    <row r="2144" spans="1:9" hidden="1" x14ac:dyDescent="0.2">
      <c r="A2144" t="s">
        <v>9</v>
      </c>
      <c r="B2144" t="s">
        <v>815</v>
      </c>
      <c r="C2144">
        <v>0</v>
      </c>
      <c r="I2144" t="s">
        <v>792</v>
      </c>
    </row>
    <row r="2145" spans="1:9" hidden="1" x14ac:dyDescent="0.2">
      <c r="A2145" t="s">
        <v>9</v>
      </c>
      <c r="B2145" t="s">
        <v>815</v>
      </c>
      <c r="C2145">
        <v>0</v>
      </c>
      <c r="I2145" t="s">
        <v>792</v>
      </c>
    </row>
    <row r="2146" spans="1:9" hidden="1" x14ac:dyDescent="0.2">
      <c r="A2146" t="s">
        <v>9</v>
      </c>
      <c r="B2146" t="s">
        <v>815</v>
      </c>
      <c r="C2146">
        <v>0</v>
      </c>
      <c r="I2146" t="s">
        <v>792</v>
      </c>
    </row>
    <row r="2147" spans="1:9" hidden="1" x14ac:dyDescent="0.2">
      <c r="A2147" t="s">
        <v>9</v>
      </c>
      <c r="B2147" t="s">
        <v>815</v>
      </c>
      <c r="C2147">
        <v>0</v>
      </c>
      <c r="I2147" t="s">
        <v>792</v>
      </c>
    </row>
    <row r="2148" spans="1:9" hidden="1" x14ac:dyDescent="0.2">
      <c r="A2148" t="s">
        <v>9</v>
      </c>
      <c r="B2148" t="s">
        <v>815</v>
      </c>
      <c r="C2148">
        <v>0</v>
      </c>
      <c r="I2148" t="s">
        <v>792</v>
      </c>
    </row>
    <row r="2149" spans="1:9" hidden="1" x14ac:dyDescent="0.2">
      <c r="A2149" t="s">
        <v>9</v>
      </c>
      <c r="B2149" t="s">
        <v>815</v>
      </c>
      <c r="C2149">
        <v>0</v>
      </c>
      <c r="I2149" t="s">
        <v>792</v>
      </c>
    </row>
    <row r="2150" spans="1:9" hidden="1" x14ac:dyDescent="0.2">
      <c r="A2150" t="s">
        <v>9</v>
      </c>
      <c r="B2150" t="s">
        <v>815</v>
      </c>
      <c r="C2150">
        <v>0</v>
      </c>
      <c r="I2150" t="s">
        <v>792</v>
      </c>
    </row>
    <row r="2151" spans="1:9" hidden="1" x14ac:dyDescent="0.2">
      <c r="A2151" t="s">
        <v>9</v>
      </c>
      <c r="B2151" t="s">
        <v>815</v>
      </c>
      <c r="C2151">
        <v>0</v>
      </c>
      <c r="I2151" t="s">
        <v>792</v>
      </c>
    </row>
    <row r="2152" spans="1:9" hidden="1" x14ac:dyDescent="0.2">
      <c r="A2152" t="s">
        <v>9</v>
      </c>
      <c r="B2152" t="s">
        <v>815</v>
      </c>
      <c r="C2152">
        <v>0</v>
      </c>
      <c r="I2152" t="s">
        <v>792</v>
      </c>
    </row>
    <row r="2153" spans="1:9" hidden="1" x14ac:dyDescent="0.2">
      <c r="A2153" t="s">
        <v>9</v>
      </c>
      <c r="B2153" t="s">
        <v>815</v>
      </c>
      <c r="C2153">
        <v>0</v>
      </c>
      <c r="I2153" t="s">
        <v>792</v>
      </c>
    </row>
    <row r="2154" spans="1:9" hidden="1" x14ac:dyDescent="0.2">
      <c r="A2154" t="s">
        <v>9</v>
      </c>
      <c r="B2154" t="s">
        <v>815</v>
      </c>
      <c r="C2154">
        <v>0</v>
      </c>
      <c r="I2154" t="s">
        <v>792</v>
      </c>
    </row>
    <row r="2155" spans="1:9" hidden="1" x14ac:dyDescent="0.2">
      <c r="A2155" t="s">
        <v>9</v>
      </c>
      <c r="B2155" t="s">
        <v>815</v>
      </c>
      <c r="C2155">
        <v>0</v>
      </c>
      <c r="I2155" t="s">
        <v>792</v>
      </c>
    </row>
    <row r="2156" spans="1:9" hidden="1" x14ac:dyDescent="0.2">
      <c r="A2156" t="s">
        <v>9</v>
      </c>
      <c r="B2156" t="s">
        <v>815</v>
      </c>
      <c r="C2156">
        <v>0</v>
      </c>
      <c r="I2156" t="s">
        <v>792</v>
      </c>
    </row>
    <row r="2157" spans="1:9" hidden="1" x14ac:dyDescent="0.2">
      <c r="A2157" t="s">
        <v>9</v>
      </c>
      <c r="B2157" t="s">
        <v>815</v>
      </c>
      <c r="C2157">
        <v>0</v>
      </c>
      <c r="I2157" t="s">
        <v>792</v>
      </c>
    </row>
    <row r="2158" spans="1:9" hidden="1" x14ac:dyDescent="0.2">
      <c r="A2158" t="s">
        <v>9</v>
      </c>
      <c r="B2158" t="s">
        <v>815</v>
      </c>
      <c r="C2158">
        <v>0</v>
      </c>
      <c r="I2158" t="s">
        <v>792</v>
      </c>
    </row>
    <row r="2159" spans="1:9" hidden="1" x14ac:dyDescent="0.2">
      <c r="A2159" t="s">
        <v>9</v>
      </c>
      <c r="B2159" t="s">
        <v>815</v>
      </c>
      <c r="C2159">
        <v>0</v>
      </c>
      <c r="I2159" t="s">
        <v>792</v>
      </c>
    </row>
    <row r="2160" spans="1:9" hidden="1" x14ac:dyDescent="0.2">
      <c r="A2160" t="s">
        <v>9</v>
      </c>
      <c r="B2160" t="s">
        <v>815</v>
      </c>
      <c r="C2160">
        <v>0</v>
      </c>
      <c r="I2160" t="s">
        <v>792</v>
      </c>
    </row>
    <row r="2161" spans="1:9" hidden="1" x14ac:dyDescent="0.2">
      <c r="A2161" t="s">
        <v>9</v>
      </c>
      <c r="B2161" t="s">
        <v>815</v>
      </c>
      <c r="C2161">
        <v>0</v>
      </c>
      <c r="I2161" t="s">
        <v>792</v>
      </c>
    </row>
    <row r="2162" spans="1:9" hidden="1" x14ac:dyDescent="0.2">
      <c r="A2162" t="s">
        <v>9</v>
      </c>
      <c r="B2162" t="s">
        <v>815</v>
      </c>
      <c r="C2162">
        <v>0</v>
      </c>
      <c r="I2162" t="s">
        <v>792</v>
      </c>
    </row>
    <row r="2163" spans="1:9" hidden="1" x14ac:dyDescent="0.2">
      <c r="A2163" t="s">
        <v>9</v>
      </c>
      <c r="B2163" t="s">
        <v>815</v>
      </c>
      <c r="C2163">
        <v>0</v>
      </c>
      <c r="I2163" t="s">
        <v>792</v>
      </c>
    </row>
    <row r="2164" spans="1:9" hidden="1" x14ac:dyDescent="0.2">
      <c r="A2164" t="s">
        <v>9</v>
      </c>
      <c r="B2164" t="s">
        <v>815</v>
      </c>
      <c r="C2164">
        <v>0</v>
      </c>
      <c r="I2164" t="s">
        <v>792</v>
      </c>
    </row>
    <row r="2165" spans="1:9" hidden="1" x14ac:dyDescent="0.2">
      <c r="A2165" t="s">
        <v>9</v>
      </c>
      <c r="B2165" t="s">
        <v>815</v>
      </c>
      <c r="C2165">
        <v>0</v>
      </c>
      <c r="I2165" t="s">
        <v>792</v>
      </c>
    </row>
    <row r="2166" spans="1:9" hidden="1" x14ac:dyDescent="0.2">
      <c r="A2166" t="s">
        <v>9</v>
      </c>
      <c r="B2166" t="s">
        <v>815</v>
      </c>
      <c r="C2166">
        <v>0</v>
      </c>
      <c r="I2166" t="s">
        <v>792</v>
      </c>
    </row>
    <row r="2167" spans="1:9" hidden="1" x14ac:dyDescent="0.2">
      <c r="A2167" t="s">
        <v>9</v>
      </c>
      <c r="B2167" t="s">
        <v>812</v>
      </c>
      <c r="C2167">
        <v>0</v>
      </c>
      <c r="I2167" t="s">
        <v>792</v>
      </c>
    </row>
    <row r="2168" spans="1:9" hidden="1" x14ac:dyDescent="0.2">
      <c r="A2168" t="s">
        <v>9</v>
      </c>
      <c r="B2168" t="s">
        <v>812</v>
      </c>
      <c r="C2168">
        <v>0</v>
      </c>
      <c r="I2168" t="s">
        <v>792</v>
      </c>
    </row>
    <row r="2169" spans="1:9" hidden="1" x14ac:dyDescent="0.2">
      <c r="A2169" t="s">
        <v>9</v>
      </c>
      <c r="B2169" t="s">
        <v>812</v>
      </c>
      <c r="C2169">
        <v>0</v>
      </c>
      <c r="I2169" t="s">
        <v>792</v>
      </c>
    </row>
    <row r="2170" spans="1:9" hidden="1" x14ac:dyDescent="0.2">
      <c r="A2170" t="s">
        <v>9</v>
      </c>
      <c r="B2170" t="s">
        <v>812</v>
      </c>
      <c r="C2170">
        <v>0</v>
      </c>
      <c r="I2170" t="s">
        <v>792</v>
      </c>
    </row>
    <row r="2171" spans="1:9" hidden="1" x14ac:dyDescent="0.2">
      <c r="A2171" t="s">
        <v>9</v>
      </c>
      <c r="B2171" t="s">
        <v>812</v>
      </c>
      <c r="C2171">
        <v>0</v>
      </c>
      <c r="I2171" t="s">
        <v>792</v>
      </c>
    </row>
    <row r="2172" spans="1:9" hidden="1" x14ac:dyDescent="0.2">
      <c r="A2172" t="s">
        <v>9</v>
      </c>
      <c r="B2172" t="s">
        <v>812</v>
      </c>
      <c r="C2172">
        <v>0</v>
      </c>
      <c r="I2172" t="s">
        <v>792</v>
      </c>
    </row>
    <row r="2173" spans="1:9" hidden="1" x14ac:dyDescent="0.2">
      <c r="A2173" t="s">
        <v>9</v>
      </c>
      <c r="B2173" t="s">
        <v>812</v>
      </c>
      <c r="C2173">
        <v>0</v>
      </c>
      <c r="I2173" t="s">
        <v>792</v>
      </c>
    </row>
    <row r="2174" spans="1:9" hidden="1" x14ac:dyDescent="0.2">
      <c r="A2174" t="s">
        <v>9</v>
      </c>
      <c r="B2174" t="s">
        <v>812</v>
      </c>
      <c r="C2174">
        <v>0</v>
      </c>
      <c r="I2174" t="s">
        <v>792</v>
      </c>
    </row>
    <row r="2175" spans="1:9" hidden="1" x14ac:dyDescent="0.2">
      <c r="A2175" t="s">
        <v>9</v>
      </c>
      <c r="B2175" t="s">
        <v>812</v>
      </c>
      <c r="C2175">
        <v>0</v>
      </c>
      <c r="I2175" t="s">
        <v>792</v>
      </c>
    </row>
    <row r="2176" spans="1:9" hidden="1" x14ac:dyDescent="0.2">
      <c r="A2176" t="s">
        <v>9</v>
      </c>
      <c r="B2176" t="s">
        <v>812</v>
      </c>
      <c r="C2176">
        <v>0</v>
      </c>
      <c r="I2176" t="s">
        <v>792</v>
      </c>
    </row>
    <row r="2177" spans="1:9" hidden="1" x14ac:dyDescent="0.2">
      <c r="A2177" t="s">
        <v>9</v>
      </c>
      <c r="B2177" t="s">
        <v>812</v>
      </c>
      <c r="C2177">
        <v>0</v>
      </c>
      <c r="I2177" t="s">
        <v>792</v>
      </c>
    </row>
    <row r="2178" spans="1:9" hidden="1" x14ac:dyDescent="0.2">
      <c r="A2178" t="s">
        <v>9</v>
      </c>
      <c r="B2178" t="s">
        <v>812</v>
      </c>
      <c r="C2178">
        <v>0</v>
      </c>
      <c r="I2178" t="s">
        <v>792</v>
      </c>
    </row>
    <row r="2179" spans="1:9" hidden="1" x14ac:dyDescent="0.2">
      <c r="A2179" t="s">
        <v>9</v>
      </c>
      <c r="B2179" t="s">
        <v>812</v>
      </c>
      <c r="C2179">
        <v>0</v>
      </c>
      <c r="I2179" t="s">
        <v>792</v>
      </c>
    </row>
    <row r="2180" spans="1:9" hidden="1" x14ac:dyDescent="0.2">
      <c r="A2180" t="s">
        <v>9</v>
      </c>
      <c r="B2180" t="s">
        <v>812</v>
      </c>
      <c r="C2180">
        <v>0</v>
      </c>
      <c r="I2180" t="s">
        <v>792</v>
      </c>
    </row>
    <row r="2181" spans="1:9" hidden="1" x14ac:dyDescent="0.2">
      <c r="A2181" t="s">
        <v>9</v>
      </c>
      <c r="B2181" t="s">
        <v>812</v>
      </c>
      <c r="C2181">
        <v>0</v>
      </c>
      <c r="I2181" t="s">
        <v>792</v>
      </c>
    </row>
    <row r="2182" spans="1:9" hidden="1" x14ac:dyDescent="0.2">
      <c r="A2182" t="s">
        <v>9</v>
      </c>
      <c r="B2182" t="s">
        <v>812</v>
      </c>
      <c r="C2182">
        <v>0</v>
      </c>
      <c r="I2182" t="s">
        <v>792</v>
      </c>
    </row>
    <row r="2183" spans="1:9" hidden="1" x14ac:dyDescent="0.2">
      <c r="A2183" t="s">
        <v>9</v>
      </c>
      <c r="B2183" t="s">
        <v>812</v>
      </c>
      <c r="C2183">
        <v>0</v>
      </c>
      <c r="I2183" t="s">
        <v>792</v>
      </c>
    </row>
    <row r="2184" spans="1:9" hidden="1" x14ac:dyDescent="0.2">
      <c r="A2184" t="s">
        <v>9</v>
      </c>
      <c r="B2184" t="s">
        <v>812</v>
      </c>
      <c r="C2184">
        <v>0</v>
      </c>
      <c r="I2184" t="s">
        <v>792</v>
      </c>
    </row>
    <row r="2185" spans="1:9" hidden="1" x14ac:dyDescent="0.2">
      <c r="A2185" t="s">
        <v>9</v>
      </c>
      <c r="B2185" t="s">
        <v>812</v>
      </c>
      <c r="C2185">
        <v>0</v>
      </c>
      <c r="I2185" t="s">
        <v>792</v>
      </c>
    </row>
    <row r="2186" spans="1:9" hidden="1" x14ac:dyDescent="0.2">
      <c r="A2186" t="s">
        <v>9</v>
      </c>
      <c r="B2186" t="s">
        <v>812</v>
      </c>
      <c r="C2186">
        <v>0</v>
      </c>
      <c r="I2186" t="s">
        <v>792</v>
      </c>
    </row>
    <row r="2187" spans="1:9" hidden="1" x14ac:dyDescent="0.2">
      <c r="A2187" t="s">
        <v>9</v>
      </c>
      <c r="B2187" t="s">
        <v>812</v>
      </c>
      <c r="C2187">
        <v>0</v>
      </c>
      <c r="I2187" t="s">
        <v>792</v>
      </c>
    </row>
    <row r="2188" spans="1:9" hidden="1" x14ac:dyDescent="0.2">
      <c r="A2188" t="s">
        <v>9</v>
      </c>
      <c r="B2188" t="s">
        <v>812</v>
      </c>
      <c r="C2188">
        <v>0</v>
      </c>
      <c r="I2188" t="s">
        <v>792</v>
      </c>
    </row>
    <row r="2189" spans="1:9" hidden="1" x14ac:dyDescent="0.2">
      <c r="A2189" t="s">
        <v>9</v>
      </c>
      <c r="B2189" t="s">
        <v>812</v>
      </c>
      <c r="C2189">
        <v>0</v>
      </c>
      <c r="I2189" t="s">
        <v>792</v>
      </c>
    </row>
    <row r="2190" spans="1:9" hidden="1" x14ac:dyDescent="0.2">
      <c r="A2190" t="s">
        <v>9</v>
      </c>
      <c r="B2190" t="s">
        <v>812</v>
      </c>
      <c r="C2190">
        <v>0</v>
      </c>
      <c r="I2190" t="s">
        <v>792</v>
      </c>
    </row>
    <row r="2191" spans="1:9" hidden="1" x14ac:dyDescent="0.2">
      <c r="A2191" t="s">
        <v>9</v>
      </c>
      <c r="B2191" t="s">
        <v>812</v>
      </c>
      <c r="C2191">
        <v>0</v>
      </c>
      <c r="I2191" t="s">
        <v>792</v>
      </c>
    </row>
    <row r="2192" spans="1:9" hidden="1" x14ac:dyDescent="0.2">
      <c r="A2192" t="s">
        <v>9</v>
      </c>
      <c r="B2192" t="s">
        <v>812</v>
      </c>
      <c r="C2192">
        <v>0</v>
      </c>
      <c r="I2192" t="s">
        <v>792</v>
      </c>
    </row>
    <row r="2193" spans="1:9" hidden="1" x14ac:dyDescent="0.2">
      <c r="A2193" t="s">
        <v>9</v>
      </c>
      <c r="B2193" t="s">
        <v>812</v>
      </c>
      <c r="C2193">
        <v>0</v>
      </c>
      <c r="I2193" t="s">
        <v>792</v>
      </c>
    </row>
    <row r="2194" spans="1:9" hidden="1" x14ac:dyDescent="0.2">
      <c r="A2194" t="s">
        <v>9</v>
      </c>
      <c r="B2194" t="s">
        <v>812</v>
      </c>
      <c r="C2194">
        <v>0</v>
      </c>
      <c r="I2194" t="s">
        <v>792</v>
      </c>
    </row>
    <row r="2195" spans="1:9" hidden="1" x14ac:dyDescent="0.2">
      <c r="A2195" t="s">
        <v>9</v>
      </c>
      <c r="B2195" t="s">
        <v>812</v>
      </c>
      <c r="C2195">
        <v>0</v>
      </c>
      <c r="I2195" t="s">
        <v>792</v>
      </c>
    </row>
    <row r="2196" spans="1:9" hidden="1" x14ac:dyDescent="0.2">
      <c r="A2196" t="s">
        <v>9</v>
      </c>
      <c r="B2196" t="s">
        <v>812</v>
      </c>
      <c r="C2196">
        <v>0</v>
      </c>
      <c r="I2196" t="s">
        <v>792</v>
      </c>
    </row>
    <row r="2197" spans="1:9" hidden="1" x14ac:dyDescent="0.2">
      <c r="A2197" t="s">
        <v>9</v>
      </c>
      <c r="B2197" t="s">
        <v>812</v>
      </c>
      <c r="C2197">
        <v>0</v>
      </c>
      <c r="I2197" t="s">
        <v>792</v>
      </c>
    </row>
    <row r="2198" spans="1:9" hidden="1" x14ac:dyDescent="0.2">
      <c r="A2198" t="s">
        <v>9</v>
      </c>
      <c r="B2198" t="s">
        <v>812</v>
      </c>
      <c r="C2198">
        <v>0</v>
      </c>
      <c r="I2198" t="s">
        <v>792</v>
      </c>
    </row>
    <row r="2199" spans="1:9" hidden="1" x14ac:dyDescent="0.2">
      <c r="A2199" t="s">
        <v>9</v>
      </c>
      <c r="B2199" t="s">
        <v>812</v>
      </c>
      <c r="C2199">
        <v>0</v>
      </c>
      <c r="I2199" t="s">
        <v>792</v>
      </c>
    </row>
    <row r="2200" spans="1:9" hidden="1" x14ac:dyDescent="0.2">
      <c r="A2200" t="s">
        <v>9</v>
      </c>
      <c r="B2200" t="s">
        <v>812</v>
      </c>
      <c r="C2200">
        <v>0</v>
      </c>
      <c r="I2200" t="s">
        <v>792</v>
      </c>
    </row>
    <row r="2201" spans="1:9" hidden="1" x14ac:dyDescent="0.2">
      <c r="A2201" t="s">
        <v>9</v>
      </c>
      <c r="B2201" t="s">
        <v>812</v>
      </c>
      <c r="C2201">
        <v>0</v>
      </c>
      <c r="I2201" t="s">
        <v>792</v>
      </c>
    </row>
    <row r="2202" spans="1:9" hidden="1" x14ac:dyDescent="0.2">
      <c r="A2202" t="s">
        <v>9</v>
      </c>
      <c r="B2202" t="s">
        <v>812</v>
      </c>
      <c r="C2202">
        <v>0</v>
      </c>
      <c r="I2202" t="s">
        <v>792</v>
      </c>
    </row>
    <row r="2203" spans="1:9" hidden="1" x14ac:dyDescent="0.2">
      <c r="A2203" t="s">
        <v>9</v>
      </c>
      <c r="B2203" t="s">
        <v>812</v>
      </c>
      <c r="C2203">
        <v>0</v>
      </c>
      <c r="I2203" t="s">
        <v>792</v>
      </c>
    </row>
    <row r="2204" spans="1:9" hidden="1" x14ac:dyDescent="0.2">
      <c r="A2204" t="s">
        <v>9</v>
      </c>
      <c r="B2204" t="s">
        <v>812</v>
      </c>
      <c r="C2204">
        <v>0</v>
      </c>
      <c r="I2204" t="s">
        <v>792</v>
      </c>
    </row>
    <row r="2205" spans="1:9" hidden="1" x14ac:dyDescent="0.2">
      <c r="A2205" t="s">
        <v>9</v>
      </c>
      <c r="B2205" t="s">
        <v>812</v>
      </c>
      <c r="C2205">
        <v>0</v>
      </c>
      <c r="I2205" t="s">
        <v>792</v>
      </c>
    </row>
    <row r="2206" spans="1:9" hidden="1" x14ac:dyDescent="0.2">
      <c r="A2206" t="s">
        <v>9</v>
      </c>
      <c r="B2206" t="s">
        <v>812</v>
      </c>
      <c r="C2206">
        <v>0</v>
      </c>
      <c r="I2206" t="s">
        <v>792</v>
      </c>
    </row>
    <row r="2207" spans="1:9" hidden="1" x14ac:dyDescent="0.2">
      <c r="A2207" t="s">
        <v>9</v>
      </c>
      <c r="B2207" t="s">
        <v>812</v>
      </c>
      <c r="C2207">
        <v>0</v>
      </c>
      <c r="I2207" t="s">
        <v>792</v>
      </c>
    </row>
    <row r="2208" spans="1:9" hidden="1" x14ac:dyDescent="0.2">
      <c r="A2208" t="s">
        <v>9</v>
      </c>
      <c r="B2208" t="s">
        <v>812</v>
      </c>
      <c r="C2208">
        <v>0</v>
      </c>
      <c r="I2208" t="s">
        <v>792</v>
      </c>
    </row>
    <row r="2209" spans="1:9" hidden="1" x14ac:dyDescent="0.2">
      <c r="A2209" t="s">
        <v>9</v>
      </c>
      <c r="B2209" t="s">
        <v>812</v>
      </c>
      <c r="C2209">
        <v>0</v>
      </c>
      <c r="I2209" t="s">
        <v>792</v>
      </c>
    </row>
    <row r="2210" spans="1:9" hidden="1" x14ac:dyDescent="0.2">
      <c r="A2210" t="s">
        <v>9</v>
      </c>
      <c r="B2210" t="s">
        <v>812</v>
      </c>
      <c r="C2210">
        <v>0</v>
      </c>
      <c r="I2210" t="s">
        <v>792</v>
      </c>
    </row>
    <row r="2211" spans="1:9" hidden="1" x14ac:dyDescent="0.2">
      <c r="A2211" t="s">
        <v>9</v>
      </c>
      <c r="B2211" t="s">
        <v>812</v>
      </c>
      <c r="C2211">
        <v>0</v>
      </c>
      <c r="I2211" t="s">
        <v>792</v>
      </c>
    </row>
    <row r="2212" spans="1:9" hidden="1" x14ac:dyDescent="0.2">
      <c r="A2212" t="s">
        <v>9</v>
      </c>
      <c r="B2212" t="s">
        <v>812</v>
      </c>
      <c r="C2212">
        <v>0</v>
      </c>
      <c r="I2212" t="s">
        <v>792</v>
      </c>
    </row>
    <row r="2213" spans="1:9" hidden="1" x14ac:dyDescent="0.2">
      <c r="A2213" t="s">
        <v>9</v>
      </c>
      <c r="B2213" t="s">
        <v>812</v>
      </c>
      <c r="C2213">
        <v>0</v>
      </c>
      <c r="I2213" t="s">
        <v>792</v>
      </c>
    </row>
    <row r="2214" spans="1:9" hidden="1" x14ac:dyDescent="0.2">
      <c r="A2214" t="s">
        <v>9</v>
      </c>
      <c r="B2214" t="s">
        <v>812</v>
      </c>
      <c r="C2214">
        <v>0</v>
      </c>
      <c r="I2214" t="s">
        <v>792</v>
      </c>
    </row>
    <row r="2215" spans="1:9" hidden="1" x14ac:dyDescent="0.2">
      <c r="A2215" t="s">
        <v>9</v>
      </c>
      <c r="B2215" t="s">
        <v>812</v>
      </c>
      <c r="C2215">
        <v>0</v>
      </c>
      <c r="I2215" t="s">
        <v>792</v>
      </c>
    </row>
    <row r="2216" spans="1:9" hidden="1" x14ac:dyDescent="0.2">
      <c r="A2216" t="s">
        <v>9</v>
      </c>
      <c r="B2216" t="s">
        <v>812</v>
      </c>
      <c r="C2216">
        <v>0</v>
      </c>
      <c r="I2216" t="s">
        <v>792</v>
      </c>
    </row>
    <row r="2217" spans="1:9" hidden="1" x14ac:dyDescent="0.2">
      <c r="A2217" t="s">
        <v>9</v>
      </c>
      <c r="B2217" t="s">
        <v>812</v>
      </c>
      <c r="C2217">
        <v>0</v>
      </c>
      <c r="I2217" t="s">
        <v>792</v>
      </c>
    </row>
    <row r="2218" spans="1:9" hidden="1" x14ac:dyDescent="0.2">
      <c r="A2218" t="s">
        <v>9</v>
      </c>
      <c r="B2218" t="s">
        <v>812</v>
      </c>
      <c r="C2218">
        <v>0</v>
      </c>
      <c r="I2218" t="s">
        <v>792</v>
      </c>
    </row>
    <row r="2219" spans="1:9" hidden="1" x14ac:dyDescent="0.2">
      <c r="A2219" t="s">
        <v>9</v>
      </c>
      <c r="B2219" t="s">
        <v>812</v>
      </c>
      <c r="C2219">
        <v>0</v>
      </c>
      <c r="I2219" t="s">
        <v>792</v>
      </c>
    </row>
    <row r="2220" spans="1:9" hidden="1" x14ac:dyDescent="0.2">
      <c r="A2220" t="s">
        <v>9</v>
      </c>
      <c r="B2220" t="s">
        <v>812</v>
      </c>
      <c r="C2220">
        <v>0</v>
      </c>
      <c r="I2220" t="s">
        <v>792</v>
      </c>
    </row>
    <row r="2221" spans="1:9" hidden="1" x14ac:dyDescent="0.2">
      <c r="A2221" t="s">
        <v>9</v>
      </c>
      <c r="B2221" t="s">
        <v>812</v>
      </c>
      <c r="C2221">
        <v>0</v>
      </c>
      <c r="I2221" t="s">
        <v>792</v>
      </c>
    </row>
    <row r="2222" spans="1:9" hidden="1" x14ac:dyDescent="0.2">
      <c r="A2222" t="s">
        <v>9</v>
      </c>
      <c r="B2222" t="s">
        <v>812</v>
      </c>
      <c r="C2222">
        <v>0</v>
      </c>
      <c r="I2222" t="s">
        <v>792</v>
      </c>
    </row>
    <row r="2223" spans="1:9" hidden="1" x14ac:dyDescent="0.2">
      <c r="A2223" t="s">
        <v>9</v>
      </c>
      <c r="B2223" t="s">
        <v>812</v>
      </c>
      <c r="C2223">
        <v>0</v>
      </c>
      <c r="I2223" t="s">
        <v>792</v>
      </c>
    </row>
    <row r="2224" spans="1:9" hidden="1" x14ac:dyDescent="0.2">
      <c r="A2224" t="s">
        <v>9</v>
      </c>
      <c r="B2224" t="s">
        <v>812</v>
      </c>
      <c r="C2224">
        <v>0</v>
      </c>
      <c r="I2224" t="s">
        <v>792</v>
      </c>
    </row>
    <row r="2225" spans="1:9" hidden="1" x14ac:dyDescent="0.2">
      <c r="A2225" t="s">
        <v>9</v>
      </c>
      <c r="B2225" t="s">
        <v>812</v>
      </c>
      <c r="C2225">
        <v>0</v>
      </c>
      <c r="I2225" t="s">
        <v>792</v>
      </c>
    </row>
    <row r="2226" spans="1:9" hidden="1" x14ac:dyDescent="0.2">
      <c r="A2226" t="s">
        <v>9</v>
      </c>
      <c r="B2226" t="s">
        <v>812</v>
      </c>
      <c r="C2226">
        <v>0</v>
      </c>
      <c r="I2226" t="s">
        <v>792</v>
      </c>
    </row>
    <row r="2227" spans="1:9" hidden="1" x14ac:dyDescent="0.2">
      <c r="A2227" t="s">
        <v>9</v>
      </c>
      <c r="B2227" t="s">
        <v>812</v>
      </c>
      <c r="C2227">
        <v>0</v>
      </c>
      <c r="I2227" t="s">
        <v>792</v>
      </c>
    </row>
    <row r="2228" spans="1:9" hidden="1" x14ac:dyDescent="0.2">
      <c r="A2228" t="s">
        <v>9</v>
      </c>
      <c r="B2228" t="s">
        <v>812</v>
      </c>
      <c r="C2228">
        <v>0</v>
      </c>
      <c r="I2228" t="s">
        <v>792</v>
      </c>
    </row>
    <row r="2229" spans="1:9" hidden="1" x14ac:dyDescent="0.2">
      <c r="A2229" t="s">
        <v>9</v>
      </c>
      <c r="B2229" t="s">
        <v>812</v>
      </c>
      <c r="C2229">
        <v>0</v>
      </c>
      <c r="I2229" t="s">
        <v>792</v>
      </c>
    </row>
    <row r="2230" spans="1:9" hidden="1" x14ac:dyDescent="0.2">
      <c r="A2230" t="s">
        <v>9</v>
      </c>
      <c r="B2230" t="s">
        <v>812</v>
      </c>
      <c r="C2230">
        <v>0</v>
      </c>
      <c r="I2230" t="s">
        <v>792</v>
      </c>
    </row>
  </sheetData>
  <autoFilter ref="A1:I2230" xr:uid="{00000000-0001-0000-0900-000000000000}">
    <filterColumn colId="8">
      <filters>
        <filter val="Elektriciteitsopwekking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81"/>
  <sheetViews>
    <sheetView topLeftCell="A208" zoomScale="83" workbookViewId="0">
      <selection activeCell="B215" sqref="B215:B224"/>
    </sheetView>
  </sheetViews>
  <sheetFormatPr baseColWidth="10" defaultColWidth="8.83203125" defaultRowHeight="16" x14ac:dyDescent="0.2"/>
  <cols>
    <col min="1" max="1" width="26" customWidth="1"/>
    <col min="2" max="2" width="29.5" customWidth="1"/>
    <col min="3" max="3" width="26.6640625" customWidth="1"/>
    <col min="4" max="6" width="9" bestFit="1" customWidth="1"/>
    <col min="7" max="7" width="12.33203125" bestFit="1" customWidth="1"/>
    <col min="8" max="8" width="14.83203125" customWidth="1"/>
  </cols>
  <sheetData>
    <row r="1" spans="1:8" x14ac:dyDescent="0.2">
      <c r="A1" s="1" t="s">
        <v>787</v>
      </c>
      <c r="B1" s="1" t="s">
        <v>809</v>
      </c>
      <c r="C1" s="1" t="s">
        <v>906</v>
      </c>
      <c r="D1" s="1" t="s">
        <v>907</v>
      </c>
      <c r="E1" s="1" t="s">
        <v>908</v>
      </c>
      <c r="F1" s="1" t="s">
        <v>909</v>
      </c>
      <c r="G1" s="1" t="s">
        <v>910</v>
      </c>
      <c r="H1" s="1" t="s">
        <v>911</v>
      </c>
    </row>
    <row r="2" spans="1:8" x14ac:dyDescent="0.2">
      <c r="A2" t="s">
        <v>808</v>
      </c>
      <c r="B2" t="s">
        <v>816</v>
      </c>
      <c r="C2">
        <v>0</v>
      </c>
      <c r="D2">
        <v>1.065675364541388E-2</v>
      </c>
      <c r="E2">
        <v>0</v>
      </c>
      <c r="F2">
        <v>0</v>
      </c>
      <c r="G2">
        <v>0</v>
      </c>
      <c r="H2">
        <v>0</v>
      </c>
    </row>
    <row r="3" spans="1:8" x14ac:dyDescent="0.2">
      <c r="A3" t="s">
        <v>808</v>
      </c>
      <c r="B3" t="s">
        <v>815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">
      <c r="A4" t="s">
        <v>808</v>
      </c>
      <c r="B4" t="s">
        <v>810</v>
      </c>
      <c r="C4">
        <v>4.9952825581882054</v>
      </c>
      <c r="D4">
        <v>6.6844831899689648E-3</v>
      </c>
      <c r="E4">
        <v>3.11110928140548E-3</v>
      </c>
      <c r="F4">
        <v>0</v>
      </c>
      <c r="G4">
        <v>0</v>
      </c>
      <c r="H4">
        <v>0</v>
      </c>
    </row>
    <row r="5" spans="1:8" x14ac:dyDescent="0.2">
      <c r="A5" t="s">
        <v>808</v>
      </c>
      <c r="B5" t="s">
        <v>824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">
      <c r="A6" t="s">
        <v>808</v>
      </c>
      <c r="B6" t="s">
        <v>822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">
      <c r="A7" t="s">
        <v>808</v>
      </c>
      <c r="B7" t="s">
        <v>825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">
      <c r="A8" t="s">
        <v>808</v>
      </c>
      <c r="B8" t="s">
        <v>821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">
      <c r="A9" t="s">
        <v>808</v>
      </c>
      <c r="B9" t="s">
        <v>858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">
      <c r="A10" t="s">
        <v>808</v>
      </c>
      <c r="B10" t="s">
        <v>819</v>
      </c>
      <c r="C10">
        <v>12.488206379197241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">
      <c r="A11" t="s">
        <v>808</v>
      </c>
      <c r="B11" t="s">
        <v>811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">
      <c r="A12" t="s">
        <v>808</v>
      </c>
      <c r="B12" t="s">
        <v>812</v>
      </c>
      <c r="C12">
        <v>0</v>
      </c>
      <c r="D12">
        <v>5.1652163747457252E-4</v>
      </c>
      <c r="E12">
        <v>0</v>
      </c>
      <c r="F12">
        <v>0</v>
      </c>
      <c r="G12">
        <v>0</v>
      </c>
      <c r="H12">
        <v>2.1069439212024282E-5</v>
      </c>
    </row>
    <row r="13" spans="1:8" x14ac:dyDescent="0.2">
      <c r="A13" t="s">
        <v>801</v>
      </c>
      <c r="B13" t="s">
        <v>816</v>
      </c>
      <c r="C13">
        <v>4.4493386826968321E-4</v>
      </c>
      <c r="D13">
        <v>48.400049995851973</v>
      </c>
      <c r="E13">
        <v>2.536655693289213E-2</v>
      </c>
      <c r="F13">
        <v>0</v>
      </c>
      <c r="G13">
        <v>1.605722712836689E-2</v>
      </c>
      <c r="H13">
        <v>2.4268989088031739E-2</v>
      </c>
    </row>
    <row r="14" spans="1:8" x14ac:dyDescent="0.2">
      <c r="A14" t="s">
        <v>801</v>
      </c>
      <c r="B14" t="s">
        <v>855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">
      <c r="A15" t="s">
        <v>801</v>
      </c>
      <c r="B15" t="s">
        <v>836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">
      <c r="A16" t="s">
        <v>801</v>
      </c>
      <c r="B16" t="s">
        <v>814</v>
      </c>
      <c r="C16">
        <v>0</v>
      </c>
      <c r="D16">
        <v>0.61285105978128673</v>
      </c>
      <c r="E16">
        <v>4.3349830119518689E-3</v>
      </c>
      <c r="F16">
        <v>0.37147097867557383</v>
      </c>
      <c r="G16">
        <v>0</v>
      </c>
      <c r="H16">
        <v>0</v>
      </c>
    </row>
    <row r="17" spans="1:8" x14ac:dyDescent="0.2">
      <c r="A17" t="s">
        <v>801</v>
      </c>
      <c r="B17" t="s">
        <v>815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">
      <c r="A18" t="s">
        <v>801</v>
      </c>
      <c r="B18" t="s">
        <v>837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">
      <c r="A19" t="s">
        <v>801</v>
      </c>
      <c r="B19" t="s">
        <v>850</v>
      </c>
      <c r="C19">
        <v>5.1915735520596833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">
      <c r="A20" t="s">
        <v>801</v>
      </c>
      <c r="B20" t="s">
        <v>838</v>
      </c>
      <c r="C20">
        <v>6.8501626625922336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">
      <c r="A21" t="s">
        <v>801</v>
      </c>
      <c r="B21" t="s">
        <v>810</v>
      </c>
      <c r="C21">
        <v>8.410436797622552E-5</v>
      </c>
      <c r="D21">
        <v>7.2836594192336968</v>
      </c>
      <c r="E21">
        <v>1.0475848006711039E-3</v>
      </c>
      <c r="F21">
        <v>0</v>
      </c>
      <c r="G21">
        <v>8.6491864316428566E-3</v>
      </c>
      <c r="H21">
        <v>0</v>
      </c>
    </row>
    <row r="22" spans="1:8" x14ac:dyDescent="0.2">
      <c r="A22" t="s">
        <v>801</v>
      </c>
      <c r="B22" t="s">
        <v>824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">
      <c r="A23" t="s">
        <v>801</v>
      </c>
      <c r="B23" t="s">
        <v>822</v>
      </c>
      <c r="C23">
        <v>2.817861359738753E-4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">
      <c r="A24" t="s">
        <v>801</v>
      </c>
      <c r="B24" t="s">
        <v>825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">
      <c r="A25" t="s">
        <v>801</v>
      </c>
      <c r="B25" t="s">
        <v>821</v>
      </c>
      <c r="C25">
        <v>107.3192071432328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">
      <c r="A26" t="s">
        <v>801</v>
      </c>
      <c r="B26" t="s">
        <v>851</v>
      </c>
      <c r="C26">
        <v>7.3361342660188598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">
      <c r="A27" t="s">
        <v>801</v>
      </c>
      <c r="B27" t="s">
        <v>817</v>
      </c>
      <c r="C27">
        <v>4047.7935294842282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">
      <c r="A28" t="s">
        <v>801</v>
      </c>
      <c r="B28" t="s">
        <v>819</v>
      </c>
      <c r="C28">
        <v>0</v>
      </c>
      <c r="D28">
        <v>8.8253089659658004E-5</v>
      </c>
      <c r="E28">
        <v>0</v>
      </c>
      <c r="F28">
        <v>0</v>
      </c>
      <c r="G28">
        <v>0</v>
      </c>
      <c r="H28">
        <v>0</v>
      </c>
    </row>
    <row r="29" spans="1:8" x14ac:dyDescent="0.2">
      <c r="A29" t="s">
        <v>801</v>
      </c>
      <c r="B29" t="s">
        <v>849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">
      <c r="A30" t="s">
        <v>801</v>
      </c>
      <c r="B30" t="s">
        <v>856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">
      <c r="A31" t="s">
        <v>801</v>
      </c>
      <c r="B31" t="s">
        <v>811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">
      <c r="A32" t="s">
        <v>801</v>
      </c>
      <c r="B32" t="s">
        <v>812</v>
      </c>
      <c r="C32">
        <v>0</v>
      </c>
      <c r="D32">
        <v>4.7959102670710248E-4</v>
      </c>
      <c r="E32">
        <v>0</v>
      </c>
      <c r="F32">
        <v>0</v>
      </c>
      <c r="G32">
        <v>0</v>
      </c>
      <c r="H32">
        <v>2.6089189815603801E-5</v>
      </c>
    </row>
    <row r="33" spans="1:8" x14ac:dyDescent="0.2">
      <c r="A33" t="s">
        <v>791</v>
      </c>
      <c r="B33" t="s">
        <v>816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">
      <c r="A34" t="s">
        <v>791</v>
      </c>
      <c r="B34" t="s">
        <v>843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">
      <c r="A35" t="s">
        <v>791</v>
      </c>
      <c r="B35" t="s">
        <v>874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">
      <c r="A36" t="s">
        <v>791</v>
      </c>
      <c r="B36" t="s">
        <v>853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">
      <c r="A37" t="s">
        <v>791</v>
      </c>
      <c r="B37" t="s">
        <v>884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">
      <c r="A38" t="s">
        <v>791</v>
      </c>
      <c r="B38" t="s">
        <v>844</v>
      </c>
      <c r="C38">
        <v>0</v>
      </c>
      <c r="D38">
        <v>1.209287150465046E-4</v>
      </c>
      <c r="E38">
        <v>2.138590688000395E-5</v>
      </c>
      <c r="F38">
        <v>0</v>
      </c>
      <c r="G38">
        <v>0</v>
      </c>
      <c r="H38">
        <v>4.751197142592001E-5</v>
      </c>
    </row>
    <row r="39" spans="1:8" x14ac:dyDescent="0.2">
      <c r="A39" t="s">
        <v>791</v>
      </c>
      <c r="B39" t="s">
        <v>855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">
      <c r="A40" t="s">
        <v>791</v>
      </c>
      <c r="B40" t="s">
        <v>845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">
      <c r="A41" t="s">
        <v>791</v>
      </c>
      <c r="B41" t="s">
        <v>841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">
      <c r="A42" t="s">
        <v>791</v>
      </c>
      <c r="B42" t="s">
        <v>836</v>
      </c>
      <c r="C42">
        <v>2.900886898099227E-4</v>
      </c>
      <c r="D42">
        <v>0</v>
      </c>
      <c r="E42">
        <v>0</v>
      </c>
      <c r="F42">
        <v>0</v>
      </c>
      <c r="G42">
        <v>0</v>
      </c>
      <c r="H42">
        <v>7.1593986795541367E-4</v>
      </c>
    </row>
    <row r="43" spans="1:8" x14ac:dyDescent="0.2">
      <c r="A43" t="s">
        <v>791</v>
      </c>
      <c r="B43" t="s">
        <v>875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">
      <c r="A44" t="s">
        <v>791</v>
      </c>
      <c r="B44" t="s">
        <v>880</v>
      </c>
      <c r="C44">
        <v>37.37422896711545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">
      <c r="A45" t="s">
        <v>791</v>
      </c>
      <c r="B45" t="s">
        <v>879</v>
      </c>
      <c r="C45">
        <v>471.63285426209723</v>
      </c>
      <c r="D45">
        <v>15.865222057587051</v>
      </c>
      <c r="E45">
        <v>0</v>
      </c>
      <c r="F45">
        <v>47.530292636334757</v>
      </c>
      <c r="G45">
        <v>12.20726859893445</v>
      </c>
      <c r="H45">
        <v>24.04872640395768</v>
      </c>
    </row>
    <row r="46" spans="1:8" x14ac:dyDescent="0.2">
      <c r="A46" t="s">
        <v>791</v>
      </c>
      <c r="B46" t="s">
        <v>814</v>
      </c>
      <c r="C46">
        <v>612.7921996234121</v>
      </c>
      <c r="D46">
        <v>1.0994021389345869</v>
      </c>
      <c r="E46">
        <v>1.623570754876915E-4</v>
      </c>
      <c r="F46">
        <v>30.355063962384449</v>
      </c>
      <c r="G46">
        <v>67.868353044748716</v>
      </c>
      <c r="H46">
        <v>124.2194016763259</v>
      </c>
    </row>
    <row r="47" spans="1:8" x14ac:dyDescent="0.2">
      <c r="A47" t="s">
        <v>791</v>
      </c>
      <c r="B47" t="s">
        <v>905</v>
      </c>
      <c r="C47">
        <v>122.5631331059826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">
      <c r="A48" t="s">
        <v>791</v>
      </c>
      <c r="B48" t="s">
        <v>904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">
      <c r="A49" t="s">
        <v>791</v>
      </c>
      <c r="B49" t="s">
        <v>885</v>
      </c>
      <c r="C49">
        <v>4.9243279280313586E-4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">
      <c r="A50" t="s">
        <v>791</v>
      </c>
      <c r="B50" t="s">
        <v>828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">
      <c r="A51" t="s">
        <v>791</v>
      </c>
      <c r="B51" t="s">
        <v>893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">
      <c r="A52" t="s">
        <v>791</v>
      </c>
      <c r="B52" t="s">
        <v>815</v>
      </c>
      <c r="C52">
        <v>0</v>
      </c>
      <c r="D52">
        <v>0</v>
      </c>
      <c r="E52">
        <v>0</v>
      </c>
      <c r="F52">
        <v>0</v>
      </c>
      <c r="G52">
        <v>0</v>
      </c>
      <c r="H52">
        <v>8.3937971478096592E-6</v>
      </c>
    </row>
    <row r="53" spans="1:8" x14ac:dyDescent="0.2">
      <c r="A53" t="s">
        <v>791</v>
      </c>
      <c r="B53" t="s">
        <v>810</v>
      </c>
      <c r="C53">
        <v>3.9869001741472672</v>
      </c>
      <c r="D53">
        <v>7.259800375193666E-2</v>
      </c>
      <c r="E53">
        <v>1.877842327464771E-6</v>
      </c>
      <c r="F53">
        <v>0.2174520701070248</v>
      </c>
      <c r="G53">
        <v>0.48133634701566219</v>
      </c>
      <c r="H53">
        <v>0</v>
      </c>
    </row>
    <row r="54" spans="1:8" x14ac:dyDescent="0.2">
      <c r="A54" t="s">
        <v>791</v>
      </c>
      <c r="B54" t="s">
        <v>824</v>
      </c>
      <c r="C54">
        <v>10.4753565806705</v>
      </c>
      <c r="D54">
        <v>1.92732746846965</v>
      </c>
      <c r="E54">
        <v>0</v>
      </c>
      <c r="F54">
        <v>5.7740407460845944</v>
      </c>
      <c r="G54">
        <v>1.482954604070809</v>
      </c>
      <c r="H54">
        <v>2.921470044904785</v>
      </c>
    </row>
    <row r="55" spans="1:8" x14ac:dyDescent="0.2">
      <c r="A55" t="s">
        <v>791</v>
      </c>
      <c r="B55" t="s">
        <v>822</v>
      </c>
      <c r="C55">
        <v>9.7679620112620729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">
      <c r="A56" t="s">
        <v>791</v>
      </c>
      <c r="B56" t="s">
        <v>858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">
      <c r="A57" t="s">
        <v>791</v>
      </c>
      <c r="B57" t="s">
        <v>883</v>
      </c>
      <c r="C57">
        <v>2.1391530022002409E-4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">
      <c r="A58" t="s">
        <v>791</v>
      </c>
      <c r="B58" t="s">
        <v>846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">
      <c r="A59" t="s">
        <v>791</v>
      </c>
      <c r="B59" t="s">
        <v>886</v>
      </c>
      <c r="C59">
        <v>3.806998440235247E-4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">
      <c r="A60" t="s">
        <v>791</v>
      </c>
      <c r="B60" t="s">
        <v>811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">
      <c r="A61" t="s">
        <v>791</v>
      </c>
      <c r="B61" t="s">
        <v>812</v>
      </c>
      <c r="C61">
        <v>82.450537743380565</v>
      </c>
      <c r="D61">
        <v>2.2893935007378721</v>
      </c>
      <c r="E61">
        <v>1.1609820735901599E-6</v>
      </c>
      <c r="F61">
        <v>6.8587030875506736</v>
      </c>
      <c r="G61">
        <v>1.76152988304848</v>
      </c>
      <c r="H61">
        <v>3.4703010002499339</v>
      </c>
    </row>
    <row r="62" spans="1:8" x14ac:dyDescent="0.2">
      <c r="A62" t="s">
        <v>807</v>
      </c>
      <c r="B62" t="s">
        <v>899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">
      <c r="A63" t="s">
        <v>807</v>
      </c>
      <c r="B63" t="s">
        <v>892</v>
      </c>
      <c r="C63">
        <v>9.4856546496786195E-2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">
      <c r="A64" t="s">
        <v>807</v>
      </c>
      <c r="B64" t="s">
        <v>884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">
      <c r="A65" t="s">
        <v>807</v>
      </c>
      <c r="B65" t="s">
        <v>878</v>
      </c>
      <c r="C65">
        <v>5.6817509238292523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">
      <c r="A66" t="s">
        <v>807</v>
      </c>
      <c r="B66" t="s">
        <v>841</v>
      </c>
      <c r="C66">
        <v>2211.0564378854742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">
      <c r="A67" t="s">
        <v>807</v>
      </c>
      <c r="B67" t="s">
        <v>875</v>
      </c>
      <c r="C67">
        <v>16.88395902501501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">
      <c r="A68" t="s">
        <v>807</v>
      </c>
      <c r="B68" t="s">
        <v>893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">
      <c r="A69" t="s">
        <v>807</v>
      </c>
      <c r="B69" t="s">
        <v>894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">
      <c r="A70" t="s">
        <v>807</v>
      </c>
      <c r="B70" t="s">
        <v>847</v>
      </c>
      <c r="C70">
        <v>8855.3155379578257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">
      <c r="A71" t="s">
        <v>807</v>
      </c>
      <c r="B71" t="s">
        <v>848</v>
      </c>
      <c r="C71">
        <v>1437.1223910069671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">
      <c r="A72" t="s">
        <v>807</v>
      </c>
      <c r="B72" t="s">
        <v>891</v>
      </c>
      <c r="C72">
        <v>277.30999385135669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">
      <c r="A73" t="s">
        <v>807</v>
      </c>
      <c r="B73" t="s">
        <v>890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">
      <c r="A74" t="s">
        <v>807</v>
      </c>
      <c r="B74" t="s">
        <v>895</v>
      </c>
      <c r="C74">
        <v>9.5079404404539589E-2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">
      <c r="A75" t="s">
        <v>807</v>
      </c>
      <c r="B75" t="s">
        <v>842</v>
      </c>
      <c r="C75">
        <v>5.6656304455304589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">
      <c r="A76" t="s">
        <v>807</v>
      </c>
      <c r="B76" t="s">
        <v>876</v>
      </c>
      <c r="C76">
        <v>0.99324938586667366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">
      <c r="A77" t="s">
        <v>807</v>
      </c>
      <c r="B77" t="s">
        <v>887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">
      <c r="A78" t="s">
        <v>789</v>
      </c>
      <c r="B78" t="s">
        <v>816</v>
      </c>
      <c r="C78">
        <v>5.6362275142573567E-2</v>
      </c>
      <c r="D78">
        <v>9.7238544399342679</v>
      </c>
      <c r="E78">
        <v>2.4066352300930981E-5</v>
      </c>
      <c r="F78">
        <v>0</v>
      </c>
      <c r="G78">
        <v>0</v>
      </c>
      <c r="H78">
        <v>0</v>
      </c>
    </row>
    <row r="79" spans="1:8" x14ac:dyDescent="0.2">
      <c r="A79" t="s">
        <v>789</v>
      </c>
      <c r="B79" t="s">
        <v>835</v>
      </c>
      <c r="C79">
        <v>1.689960242294211E-4</v>
      </c>
      <c r="D79">
        <v>8.5470119293739515E-4</v>
      </c>
      <c r="E79">
        <v>5.9937420183176849E-4</v>
      </c>
      <c r="F79">
        <v>0</v>
      </c>
      <c r="G79">
        <v>0</v>
      </c>
      <c r="H79">
        <v>0</v>
      </c>
    </row>
    <row r="80" spans="1:8" x14ac:dyDescent="0.2">
      <c r="A80" t="s">
        <v>789</v>
      </c>
      <c r="B80" t="s">
        <v>826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">
      <c r="A81" t="s">
        <v>789</v>
      </c>
      <c r="B81" t="s">
        <v>853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">
      <c r="A82" t="s">
        <v>789</v>
      </c>
      <c r="B82" t="s">
        <v>827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2">
      <c r="A83" t="s">
        <v>789</v>
      </c>
      <c r="B83" t="s">
        <v>844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">
      <c r="A84" t="s">
        <v>789</v>
      </c>
      <c r="B84" t="s">
        <v>855</v>
      </c>
      <c r="C84">
        <v>7.7283024598140458E-5</v>
      </c>
      <c r="D84">
        <v>0.46171986723969521</v>
      </c>
      <c r="E84">
        <v>5.2548206027411854E-3</v>
      </c>
      <c r="F84">
        <v>6.1918413527442678E-3</v>
      </c>
      <c r="G84">
        <v>2.523113116085663E-2</v>
      </c>
      <c r="H84">
        <v>2.156718702623488</v>
      </c>
    </row>
    <row r="85" spans="1:8" x14ac:dyDescent="0.2">
      <c r="A85" t="s">
        <v>789</v>
      </c>
      <c r="B85" t="s">
        <v>841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">
      <c r="A86" t="s">
        <v>789</v>
      </c>
      <c r="B86" t="s">
        <v>836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">
      <c r="A87" t="s">
        <v>789</v>
      </c>
      <c r="B87" t="s">
        <v>875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">
      <c r="A88" t="s">
        <v>789</v>
      </c>
      <c r="B88" t="s">
        <v>814</v>
      </c>
      <c r="C88">
        <v>3.2870824450848311E-4</v>
      </c>
      <c r="D88">
        <v>0.18610406206901531</v>
      </c>
      <c r="E88">
        <v>0.84015319416993017</v>
      </c>
      <c r="F88">
        <v>1.277583887482209</v>
      </c>
      <c r="G88">
        <v>0</v>
      </c>
      <c r="H88">
        <v>0</v>
      </c>
    </row>
    <row r="89" spans="1:8" x14ac:dyDescent="0.2">
      <c r="A89" t="s">
        <v>789</v>
      </c>
      <c r="B89" t="s">
        <v>885</v>
      </c>
      <c r="C89">
        <v>0</v>
      </c>
      <c r="D89">
        <v>3.4614625228937019E-6</v>
      </c>
      <c r="E89">
        <v>0</v>
      </c>
      <c r="F89">
        <v>0</v>
      </c>
      <c r="G89">
        <v>0</v>
      </c>
      <c r="H89">
        <v>0</v>
      </c>
    </row>
    <row r="90" spans="1:8" x14ac:dyDescent="0.2">
      <c r="A90" t="s">
        <v>789</v>
      </c>
      <c r="B90" t="s">
        <v>828</v>
      </c>
      <c r="C90">
        <v>17.7323476250879</v>
      </c>
      <c r="D90">
        <v>0</v>
      </c>
      <c r="E90">
        <v>0</v>
      </c>
      <c r="F90">
        <v>0</v>
      </c>
      <c r="G90">
        <v>1.2705623645831529E-4</v>
      </c>
      <c r="H90">
        <v>5.459793603773762</v>
      </c>
    </row>
    <row r="91" spans="1:8" x14ac:dyDescent="0.2">
      <c r="A91" t="s">
        <v>789</v>
      </c>
      <c r="B91" t="s">
        <v>893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">
      <c r="A92" t="s">
        <v>789</v>
      </c>
      <c r="B92" t="s">
        <v>894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2">
      <c r="A93" t="s">
        <v>789</v>
      </c>
      <c r="B93" t="s">
        <v>815</v>
      </c>
      <c r="C93">
        <v>2.069698208097799E-6</v>
      </c>
      <c r="D93">
        <v>8.7801671608033677E-2</v>
      </c>
      <c r="E93">
        <v>0</v>
      </c>
      <c r="F93">
        <v>0</v>
      </c>
      <c r="G93">
        <v>0</v>
      </c>
      <c r="H93">
        <v>0</v>
      </c>
    </row>
    <row r="94" spans="1:8" x14ac:dyDescent="0.2">
      <c r="A94" t="s">
        <v>789</v>
      </c>
      <c r="B94" t="s">
        <v>850</v>
      </c>
      <c r="C94">
        <v>2.3943146523965951E-4</v>
      </c>
      <c r="D94">
        <v>6.3183446821360956E-2</v>
      </c>
      <c r="E94">
        <v>0</v>
      </c>
      <c r="F94">
        <v>0</v>
      </c>
      <c r="G94">
        <v>0</v>
      </c>
      <c r="H94">
        <v>0</v>
      </c>
    </row>
    <row r="95" spans="1:8" x14ac:dyDescent="0.2">
      <c r="A95" t="s">
        <v>789</v>
      </c>
      <c r="B95" t="s">
        <v>838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2">
      <c r="A96" t="s">
        <v>789</v>
      </c>
      <c r="B96" t="s">
        <v>810</v>
      </c>
      <c r="C96">
        <v>25.559711958321959</v>
      </c>
      <c r="D96">
        <v>0.15584061607657099</v>
      </c>
      <c r="E96">
        <v>0.37792803478046672</v>
      </c>
      <c r="F96">
        <v>0</v>
      </c>
      <c r="G96">
        <v>5.5435188192758618E-5</v>
      </c>
      <c r="H96">
        <v>19.587475986452599</v>
      </c>
    </row>
    <row r="97" spans="1:8" x14ac:dyDescent="0.2">
      <c r="A97" t="s">
        <v>789</v>
      </c>
      <c r="B97" t="s">
        <v>902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2">
      <c r="A98" t="s">
        <v>789</v>
      </c>
      <c r="B98" t="s">
        <v>824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2">
      <c r="A99" t="s">
        <v>789</v>
      </c>
      <c r="B99" t="s">
        <v>822</v>
      </c>
      <c r="C99">
        <v>4.1221595343645988E-5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2">
      <c r="A100" t="s">
        <v>789</v>
      </c>
      <c r="B100" t="s">
        <v>825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2">
      <c r="A101" t="s">
        <v>789</v>
      </c>
      <c r="B101" t="s">
        <v>821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2">
      <c r="A102" t="s">
        <v>789</v>
      </c>
      <c r="B102" t="s">
        <v>851</v>
      </c>
      <c r="C102">
        <v>1.273741638799447E-3</v>
      </c>
      <c r="D102">
        <v>1.7472748496469721</v>
      </c>
      <c r="E102">
        <v>0</v>
      </c>
      <c r="F102">
        <v>0</v>
      </c>
      <c r="G102">
        <v>0</v>
      </c>
      <c r="H102">
        <v>0</v>
      </c>
    </row>
    <row r="103" spans="1:8" x14ac:dyDescent="0.2">
      <c r="A103" t="s">
        <v>789</v>
      </c>
      <c r="B103" t="s">
        <v>848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">
      <c r="A104" t="s">
        <v>789</v>
      </c>
      <c r="B104" t="s">
        <v>817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2">
      <c r="A105" t="s">
        <v>789</v>
      </c>
      <c r="B105" t="s">
        <v>840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">
      <c r="A106" t="s">
        <v>789</v>
      </c>
      <c r="B106" t="s">
        <v>883</v>
      </c>
      <c r="C106">
        <v>0</v>
      </c>
      <c r="D106">
        <v>2.2950197464648159E-4</v>
      </c>
      <c r="E106">
        <v>0</v>
      </c>
      <c r="F106">
        <v>0</v>
      </c>
      <c r="G106">
        <v>0</v>
      </c>
      <c r="H106">
        <v>0</v>
      </c>
    </row>
    <row r="107" spans="1:8" x14ac:dyDescent="0.2">
      <c r="A107" t="s">
        <v>789</v>
      </c>
      <c r="B107" t="s">
        <v>829</v>
      </c>
      <c r="C107">
        <v>2480.4027506178249</v>
      </c>
      <c r="D107">
        <v>0</v>
      </c>
      <c r="E107">
        <v>0</v>
      </c>
      <c r="F107">
        <v>0</v>
      </c>
      <c r="G107">
        <v>6.9641186378325201E-5</v>
      </c>
      <c r="H107">
        <v>44.036118700339003</v>
      </c>
    </row>
    <row r="108" spans="1:8" x14ac:dyDescent="0.2">
      <c r="A108" t="s">
        <v>789</v>
      </c>
      <c r="B108" t="s">
        <v>839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">
      <c r="A109" t="s">
        <v>789</v>
      </c>
      <c r="B109" t="s">
        <v>860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2">
      <c r="A110" t="s">
        <v>789</v>
      </c>
      <c r="B110" t="s">
        <v>819</v>
      </c>
      <c r="C110">
        <v>1.95899989561315E-4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2">
      <c r="A111" t="s">
        <v>789</v>
      </c>
      <c r="B111" t="s">
        <v>830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2">
      <c r="A112" t="s">
        <v>789</v>
      </c>
      <c r="B112" t="s">
        <v>831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2">
      <c r="A113" t="s">
        <v>789</v>
      </c>
      <c r="B113" t="s">
        <v>832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2">
      <c r="A114" t="s">
        <v>789</v>
      </c>
      <c r="B114" t="s">
        <v>888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2">
      <c r="A115" t="s">
        <v>789</v>
      </c>
      <c r="B115" t="s">
        <v>903</v>
      </c>
      <c r="C115">
        <v>0.69684329339642903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2">
      <c r="A116" t="s">
        <v>789</v>
      </c>
      <c r="B116" t="s">
        <v>889</v>
      </c>
      <c r="C116">
        <v>0.77390927950458621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2">
      <c r="A117" t="s">
        <v>789</v>
      </c>
      <c r="B117" t="s">
        <v>849</v>
      </c>
      <c r="C117">
        <v>9.991604351090146E-4</v>
      </c>
      <c r="D117">
        <v>3.8741203619375781</v>
      </c>
      <c r="E117">
        <v>0.12913018541085211</v>
      </c>
      <c r="F117">
        <v>2.0269365876103649E-2</v>
      </c>
      <c r="G117">
        <v>0.38941542749566682</v>
      </c>
      <c r="H117">
        <v>2.4724643666903909</v>
      </c>
    </row>
    <row r="118" spans="1:8" x14ac:dyDescent="0.2">
      <c r="A118" t="s">
        <v>789</v>
      </c>
      <c r="B118" t="s">
        <v>854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2">
      <c r="A119" t="s">
        <v>789</v>
      </c>
      <c r="B119" t="s">
        <v>833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">
      <c r="A120" t="s">
        <v>789</v>
      </c>
      <c r="B120" t="s">
        <v>842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2">
      <c r="A121" t="s">
        <v>789</v>
      </c>
      <c r="B121" t="s">
        <v>876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">
      <c r="A122" t="s">
        <v>789</v>
      </c>
      <c r="B122" t="s">
        <v>886</v>
      </c>
      <c r="C122">
        <v>0</v>
      </c>
      <c r="D122">
        <v>1.7304253285620869E-4</v>
      </c>
      <c r="E122">
        <v>0</v>
      </c>
      <c r="F122">
        <v>0</v>
      </c>
      <c r="G122">
        <v>0</v>
      </c>
      <c r="H122">
        <v>0</v>
      </c>
    </row>
    <row r="123" spans="1:8" x14ac:dyDescent="0.2">
      <c r="A123" t="s">
        <v>789</v>
      </c>
      <c r="B123" t="s">
        <v>834</v>
      </c>
      <c r="C123">
        <v>0.20044124939069261</v>
      </c>
      <c r="D123">
        <v>0</v>
      </c>
      <c r="E123">
        <v>0</v>
      </c>
      <c r="F123">
        <v>0</v>
      </c>
      <c r="G123">
        <v>1.3873857817152E-4</v>
      </c>
      <c r="H123">
        <v>69.006133125312431</v>
      </c>
    </row>
    <row r="124" spans="1:8" x14ac:dyDescent="0.2">
      <c r="A124" t="s">
        <v>789</v>
      </c>
      <c r="B124" t="s">
        <v>856</v>
      </c>
      <c r="C124">
        <v>2.698873033938246E-5</v>
      </c>
      <c r="D124">
        <v>0.4236193054093576</v>
      </c>
      <c r="E124">
        <v>5.259121428341266E-4</v>
      </c>
      <c r="F124">
        <v>3.0506847619134561E-3</v>
      </c>
      <c r="G124">
        <v>0.12618307304869131</v>
      </c>
      <c r="H124">
        <v>16.26146040965061</v>
      </c>
    </row>
    <row r="125" spans="1:8" x14ac:dyDescent="0.2">
      <c r="A125" t="s">
        <v>789</v>
      </c>
      <c r="B125" t="s">
        <v>811</v>
      </c>
      <c r="C125">
        <v>4.0472119846581573E-3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2">
      <c r="A126" t="s">
        <v>789</v>
      </c>
      <c r="B126" t="s">
        <v>812</v>
      </c>
      <c r="C126">
        <v>1.0643161045231599E-3</v>
      </c>
      <c r="D126">
        <v>1.54507681403339E-3</v>
      </c>
      <c r="E126">
        <v>0</v>
      </c>
      <c r="F126">
        <v>0</v>
      </c>
      <c r="G126">
        <v>0</v>
      </c>
      <c r="H126">
        <v>0</v>
      </c>
    </row>
    <row r="127" spans="1:8" x14ac:dyDescent="0.2">
      <c r="A127" t="s">
        <v>806</v>
      </c>
      <c r="B127" t="s">
        <v>893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">
      <c r="A128" t="s">
        <v>806</v>
      </c>
      <c r="B128" t="s">
        <v>815</v>
      </c>
      <c r="C128">
        <v>0</v>
      </c>
      <c r="D128">
        <v>4.0341921967666077E-5</v>
      </c>
      <c r="E128">
        <v>2.764641997884699E-7</v>
      </c>
      <c r="F128">
        <v>0</v>
      </c>
      <c r="G128">
        <v>1.477065449252757E-2</v>
      </c>
      <c r="H128">
        <v>6.5941073281858054E-2</v>
      </c>
    </row>
    <row r="129" spans="1:8" x14ac:dyDescent="0.2">
      <c r="A129" t="s">
        <v>806</v>
      </c>
      <c r="B129" t="s">
        <v>810</v>
      </c>
      <c r="C129">
        <v>0</v>
      </c>
      <c r="D129">
        <v>4.8412227934732308E-4</v>
      </c>
      <c r="E129">
        <v>3.3520415431146729E-5</v>
      </c>
      <c r="F129">
        <v>0</v>
      </c>
      <c r="G129">
        <v>1.0670677716340631E-2</v>
      </c>
      <c r="H129">
        <v>4.7824048090079917E-2</v>
      </c>
    </row>
    <row r="130" spans="1:8" x14ac:dyDescent="0.2">
      <c r="A130" t="s">
        <v>806</v>
      </c>
      <c r="B130" t="s">
        <v>842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2">
      <c r="A131" t="s">
        <v>806</v>
      </c>
      <c r="B131" t="s">
        <v>876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2">
      <c r="A132" t="s">
        <v>806</v>
      </c>
      <c r="B132" t="s">
        <v>886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2">
      <c r="A133" t="s">
        <v>806</v>
      </c>
      <c r="B133" t="s">
        <v>887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2">
      <c r="A134" t="s">
        <v>806</v>
      </c>
      <c r="B134" t="s">
        <v>834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2">
      <c r="A135" t="s">
        <v>806</v>
      </c>
      <c r="B135" t="s">
        <v>877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2">
      <c r="A136" t="s">
        <v>806</v>
      </c>
      <c r="B136" t="s">
        <v>811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2">
      <c r="A137" t="s">
        <v>806</v>
      </c>
      <c r="B137" t="s">
        <v>812</v>
      </c>
      <c r="C137">
        <v>0</v>
      </c>
      <c r="D137">
        <v>9.3226641577543725E-4</v>
      </c>
      <c r="E137">
        <v>0</v>
      </c>
      <c r="F137">
        <v>0</v>
      </c>
      <c r="G137">
        <v>0.2417715312548151</v>
      </c>
      <c r="H137">
        <v>1.0791992950385729</v>
      </c>
    </row>
    <row r="138" spans="1:8" x14ac:dyDescent="0.2">
      <c r="A138" t="s">
        <v>794</v>
      </c>
      <c r="B138" t="s">
        <v>816</v>
      </c>
      <c r="C138">
        <v>10193.813257874061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">
      <c r="A139" t="s">
        <v>794</v>
      </c>
      <c r="B139" t="s">
        <v>836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">
      <c r="A140" t="s">
        <v>794</v>
      </c>
      <c r="B140" t="s">
        <v>814</v>
      </c>
      <c r="C140">
        <v>3.4425518778140752E-4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">
      <c r="A141" t="s">
        <v>794</v>
      </c>
      <c r="B141" t="s">
        <v>815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">
      <c r="A142" t="s">
        <v>794</v>
      </c>
      <c r="B142" t="s">
        <v>850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2">
      <c r="A143" t="s">
        <v>794</v>
      </c>
      <c r="B143" t="s">
        <v>810</v>
      </c>
      <c r="C143">
        <v>19874.560235671321</v>
      </c>
      <c r="D143">
        <v>7.1306996511047833</v>
      </c>
      <c r="E143">
        <v>36.451705015278698</v>
      </c>
      <c r="F143">
        <v>0</v>
      </c>
      <c r="G143">
        <v>0</v>
      </c>
      <c r="H143">
        <v>7.0571470324855667</v>
      </c>
    </row>
    <row r="144" spans="1:8" x14ac:dyDescent="0.2">
      <c r="A144" t="s">
        <v>794</v>
      </c>
      <c r="B144" t="s">
        <v>870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">
      <c r="A145" t="s">
        <v>794</v>
      </c>
      <c r="B145" t="s">
        <v>822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">
      <c r="A146" t="s">
        <v>794</v>
      </c>
      <c r="B146" t="s">
        <v>851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2">
      <c r="A147" t="s">
        <v>794</v>
      </c>
      <c r="B147" t="s">
        <v>869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2">
      <c r="A148" t="s">
        <v>794</v>
      </c>
      <c r="B148" t="s">
        <v>858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">
      <c r="A149" t="s">
        <v>794</v>
      </c>
      <c r="B149" t="s">
        <v>817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2">
      <c r="A150" t="s">
        <v>794</v>
      </c>
      <c r="B150" t="s">
        <v>873</v>
      </c>
      <c r="C150">
        <v>2940.8715648068251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">
      <c r="A151" t="s">
        <v>794</v>
      </c>
      <c r="B151" t="s">
        <v>811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2">
      <c r="A152" t="s">
        <v>794</v>
      </c>
      <c r="B152" t="s">
        <v>861</v>
      </c>
      <c r="C152">
        <v>3.2394501761566139E-4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2">
      <c r="A153" t="s">
        <v>794</v>
      </c>
      <c r="B153" t="s">
        <v>812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2">
      <c r="A154" t="s">
        <v>794</v>
      </c>
      <c r="B154" t="s">
        <v>820</v>
      </c>
      <c r="C154">
        <v>12579.306464535421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2">
      <c r="A155" t="s">
        <v>794</v>
      </c>
      <c r="B155" t="s">
        <v>813</v>
      </c>
      <c r="C155">
        <v>2249.0731433103279</v>
      </c>
      <c r="D155">
        <v>3.1265308644863121</v>
      </c>
      <c r="E155">
        <v>3.9219607061284139</v>
      </c>
      <c r="F155">
        <v>3.8296615915302739</v>
      </c>
      <c r="G155">
        <v>4.8670484574637376</v>
      </c>
      <c r="H155">
        <v>4.7477666052602991</v>
      </c>
    </row>
    <row r="156" spans="1:8" x14ac:dyDescent="0.2">
      <c r="A156" t="s">
        <v>802</v>
      </c>
      <c r="B156" t="s">
        <v>816</v>
      </c>
      <c r="C156">
        <v>882.99857946978841</v>
      </c>
      <c r="D156">
        <v>1.44202152337976</v>
      </c>
      <c r="E156">
        <v>0</v>
      </c>
      <c r="F156">
        <v>0</v>
      </c>
      <c r="G156">
        <v>0</v>
      </c>
      <c r="H156">
        <v>0</v>
      </c>
    </row>
    <row r="157" spans="1:8" x14ac:dyDescent="0.2">
      <c r="A157" t="s">
        <v>802</v>
      </c>
      <c r="B157" t="s">
        <v>835</v>
      </c>
      <c r="C157">
        <v>5.8511549507654754</v>
      </c>
      <c r="D157">
        <v>5.0660026898176141E-4</v>
      </c>
      <c r="E157">
        <v>1.363447085575103E-3</v>
      </c>
      <c r="F157">
        <v>0</v>
      </c>
      <c r="G157">
        <v>0</v>
      </c>
      <c r="H157">
        <v>0</v>
      </c>
    </row>
    <row r="158" spans="1:8" x14ac:dyDescent="0.2">
      <c r="A158" t="s">
        <v>802</v>
      </c>
      <c r="B158" t="s">
        <v>836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2">
      <c r="A159" t="s">
        <v>802</v>
      </c>
      <c r="B159" t="s">
        <v>866</v>
      </c>
      <c r="C159">
        <v>79.387883901045186</v>
      </c>
      <c r="D159">
        <v>2.4911791376247918E-3</v>
      </c>
      <c r="E159">
        <v>0</v>
      </c>
      <c r="F159">
        <v>0.55789791328709759</v>
      </c>
      <c r="G159">
        <v>15.19895522245193</v>
      </c>
      <c r="H159">
        <v>0</v>
      </c>
    </row>
    <row r="160" spans="1:8" x14ac:dyDescent="0.2">
      <c r="A160" t="s">
        <v>802</v>
      </c>
      <c r="B160" t="s">
        <v>814</v>
      </c>
      <c r="C160">
        <v>0</v>
      </c>
      <c r="D160">
        <v>8.3700570265590954E-3</v>
      </c>
      <c r="E160">
        <v>18.410009768200069</v>
      </c>
      <c r="F160">
        <v>8.6966686630781886E-2</v>
      </c>
      <c r="G160">
        <v>0</v>
      </c>
      <c r="H160">
        <v>0</v>
      </c>
    </row>
    <row r="161" spans="1:8" x14ac:dyDescent="0.2">
      <c r="A161" t="s">
        <v>802</v>
      </c>
      <c r="B161" t="s">
        <v>837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">
      <c r="A162" t="s">
        <v>802</v>
      </c>
      <c r="B162" t="s">
        <v>838</v>
      </c>
      <c r="C162">
        <v>0.64754298385122211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2">
      <c r="A163" t="s">
        <v>802</v>
      </c>
      <c r="B163" t="s">
        <v>810</v>
      </c>
      <c r="C163">
        <v>58.018315871976547</v>
      </c>
      <c r="D163">
        <v>1.7288028520236301E-5</v>
      </c>
      <c r="E163">
        <v>4.0903422630570471E-5</v>
      </c>
      <c r="F163">
        <v>0</v>
      </c>
      <c r="G163">
        <v>0</v>
      </c>
      <c r="H163">
        <v>2.4598020576926168E-4</v>
      </c>
    </row>
    <row r="164" spans="1:8" x14ac:dyDescent="0.2">
      <c r="A164" t="s">
        <v>802</v>
      </c>
      <c r="B164" t="s">
        <v>824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2">
      <c r="A165" t="s">
        <v>802</v>
      </c>
      <c r="B165" t="s">
        <v>822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2">
      <c r="A166" t="s">
        <v>802</v>
      </c>
      <c r="B166" t="s">
        <v>817</v>
      </c>
      <c r="C166">
        <v>7.1119210930590304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2">
      <c r="A167" t="s">
        <v>802</v>
      </c>
      <c r="B167" t="s">
        <v>819</v>
      </c>
      <c r="C167">
        <v>183.31849519557281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2">
      <c r="A168" t="s">
        <v>802</v>
      </c>
      <c r="B168" t="s">
        <v>811</v>
      </c>
      <c r="C168">
        <v>2.5374964988301188E-4</v>
      </c>
      <c r="D168">
        <v>0</v>
      </c>
      <c r="E168">
        <v>0</v>
      </c>
      <c r="F168">
        <v>0</v>
      </c>
      <c r="G168">
        <v>0</v>
      </c>
      <c r="H168">
        <v>4.9196020747379753E-4</v>
      </c>
    </row>
    <row r="169" spans="1:8" x14ac:dyDescent="0.2">
      <c r="A169" t="s">
        <v>802</v>
      </c>
      <c r="B169" t="s">
        <v>812</v>
      </c>
      <c r="C169">
        <v>0</v>
      </c>
      <c r="D169">
        <v>8.7684030760638463E-4</v>
      </c>
      <c r="E169">
        <v>0</v>
      </c>
      <c r="F169">
        <v>0</v>
      </c>
      <c r="G169">
        <v>0</v>
      </c>
      <c r="H169">
        <v>0</v>
      </c>
    </row>
    <row r="170" spans="1:8" x14ac:dyDescent="0.2">
      <c r="A170" t="s">
        <v>797</v>
      </c>
      <c r="B170" t="s">
        <v>816</v>
      </c>
      <c r="C170">
        <v>17765.370468635261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2">
      <c r="A171" t="s">
        <v>797</v>
      </c>
      <c r="B171" t="s">
        <v>892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2">
      <c r="A172" t="s">
        <v>797</v>
      </c>
      <c r="B172" t="s">
        <v>836</v>
      </c>
      <c r="C172">
        <v>1.6483807107883941</v>
      </c>
      <c r="D172">
        <v>0</v>
      </c>
      <c r="E172">
        <v>0</v>
      </c>
      <c r="F172">
        <v>0.79681942264140893</v>
      </c>
      <c r="G172">
        <v>1.9362804894611541</v>
      </c>
      <c r="H172">
        <v>0</v>
      </c>
    </row>
    <row r="173" spans="1:8" x14ac:dyDescent="0.2">
      <c r="A173" t="s">
        <v>797</v>
      </c>
      <c r="B173" t="s">
        <v>814</v>
      </c>
      <c r="C173">
        <v>0</v>
      </c>
      <c r="D173">
        <v>1.5777204367770409E-4</v>
      </c>
      <c r="E173">
        <v>6.8633633139755445E-5</v>
      </c>
      <c r="F173">
        <v>0</v>
      </c>
      <c r="G173">
        <v>0</v>
      </c>
      <c r="H173">
        <v>5.8889150404144839E-5</v>
      </c>
    </row>
    <row r="174" spans="1:8" x14ac:dyDescent="0.2">
      <c r="A174" t="s">
        <v>797</v>
      </c>
      <c r="B174" t="s">
        <v>893</v>
      </c>
      <c r="C174">
        <v>0</v>
      </c>
      <c r="D174">
        <v>1.041997016841966E-13</v>
      </c>
      <c r="E174">
        <v>0</v>
      </c>
      <c r="F174">
        <v>0</v>
      </c>
      <c r="G174">
        <v>0</v>
      </c>
      <c r="H174">
        <v>0</v>
      </c>
    </row>
    <row r="175" spans="1:8" x14ac:dyDescent="0.2">
      <c r="A175" t="s">
        <v>797</v>
      </c>
      <c r="B175" t="s">
        <v>894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2">
      <c r="A176" t="s">
        <v>797</v>
      </c>
      <c r="B176" t="s">
        <v>815</v>
      </c>
      <c r="C176">
        <v>0</v>
      </c>
      <c r="D176">
        <v>1.6629754616136118E-5</v>
      </c>
      <c r="E176">
        <v>0</v>
      </c>
      <c r="F176">
        <v>0</v>
      </c>
      <c r="G176">
        <v>0</v>
      </c>
      <c r="H176">
        <v>8.9494339997837026E-7</v>
      </c>
    </row>
    <row r="177" spans="1:8" x14ac:dyDescent="0.2">
      <c r="A177" t="s">
        <v>797</v>
      </c>
      <c r="B177" t="s">
        <v>859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2">
      <c r="A178" t="s">
        <v>797</v>
      </c>
      <c r="B178" t="s">
        <v>810</v>
      </c>
      <c r="C178">
        <v>7.417608817579646E-5</v>
      </c>
      <c r="D178">
        <v>1.6361434157670811E-5</v>
      </c>
      <c r="E178">
        <v>7.7081908644193318E-7</v>
      </c>
      <c r="F178">
        <v>0</v>
      </c>
      <c r="G178">
        <v>0</v>
      </c>
      <c r="H178">
        <v>2.2211643570707541E-6</v>
      </c>
    </row>
    <row r="179" spans="1:8" x14ac:dyDescent="0.2">
      <c r="A179" t="s">
        <v>797</v>
      </c>
      <c r="B179" t="s">
        <v>867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2">
      <c r="A180" t="s">
        <v>797</v>
      </c>
      <c r="B180" t="s">
        <v>868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2">
      <c r="A181" t="s">
        <v>797</v>
      </c>
      <c r="B181" t="s">
        <v>891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">
      <c r="A182" t="s">
        <v>797</v>
      </c>
      <c r="B182" t="s">
        <v>852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2">
      <c r="A183" t="s">
        <v>797</v>
      </c>
      <c r="B183" t="s">
        <v>895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2">
      <c r="A184" t="s">
        <v>797</v>
      </c>
      <c r="B184" t="s">
        <v>811</v>
      </c>
      <c r="C184">
        <v>0</v>
      </c>
      <c r="D184">
        <v>3.96593876222653E-5</v>
      </c>
      <c r="E184">
        <v>4.6430553680410969E-5</v>
      </c>
      <c r="F184">
        <v>0</v>
      </c>
      <c r="G184">
        <v>0</v>
      </c>
      <c r="H184">
        <v>2.933053859458692E-6</v>
      </c>
    </row>
    <row r="185" spans="1:8" x14ac:dyDescent="0.2">
      <c r="A185" t="s">
        <v>797</v>
      </c>
      <c r="B185" t="s">
        <v>812</v>
      </c>
      <c r="C185">
        <v>0</v>
      </c>
      <c r="D185">
        <v>1.7628715140947059E-4</v>
      </c>
      <c r="E185">
        <v>0</v>
      </c>
      <c r="F185">
        <v>0</v>
      </c>
      <c r="G185">
        <v>0</v>
      </c>
      <c r="H185">
        <v>1.897406501348409E-5</v>
      </c>
    </row>
    <row r="186" spans="1:8" x14ac:dyDescent="0.2">
      <c r="A186" t="s">
        <v>792</v>
      </c>
      <c r="B186" t="s">
        <v>816</v>
      </c>
      <c r="C186">
        <v>1524.131748296764</v>
      </c>
      <c r="D186">
        <v>53.758021322490507</v>
      </c>
      <c r="E186">
        <v>14.63419222797193</v>
      </c>
      <c r="F186">
        <v>13.819751558486409</v>
      </c>
      <c r="G186">
        <v>0</v>
      </c>
      <c r="H186">
        <v>0</v>
      </c>
    </row>
    <row r="187" spans="1:8" x14ac:dyDescent="0.2">
      <c r="A187" t="s">
        <v>792</v>
      </c>
      <c r="B187" t="s">
        <v>899</v>
      </c>
      <c r="C187">
        <v>0</v>
      </c>
      <c r="D187">
        <v>1.6242026278414509E-4</v>
      </c>
      <c r="E187">
        <v>0</v>
      </c>
      <c r="F187">
        <v>0</v>
      </c>
      <c r="G187">
        <v>0</v>
      </c>
      <c r="H187">
        <v>0</v>
      </c>
    </row>
    <row r="188" spans="1:8" x14ac:dyDescent="0.2">
      <c r="A188" t="s">
        <v>792</v>
      </c>
      <c r="B188" t="s">
        <v>855</v>
      </c>
      <c r="C188">
        <v>0</v>
      </c>
      <c r="D188">
        <v>3.730336334629773E-5</v>
      </c>
      <c r="E188">
        <v>0</v>
      </c>
      <c r="F188">
        <v>0</v>
      </c>
      <c r="G188">
        <v>0</v>
      </c>
      <c r="H188">
        <v>0</v>
      </c>
    </row>
    <row r="189" spans="1:8" x14ac:dyDescent="0.2">
      <c r="A189" t="s">
        <v>792</v>
      </c>
      <c r="B189" t="s">
        <v>866</v>
      </c>
      <c r="C189">
        <v>0</v>
      </c>
      <c r="D189">
        <v>8.8746931310771246E-6</v>
      </c>
      <c r="E189">
        <v>8.6876837944954153E-6</v>
      </c>
      <c r="F189">
        <v>0</v>
      </c>
      <c r="G189">
        <v>1.4110026432297089E-4</v>
      </c>
      <c r="H189">
        <v>0</v>
      </c>
    </row>
    <row r="190" spans="1:8" x14ac:dyDescent="0.2">
      <c r="A190" t="s">
        <v>792</v>
      </c>
      <c r="B190" t="s">
        <v>814</v>
      </c>
      <c r="C190">
        <v>6.0085044749563072E-4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2">
      <c r="A191" t="s">
        <v>792</v>
      </c>
      <c r="B191" t="s">
        <v>893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2">
      <c r="A192" t="s">
        <v>792</v>
      </c>
      <c r="B192" t="s">
        <v>815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2">
      <c r="A193" t="s">
        <v>792</v>
      </c>
      <c r="B193" t="s">
        <v>810</v>
      </c>
      <c r="C193">
        <v>3.0208033527499589</v>
      </c>
      <c r="D193">
        <v>0.1208605955357341</v>
      </c>
      <c r="E193">
        <v>0.60979531059237302</v>
      </c>
      <c r="F193">
        <v>0.64054695881013435</v>
      </c>
      <c r="G193">
        <v>34.06248482245033</v>
      </c>
      <c r="H193">
        <v>1.823395501946002</v>
      </c>
    </row>
    <row r="194" spans="1:8" x14ac:dyDescent="0.2">
      <c r="A194" t="s">
        <v>792</v>
      </c>
      <c r="B194" t="s">
        <v>824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2">
      <c r="A195" t="s">
        <v>792</v>
      </c>
      <c r="B195" t="s">
        <v>822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2">
      <c r="A196" t="s">
        <v>792</v>
      </c>
      <c r="B196" t="s">
        <v>882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2">
      <c r="A197" t="s">
        <v>792</v>
      </c>
      <c r="B197" t="s">
        <v>881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2">
      <c r="A198" t="s">
        <v>792</v>
      </c>
      <c r="B198" t="s">
        <v>839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2">
      <c r="A199" t="s">
        <v>792</v>
      </c>
      <c r="B199" t="s">
        <v>849</v>
      </c>
      <c r="C199">
        <v>0</v>
      </c>
      <c r="D199">
        <v>4.5644276337671609E-5</v>
      </c>
      <c r="E199">
        <v>0</v>
      </c>
      <c r="F199">
        <v>0</v>
      </c>
      <c r="G199">
        <v>0</v>
      </c>
      <c r="H199">
        <v>0</v>
      </c>
    </row>
    <row r="200" spans="1:8" x14ac:dyDescent="0.2">
      <c r="A200" t="s">
        <v>792</v>
      </c>
      <c r="B200" t="s">
        <v>856</v>
      </c>
      <c r="C200">
        <v>0</v>
      </c>
      <c r="D200">
        <v>3.5603002836405872E-5</v>
      </c>
      <c r="E200">
        <v>0</v>
      </c>
      <c r="F200">
        <v>0</v>
      </c>
      <c r="G200">
        <v>0</v>
      </c>
      <c r="H200">
        <v>0</v>
      </c>
    </row>
    <row r="201" spans="1:8" x14ac:dyDescent="0.2">
      <c r="A201" t="s">
        <v>792</v>
      </c>
      <c r="B201" t="s">
        <v>811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2">
      <c r="A202" t="s">
        <v>792</v>
      </c>
      <c r="B202" t="s">
        <v>812</v>
      </c>
      <c r="C202">
        <v>191.28495474862049</v>
      </c>
      <c r="D202">
        <v>0.65056447337410994</v>
      </c>
      <c r="E202">
        <v>0</v>
      </c>
      <c r="F202">
        <v>0</v>
      </c>
      <c r="G202">
        <v>0.63528179572446841</v>
      </c>
      <c r="H202">
        <v>4.6628297473744066E-10</v>
      </c>
    </row>
    <row r="203" spans="1:8" x14ac:dyDescent="0.2">
      <c r="A203" t="s">
        <v>792</v>
      </c>
      <c r="B203" t="s">
        <v>813</v>
      </c>
      <c r="C203">
        <v>0</v>
      </c>
      <c r="D203">
        <v>1.7342202291965181E-4</v>
      </c>
      <c r="E203">
        <v>0</v>
      </c>
      <c r="F203">
        <v>0</v>
      </c>
      <c r="G203">
        <v>0</v>
      </c>
      <c r="H203">
        <v>8.2642434519166171E-5</v>
      </c>
    </row>
    <row r="204" spans="1:8" x14ac:dyDescent="0.2">
      <c r="A204" t="s">
        <v>792</v>
      </c>
      <c r="B204" t="s">
        <v>818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2">
      <c r="A205" t="s">
        <v>795</v>
      </c>
      <c r="B205" t="s">
        <v>816</v>
      </c>
      <c r="C205">
        <v>719.1428293453373</v>
      </c>
      <c r="D205">
        <v>13.138631651636301</v>
      </c>
      <c r="E205">
        <v>0</v>
      </c>
      <c r="F205">
        <v>0</v>
      </c>
      <c r="G205">
        <v>0</v>
      </c>
      <c r="H205">
        <v>0</v>
      </c>
    </row>
    <row r="206" spans="1:8" x14ac:dyDescent="0.2">
      <c r="A206" t="s">
        <v>795</v>
      </c>
      <c r="B206" t="s">
        <v>836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2">
      <c r="A207" t="s">
        <v>795</v>
      </c>
      <c r="B207" t="s">
        <v>814</v>
      </c>
      <c r="C207">
        <v>2.4837754098916321E-3</v>
      </c>
      <c r="D207">
        <v>3.8304139537013952E-3</v>
      </c>
      <c r="E207">
        <v>0</v>
      </c>
      <c r="F207">
        <v>0</v>
      </c>
      <c r="G207">
        <v>0</v>
      </c>
      <c r="H207">
        <v>0</v>
      </c>
    </row>
    <row r="208" spans="1:8" x14ac:dyDescent="0.2">
      <c r="A208" t="s">
        <v>795</v>
      </c>
      <c r="B208" t="s">
        <v>838</v>
      </c>
      <c r="C208">
        <v>4.1396256115009732E-3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2">
      <c r="A209" t="s">
        <v>795</v>
      </c>
      <c r="B209" t="s">
        <v>810</v>
      </c>
      <c r="C209">
        <v>505.25670714193222</v>
      </c>
      <c r="D209">
        <v>0</v>
      </c>
      <c r="E209">
        <v>0</v>
      </c>
      <c r="F209">
        <v>0</v>
      </c>
      <c r="G209">
        <v>0</v>
      </c>
      <c r="H209">
        <v>10.69326715918867</v>
      </c>
    </row>
    <row r="210" spans="1:8" x14ac:dyDescent="0.2">
      <c r="A210" t="s">
        <v>795</v>
      </c>
      <c r="B210" t="s">
        <v>819</v>
      </c>
      <c r="C210">
        <v>2272.1757222188862</v>
      </c>
      <c r="D210">
        <v>0</v>
      </c>
      <c r="E210">
        <v>0</v>
      </c>
      <c r="F210">
        <v>0</v>
      </c>
      <c r="G210">
        <v>8.8339835668880892E-5</v>
      </c>
      <c r="H210">
        <v>22.455878817718801</v>
      </c>
    </row>
    <row r="211" spans="1:8" x14ac:dyDescent="0.2">
      <c r="A211" t="s">
        <v>795</v>
      </c>
      <c r="B211" t="s">
        <v>811</v>
      </c>
      <c r="C211">
        <v>34766.465987761119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2">
      <c r="A212" t="s">
        <v>795</v>
      </c>
      <c r="B212" t="s">
        <v>812</v>
      </c>
      <c r="C212">
        <v>5.7360762791493577E-5</v>
      </c>
      <c r="D212">
        <v>5.2224719454352169E-4</v>
      </c>
      <c r="E212">
        <v>0</v>
      </c>
      <c r="F212">
        <v>0</v>
      </c>
      <c r="G212">
        <v>0</v>
      </c>
      <c r="H212">
        <v>1.591098891058815E-4</v>
      </c>
    </row>
    <row r="213" spans="1:8" x14ac:dyDescent="0.2">
      <c r="A213" t="s">
        <v>795</v>
      </c>
      <c r="B213" t="s">
        <v>813</v>
      </c>
      <c r="C213">
        <v>3037.4509841239451</v>
      </c>
      <c r="D213">
        <v>4.9961816225639838E-4</v>
      </c>
      <c r="E213">
        <v>0</v>
      </c>
      <c r="F213">
        <v>36.964193489215937</v>
      </c>
      <c r="G213">
        <v>0</v>
      </c>
      <c r="H213">
        <v>0</v>
      </c>
    </row>
    <row r="214" spans="1:8" x14ac:dyDescent="0.2">
      <c r="A214" t="s">
        <v>795</v>
      </c>
      <c r="B214" t="s">
        <v>818</v>
      </c>
      <c r="C214">
        <v>9.3235958628026163E-3</v>
      </c>
      <c r="D214">
        <v>0</v>
      </c>
      <c r="E214">
        <v>0</v>
      </c>
      <c r="F214">
        <v>6.5201601766499477</v>
      </c>
      <c r="G214">
        <v>3.2823256426009739</v>
      </c>
      <c r="H214">
        <v>1.693591553469695</v>
      </c>
    </row>
    <row r="215" spans="1:8" x14ac:dyDescent="0.2">
      <c r="A215" t="s">
        <v>793</v>
      </c>
      <c r="B215" t="s">
        <v>816</v>
      </c>
      <c r="C215">
        <v>2154.2985760241818</v>
      </c>
      <c r="D215">
        <v>14.888107035352689</v>
      </c>
      <c r="E215">
        <v>10.046342088490899</v>
      </c>
      <c r="F215">
        <v>0</v>
      </c>
      <c r="G215">
        <v>0</v>
      </c>
      <c r="H215">
        <v>2.707223876490028</v>
      </c>
    </row>
    <row r="216" spans="1:8" x14ac:dyDescent="0.2">
      <c r="A216" t="s">
        <v>793</v>
      </c>
      <c r="B216" t="s">
        <v>836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2">
      <c r="A217" t="s">
        <v>793</v>
      </c>
      <c r="B217" t="s">
        <v>814</v>
      </c>
      <c r="C217">
        <v>983.26146419335976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2">
      <c r="A218" t="s">
        <v>793</v>
      </c>
      <c r="B218" t="s">
        <v>810</v>
      </c>
      <c r="C218">
        <v>930.68508824615787</v>
      </c>
      <c r="D218">
        <v>30.608111938371149</v>
      </c>
      <c r="E218">
        <v>0</v>
      </c>
      <c r="F218">
        <v>0</v>
      </c>
      <c r="G218">
        <v>0</v>
      </c>
      <c r="H218">
        <v>0</v>
      </c>
    </row>
    <row r="219" spans="1:8" x14ac:dyDescent="0.2">
      <c r="A219" t="s">
        <v>793</v>
      </c>
      <c r="B219" t="s">
        <v>839</v>
      </c>
      <c r="C219">
        <v>10.719435275903731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2">
      <c r="A220" t="s">
        <v>793</v>
      </c>
      <c r="B220" t="s">
        <v>819</v>
      </c>
      <c r="C220">
        <v>2581.33380697339</v>
      </c>
      <c r="D220">
        <v>70.39869155407105</v>
      </c>
      <c r="E220">
        <v>0</v>
      </c>
      <c r="F220">
        <v>0</v>
      </c>
      <c r="G220">
        <v>0</v>
      </c>
      <c r="H220">
        <v>0</v>
      </c>
    </row>
    <row r="221" spans="1:8" x14ac:dyDescent="0.2">
      <c r="A221" t="s">
        <v>793</v>
      </c>
      <c r="B221" t="s">
        <v>811</v>
      </c>
      <c r="C221">
        <v>44180.538792526801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x14ac:dyDescent="0.2">
      <c r="A222" t="s">
        <v>793</v>
      </c>
      <c r="B222" t="s">
        <v>812</v>
      </c>
      <c r="C222">
        <v>1.0983502165631651E-3</v>
      </c>
      <c r="D222">
        <v>6.1468409223184323E-3</v>
      </c>
      <c r="E222">
        <v>0</v>
      </c>
      <c r="F222">
        <v>0</v>
      </c>
      <c r="G222">
        <v>0</v>
      </c>
      <c r="H222">
        <v>0</v>
      </c>
    </row>
    <row r="223" spans="1:8" x14ac:dyDescent="0.2">
      <c r="A223" t="s">
        <v>793</v>
      </c>
      <c r="B223" t="s">
        <v>813</v>
      </c>
      <c r="C223">
        <v>10844.67942999212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 x14ac:dyDescent="0.2">
      <c r="A224" t="s">
        <v>793</v>
      </c>
      <c r="B224" t="s">
        <v>818</v>
      </c>
      <c r="C224">
        <v>1.951677992264244E-2</v>
      </c>
      <c r="D224">
        <v>0.18029341421031439</v>
      </c>
      <c r="E224">
        <v>0</v>
      </c>
      <c r="F224">
        <v>0</v>
      </c>
      <c r="G224">
        <v>0</v>
      </c>
      <c r="H224">
        <v>0</v>
      </c>
    </row>
    <row r="225" spans="1:8" x14ac:dyDescent="0.2">
      <c r="A225" t="s">
        <v>788</v>
      </c>
      <c r="B225" t="s">
        <v>816</v>
      </c>
      <c r="C225">
        <v>516.96682614968779</v>
      </c>
      <c r="D225">
        <v>3.910936670894217</v>
      </c>
      <c r="E225">
        <v>0.35714502792983333</v>
      </c>
      <c r="F225">
        <v>4.2560423611872109E-2</v>
      </c>
      <c r="G225">
        <v>1.396395802124907E-2</v>
      </c>
      <c r="H225">
        <v>2.5452090145727819E-2</v>
      </c>
    </row>
    <row r="226" spans="1:8" x14ac:dyDescent="0.2">
      <c r="A226" t="s">
        <v>788</v>
      </c>
      <c r="B226" t="s">
        <v>835</v>
      </c>
      <c r="C226">
        <v>2.1707470059501729E-4</v>
      </c>
      <c r="D226">
        <v>0.47079816040882672</v>
      </c>
      <c r="E226">
        <v>0</v>
      </c>
      <c r="F226">
        <v>0</v>
      </c>
      <c r="G226">
        <v>0</v>
      </c>
      <c r="H226">
        <v>0</v>
      </c>
    </row>
    <row r="227" spans="1:8" x14ac:dyDescent="0.2">
      <c r="A227" t="s">
        <v>788</v>
      </c>
      <c r="B227" t="s">
        <v>899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2">
      <c r="A228" t="s">
        <v>788</v>
      </c>
      <c r="B228" t="s">
        <v>901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2">
      <c r="A229" t="s">
        <v>788</v>
      </c>
      <c r="B229" t="s">
        <v>900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2">
      <c r="A230" t="s">
        <v>788</v>
      </c>
      <c r="B230" t="s">
        <v>855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2">
      <c r="A231" t="s">
        <v>788</v>
      </c>
      <c r="B231" t="s">
        <v>836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2">
      <c r="A232" t="s">
        <v>788</v>
      </c>
      <c r="B232" t="s">
        <v>814</v>
      </c>
      <c r="C232">
        <v>0</v>
      </c>
      <c r="D232">
        <v>0.12258875797069931</v>
      </c>
      <c r="E232">
        <v>1.924635194234432</v>
      </c>
      <c r="F232">
        <v>13.8461808327657</v>
      </c>
      <c r="G232">
        <v>0</v>
      </c>
      <c r="H232">
        <v>4.0406197960866767E-5</v>
      </c>
    </row>
    <row r="233" spans="1:8" x14ac:dyDescent="0.2">
      <c r="A233" t="s">
        <v>788</v>
      </c>
      <c r="B233" t="s">
        <v>823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2">
      <c r="A234" t="s">
        <v>788</v>
      </c>
      <c r="B234" t="s">
        <v>815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2">
      <c r="A235" t="s">
        <v>788</v>
      </c>
      <c r="B235" t="s">
        <v>837</v>
      </c>
      <c r="C235">
        <v>7.6690376855277309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x14ac:dyDescent="0.2">
      <c r="A236" t="s">
        <v>788</v>
      </c>
      <c r="B236" t="s">
        <v>850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 x14ac:dyDescent="0.2">
      <c r="A237" t="s">
        <v>788</v>
      </c>
      <c r="B237" t="s">
        <v>838</v>
      </c>
      <c r="C237">
        <v>2.95538253501371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x14ac:dyDescent="0.2">
      <c r="A238" t="s">
        <v>788</v>
      </c>
      <c r="B238" t="s">
        <v>810</v>
      </c>
      <c r="C238">
        <v>60.360902348255372</v>
      </c>
      <c r="D238">
        <v>1.897294965967818</v>
      </c>
      <c r="E238">
        <v>1.774566697960098</v>
      </c>
      <c r="F238">
        <v>2.1044038319978842E-6</v>
      </c>
      <c r="G238">
        <v>0.86244162533395252</v>
      </c>
      <c r="H238">
        <v>5.9295380726152813E-2</v>
      </c>
    </row>
    <row r="239" spans="1:8" x14ac:dyDescent="0.2">
      <c r="A239" t="s">
        <v>788</v>
      </c>
      <c r="B239" t="s">
        <v>824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x14ac:dyDescent="0.2">
      <c r="A240" t="s">
        <v>788</v>
      </c>
      <c r="B240" t="s">
        <v>822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2">
      <c r="A241" t="s">
        <v>788</v>
      </c>
      <c r="B241" t="s">
        <v>825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2">
      <c r="A242" t="s">
        <v>788</v>
      </c>
      <c r="B242" t="s">
        <v>821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2">
      <c r="A243" t="s">
        <v>788</v>
      </c>
      <c r="B243" t="s">
        <v>851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2">
      <c r="A244" t="s">
        <v>788</v>
      </c>
      <c r="B244" t="s">
        <v>817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 x14ac:dyDescent="0.2">
      <c r="A245" t="s">
        <v>788</v>
      </c>
      <c r="B245" t="s">
        <v>819</v>
      </c>
      <c r="C245">
        <v>0</v>
      </c>
      <c r="D245">
        <v>4.7055714688306196</v>
      </c>
      <c r="E245">
        <v>3.7404963906083402</v>
      </c>
      <c r="F245">
        <v>0</v>
      </c>
      <c r="G245">
        <v>0</v>
      </c>
      <c r="H245">
        <v>0</v>
      </c>
    </row>
    <row r="246" spans="1:8" x14ac:dyDescent="0.2">
      <c r="A246" t="s">
        <v>788</v>
      </c>
      <c r="B246" t="s">
        <v>830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2">
      <c r="A247" t="s">
        <v>788</v>
      </c>
      <c r="B247" t="s">
        <v>831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2">
      <c r="A248" t="s">
        <v>788</v>
      </c>
      <c r="B248" t="s">
        <v>832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2">
      <c r="A249" t="s">
        <v>788</v>
      </c>
      <c r="B249" t="s">
        <v>849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2">
      <c r="A250" t="s">
        <v>788</v>
      </c>
      <c r="B250" t="s">
        <v>856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2">
      <c r="A251" t="s">
        <v>788</v>
      </c>
      <c r="B251" t="s">
        <v>811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2">
      <c r="A252" t="s">
        <v>788</v>
      </c>
      <c r="B252" t="s">
        <v>812</v>
      </c>
      <c r="C252">
        <v>0</v>
      </c>
      <c r="D252">
        <v>1.4867658752413531E-3</v>
      </c>
      <c r="E252">
        <v>0</v>
      </c>
      <c r="F252">
        <v>0</v>
      </c>
      <c r="G252">
        <v>0</v>
      </c>
      <c r="H252">
        <v>4.3744168953717411E-5</v>
      </c>
    </row>
    <row r="253" spans="1:8" x14ac:dyDescent="0.2">
      <c r="A253" t="s">
        <v>788</v>
      </c>
      <c r="B253" t="s">
        <v>813</v>
      </c>
      <c r="C253">
        <v>954.98316346818797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2">
      <c r="A254" t="s">
        <v>788</v>
      </c>
      <c r="B254" t="s">
        <v>818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2">
      <c r="A255" t="s">
        <v>800</v>
      </c>
      <c r="B255" t="s">
        <v>816</v>
      </c>
      <c r="C255">
        <v>151.06987664783011</v>
      </c>
      <c r="D255">
        <v>0.5468058847862497</v>
      </c>
      <c r="E255">
        <v>0.44334940416486429</v>
      </c>
      <c r="F255">
        <v>0</v>
      </c>
      <c r="G255">
        <v>0</v>
      </c>
      <c r="H255">
        <v>0</v>
      </c>
    </row>
    <row r="256" spans="1:8" x14ac:dyDescent="0.2">
      <c r="A256" t="s">
        <v>800</v>
      </c>
      <c r="B256" t="s">
        <v>857</v>
      </c>
      <c r="C256">
        <v>914.43838809699878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2">
      <c r="A257" t="s">
        <v>800</v>
      </c>
      <c r="B257" t="s">
        <v>899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2">
      <c r="A258" t="s">
        <v>800</v>
      </c>
      <c r="B258" t="s">
        <v>814</v>
      </c>
      <c r="C258">
        <v>0</v>
      </c>
      <c r="D258">
        <v>7.0050657970486752</v>
      </c>
      <c r="E258">
        <v>3.59566653179996E-4</v>
      </c>
      <c r="F258">
        <v>0</v>
      </c>
      <c r="G258">
        <v>0</v>
      </c>
      <c r="H258">
        <v>0</v>
      </c>
    </row>
    <row r="259" spans="1:8" x14ac:dyDescent="0.2">
      <c r="A259" t="s">
        <v>800</v>
      </c>
      <c r="B259" t="s">
        <v>893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x14ac:dyDescent="0.2">
      <c r="A260" t="s">
        <v>800</v>
      </c>
      <c r="B260" t="s">
        <v>815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 x14ac:dyDescent="0.2">
      <c r="A261" t="s">
        <v>800</v>
      </c>
      <c r="B261" t="s">
        <v>810</v>
      </c>
      <c r="C261">
        <v>111.1571023712218</v>
      </c>
      <c r="D261">
        <v>1.1004353103043121</v>
      </c>
      <c r="E261">
        <v>1.5027023698138</v>
      </c>
      <c r="F261">
        <v>4.6411126249633207E-2</v>
      </c>
      <c r="G261">
        <v>0</v>
      </c>
      <c r="H261">
        <v>0.101769506905248</v>
      </c>
    </row>
    <row r="262" spans="1:8" x14ac:dyDescent="0.2">
      <c r="A262" t="s">
        <v>800</v>
      </c>
      <c r="B262" t="s">
        <v>824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2">
      <c r="A263" t="s">
        <v>800</v>
      </c>
      <c r="B263" t="s">
        <v>822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2">
      <c r="A264" t="s">
        <v>800</v>
      </c>
      <c r="B264" t="s">
        <v>825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">
      <c r="A265" t="s">
        <v>800</v>
      </c>
      <c r="B265" t="s">
        <v>821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2">
      <c r="A266" t="s">
        <v>800</v>
      </c>
      <c r="B266" t="s">
        <v>819</v>
      </c>
      <c r="C266">
        <v>2.356758668736963E-4</v>
      </c>
      <c r="D266">
        <v>0.2381915855474169</v>
      </c>
      <c r="E266">
        <v>0.1723471633235181</v>
      </c>
      <c r="F266">
        <v>0.11602813104386971</v>
      </c>
      <c r="G266">
        <v>0</v>
      </c>
      <c r="H266">
        <v>0</v>
      </c>
    </row>
    <row r="267" spans="1:8" x14ac:dyDescent="0.2">
      <c r="A267" t="s">
        <v>800</v>
      </c>
      <c r="B267" t="s">
        <v>811</v>
      </c>
      <c r="C267">
        <v>154.99376212949349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2">
      <c r="A268" t="s">
        <v>800</v>
      </c>
      <c r="B268" t="s">
        <v>812</v>
      </c>
      <c r="C268">
        <v>0</v>
      </c>
      <c r="D268">
        <v>1.9856976955690891E-3</v>
      </c>
      <c r="E268">
        <v>0</v>
      </c>
      <c r="F268">
        <v>0</v>
      </c>
      <c r="G268">
        <v>0</v>
      </c>
      <c r="H268">
        <v>0</v>
      </c>
    </row>
    <row r="269" spans="1:8" x14ac:dyDescent="0.2">
      <c r="A269" t="s">
        <v>790</v>
      </c>
      <c r="B269" t="s">
        <v>816</v>
      </c>
      <c r="C269">
        <v>16422.369041925871</v>
      </c>
      <c r="D269">
        <v>0.55080279691869483</v>
      </c>
      <c r="E269">
        <v>7.2998644386626426</v>
      </c>
      <c r="F269">
        <v>0</v>
      </c>
      <c r="G269">
        <v>0</v>
      </c>
      <c r="H269">
        <v>0</v>
      </c>
    </row>
    <row r="270" spans="1:8" x14ac:dyDescent="0.2">
      <c r="A270" t="s">
        <v>790</v>
      </c>
      <c r="B270" t="s">
        <v>835</v>
      </c>
      <c r="C270">
        <v>1652.030285555066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2">
      <c r="A271" t="s">
        <v>790</v>
      </c>
      <c r="B271" t="s">
        <v>836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2">
      <c r="A272" t="s">
        <v>790</v>
      </c>
      <c r="B272" t="s">
        <v>814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x14ac:dyDescent="0.2">
      <c r="A273" t="s">
        <v>790</v>
      </c>
      <c r="B273" t="s">
        <v>864</v>
      </c>
      <c r="C273">
        <v>279.70684571904911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2">
      <c r="A274" t="s">
        <v>790</v>
      </c>
      <c r="B274" t="s">
        <v>810</v>
      </c>
      <c r="C274">
        <v>102.8235826435058</v>
      </c>
      <c r="D274">
        <v>2.8019899611230832</v>
      </c>
      <c r="E274">
        <v>0</v>
      </c>
      <c r="F274">
        <v>0</v>
      </c>
      <c r="G274">
        <v>0</v>
      </c>
      <c r="H274">
        <v>0</v>
      </c>
    </row>
    <row r="275" spans="1:8" x14ac:dyDescent="0.2">
      <c r="A275" t="s">
        <v>790</v>
      </c>
      <c r="B275" t="s">
        <v>840</v>
      </c>
      <c r="C275">
        <v>97.98356121015847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 x14ac:dyDescent="0.2">
      <c r="A276" t="s">
        <v>790</v>
      </c>
      <c r="B276" t="s">
        <v>819</v>
      </c>
      <c r="C276">
        <v>4.6360787574363521E-4</v>
      </c>
      <c r="D276">
        <v>13.209486814868059</v>
      </c>
      <c r="E276">
        <v>0</v>
      </c>
      <c r="F276">
        <v>0</v>
      </c>
      <c r="G276">
        <v>0</v>
      </c>
      <c r="H276">
        <v>0</v>
      </c>
    </row>
    <row r="277" spans="1:8" x14ac:dyDescent="0.2">
      <c r="A277" t="s">
        <v>790</v>
      </c>
      <c r="B277" t="s">
        <v>811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2">
      <c r="A278" t="s">
        <v>790</v>
      </c>
      <c r="B278" t="s">
        <v>813</v>
      </c>
      <c r="C278">
        <v>1462.5000102545571</v>
      </c>
      <c r="D278">
        <v>1.2294887835810199E-4</v>
      </c>
      <c r="E278">
        <v>0</v>
      </c>
      <c r="F278">
        <v>0</v>
      </c>
      <c r="G278">
        <v>0</v>
      </c>
      <c r="H278">
        <v>0</v>
      </c>
    </row>
    <row r="279" spans="1:8" x14ac:dyDescent="0.2">
      <c r="A279" t="s">
        <v>804</v>
      </c>
      <c r="B279" t="s">
        <v>843</v>
      </c>
      <c r="C279">
        <v>676.36840561763336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2">
      <c r="A280" t="s">
        <v>804</v>
      </c>
      <c r="B280" t="s">
        <v>853</v>
      </c>
      <c r="C280">
        <v>12.92984244808382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2">
      <c r="A281" t="s">
        <v>804</v>
      </c>
      <c r="B281" t="s">
        <v>844</v>
      </c>
      <c r="C281">
        <v>53.576733677640043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2">
      <c r="A282" t="s">
        <v>804</v>
      </c>
      <c r="B282" t="s">
        <v>845</v>
      </c>
      <c r="C282">
        <v>1.7183446933075198E-2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2">
      <c r="A283" t="s">
        <v>804</v>
      </c>
      <c r="B283" t="s">
        <v>841</v>
      </c>
      <c r="C283">
        <v>3.656518537838583E-2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2">
      <c r="A284" t="s">
        <v>804</v>
      </c>
      <c r="B284" t="s">
        <v>838</v>
      </c>
      <c r="C284">
        <v>21262.873685800801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2">
      <c r="A285" t="s">
        <v>804</v>
      </c>
      <c r="B285" t="s">
        <v>810</v>
      </c>
      <c r="C285">
        <v>1683.9318755540801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2">
      <c r="A286" t="s">
        <v>804</v>
      </c>
      <c r="B286" t="s">
        <v>840</v>
      </c>
      <c r="C286">
        <v>575.55184747926683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2">
      <c r="A287" t="s">
        <v>804</v>
      </c>
      <c r="B287" t="s">
        <v>830</v>
      </c>
      <c r="C287">
        <v>14.76408551721274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2">
      <c r="A288" t="s">
        <v>804</v>
      </c>
      <c r="B288" t="s">
        <v>831</v>
      </c>
      <c r="C288">
        <v>132.4328642663468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2">
      <c r="A289" t="s">
        <v>804</v>
      </c>
      <c r="B289" t="s">
        <v>832</v>
      </c>
      <c r="C289">
        <v>602.22469962424748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2">
      <c r="A290" t="s">
        <v>804</v>
      </c>
      <c r="B290" t="s">
        <v>854</v>
      </c>
      <c r="C290">
        <v>12.977349252198049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 x14ac:dyDescent="0.2">
      <c r="A291" t="s">
        <v>804</v>
      </c>
      <c r="B291" t="s">
        <v>846</v>
      </c>
      <c r="C291">
        <v>9.4941482072258179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2">
      <c r="A292" t="s">
        <v>804</v>
      </c>
      <c r="B292" t="s">
        <v>842</v>
      </c>
      <c r="C292">
        <v>3.0031563975521269E-2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2">
      <c r="A293" t="s">
        <v>798</v>
      </c>
      <c r="B293" t="s">
        <v>816</v>
      </c>
      <c r="C293">
        <v>3.6513175071686989E-4</v>
      </c>
      <c r="D293">
        <v>9.7555619231510491</v>
      </c>
      <c r="E293">
        <v>1.01918914099027E-4</v>
      </c>
      <c r="F293">
        <v>0</v>
      </c>
      <c r="G293">
        <v>0</v>
      </c>
      <c r="H293">
        <v>0</v>
      </c>
    </row>
    <row r="294" spans="1:8" x14ac:dyDescent="0.2">
      <c r="A294" t="s">
        <v>798</v>
      </c>
      <c r="B294" t="s">
        <v>826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2">
      <c r="A295" t="s">
        <v>798</v>
      </c>
      <c r="B295" t="s">
        <v>843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2">
      <c r="A296" t="s">
        <v>798</v>
      </c>
      <c r="B296" t="s">
        <v>853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 x14ac:dyDescent="0.2">
      <c r="A297" t="s">
        <v>798</v>
      </c>
      <c r="B297" t="s">
        <v>827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2">
      <c r="A298" t="s">
        <v>798</v>
      </c>
      <c r="B298" t="s">
        <v>855</v>
      </c>
      <c r="C298">
        <v>5.2875719535470814E-4</v>
      </c>
      <c r="D298">
        <v>0.69260702690675879</v>
      </c>
      <c r="E298">
        <v>0</v>
      </c>
      <c r="F298">
        <v>1.2093959127515311E-6</v>
      </c>
      <c r="G298">
        <v>0</v>
      </c>
      <c r="H298">
        <v>0</v>
      </c>
    </row>
    <row r="299" spans="1:8" x14ac:dyDescent="0.2">
      <c r="A299" t="s">
        <v>798</v>
      </c>
      <c r="B299" t="s">
        <v>878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2">
      <c r="A300" t="s">
        <v>798</v>
      </c>
      <c r="B300" t="s">
        <v>845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2">
      <c r="A301" t="s">
        <v>798</v>
      </c>
      <c r="B301" t="s">
        <v>841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2">
      <c r="A302" t="s">
        <v>798</v>
      </c>
      <c r="B302" t="s">
        <v>875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2">
      <c r="A303" t="s">
        <v>798</v>
      </c>
      <c r="B303" t="s">
        <v>880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2">
      <c r="A304" t="s">
        <v>798</v>
      </c>
      <c r="B304" t="s">
        <v>814</v>
      </c>
      <c r="C304">
        <v>0</v>
      </c>
      <c r="D304">
        <v>23.017652666816939</v>
      </c>
      <c r="E304">
        <v>3.751598016510805E-4</v>
      </c>
      <c r="F304">
        <v>0</v>
      </c>
      <c r="G304">
        <v>0</v>
      </c>
      <c r="H304">
        <v>0</v>
      </c>
    </row>
    <row r="305" spans="1:8" x14ac:dyDescent="0.2">
      <c r="A305" t="s">
        <v>798</v>
      </c>
      <c r="B305" t="s">
        <v>828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2">
      <c r="A306" t="s">
        <v>798</v>
      </c>
      <c r="B306" t="s">
        <v>815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 x14ac:dyDescent="0.2">
      <c r="A307" t="s">
        <v>798</v>
      </c>
      <c r="B307" t="s">
        <v>850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2">
      <c r="A308" t="s">
        <v>798</v>
      </c>
      <c r="B308" t="s">
        <v>838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2">
      <c r="A309" t="s">
        <v>798</v>
      </c>
      <c r="B309" t="s">
        <v>810</v>
      </c>
      <c r="C309">
        <v>48.873045257906803</v>
      </c>
      <c r="D309">
        <v>2.4473071703772973E-4</v>
      </c>
      <c r="E309">
        <v>0.31484755803914932</v>
      </c>
      <c r="F309">
        <v>0</v>
      </c>
      <c r="G309">
        <v>1.183334243880497</v>
      </c>
      <c r="H309">
        <v>0.62838561164360707</v>
      </c>
    </row>
    <row r="310" spans="1:8" x14ac:dyDescent="0.2">
      <c r="A310" t="s">
        <v>798</v>
      </c>
      <c r="B310" t="s">
        <v>847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2">
      <c r="A311" t="s">
        <v>798</v>
      </c>
      <c r="B311" t="s">
        <v>824</v>
      </c>
      <c r="C311">
        <v>1.3857583184784361E-4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2">
      <c r="A312" t="s">
        <v>798</v>
      </c>
      <c r="B312" t="s">
        <v>822</v>
      </c>
      <c r="C312">
        <v>489.36599746037098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2">
      <c r="A313" t="s">
        <v>798</v>
      </c>
      <c r="B313" t="s">
        <v>825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2">
      <c r="A314" t="s">
        <v>798</v>
      </c>
      <c r="B314" t="s">
        <v>821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 x14ac:dyDescent="0.2">
      <c r="A315" t="s">
        <v>798</v>
      </c>
      <c r="B315" t="s">
        <v>851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2">
      <c r="A316" t="s">
        <v>798</v>
      </c>
      <c r="B316" t="s">
        <v>858</v>
      </c>
      <c r="C316">
        <v>0</v>
      </c>
      <c r="D316">
        <v>7.1651195641864954E-5</v>
      </c>
      <c r="E316">
        <v>0</v>
      </c>
      <c r="F316">
        <v>0</v>
      </c>
      <c r="G316">
        <v>2.3666684917396248</v>
      </c>
      <c r="H316">
        <v>1.2567712251604981</v>
      </c>
    </row>
    <row r="317" spans="1:8" x14ac:dyDescent="0.2">
      <c r="A317" t="s">
        <v>798</v>
      </c>
      <c r="B317" t="s">
        <v>848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2">
      <c r="A318" t="s">
        <v>798</v>
      </c>
      <c r="B318" t="s">
        <v>840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2">
      <c r="A319" t="s">
        <v>798</v>
      </c>
      <c r="B319" t="s">
        <v>890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2">
      <c r="A320" t="s">
        <v>798</v>
      </c>
      <c r="B320" t="s">
        <v>829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">
      <c r="A321" t="s">
        <v>798</v>
      </c>
      <c r="B321" t="s">
        <v>839</v>
      </c>
      <c r="C321">
        <v>9913.0090515076299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2">
      <c r="A322" t="s">
        <v>798</v>
      </c>
      <c r="B322" t="s">
        <v>860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2">
      <c r="A323" t="s">
        <v>798</v>
      </c>
      <c r="B323" t="s">
        <v>831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2">
      <c r="A324" t="s">
        <v>798</v>
      </c>
      <c r="B324" t="s">
        <v>832</v>
      </c>
      <c r="C324">
        <v>7.8475860545295108E-5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2">
      <c r="A325" t="s">
        <v>798</v>
      </c>
      <c r="B325" t="s">
        <v>849</v>
      </c>
      <c r="C325">
        <v>1.10737450214653E-3</v>
      </c>
      <c r="D325">
        <v>4.7203912562046177</v>
      </c>
      <c r="E325">
        <v>0</v>
      </c>
      <c r="F325">
        <v>0.1932130669625913</v>
      </c>
      <c r="G325">
        <v>0</v>
      </c>
      <c r="H325">
        <v>0</v>
      </c>
    </row>
    <row r="326" spans="1:8" x14ac:dyDescent="0.2">
      <c r="A326" t="s">
        <v>798</v>
      </c>
      <c r="B326" t="s">
        <v>856</v>
      </c>
      <c r="C326">
        <v>3.2870101600066779E-4</v>
      </c>
      <c r="D326">
        <v>0.46696797526211881</v>
      </c>
      <c r="E326">
        <v>0</v>
      </c>
      <c r="F326">
        <v>1.2432050367005109E-6</v>
      </c>
      <c r="G326">
        <v>0</v>
      </c>
      <c r="H326">
        <v>0</v>
      </c>
    </row>
    <row r="327" spans="1:8" x14ac:dyDescent="0.2">
      <c r="A327" t="s">
        <v>798</v>
      </c>
      <c r="B327" t="s">
        <v>811</v>
      </c>
      <c r="C327">
        <v>7.8341542121919329E-4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x14ac:dyDescent="0.2">
      <c r="A328" t="s">
        <v>798</v>
      </c>
      <c r="B328" t="s">
        <v>812</v>
      </c>
      <c r="C328">
        <v>296.06112267510048</v>
      </c>
      <c r="D328">
        <v>3.7456392414871281E-4</v>
      </c>
      <c r="E328">
        <v>0</v>
      </c>
      <c r="F328">
        <v>0</v>
      </c>
      <c r="G328">
        <v>0</v>
      </c>
      <c r="H328">
        <v>0</v>
      </c>
    </row>
    <row r="329" spans="1:8" x14ac:dyDescent="0.2">
      <c r="A329" t="s">
        <v>796</v>
      </c>
      <c r="B329" t="s">
        <v>816</v>
      </c>
      <c r="C329">
        <v>3477.6302964788101</v>
      </c>
      <c r="D329">
        <v>6.2345187389822268E-4</v>
      </c>
      <c r="E329">
        <v>0</v>
      </c>
      <c r="F329">
        <v>0</v>
      </c>
      <c r="G329">
        <v>0</v>
      </c>
      <c r="H329">
        <v>0</v>
      </c>
    </row>
    <row r="330" spans="1:8" x14ac:dyDescent="0.2">
      <c r="A330" t="s">
        <v>796</v>
      </c>
      <c r="B330" t="s">
        <v>843</v>
      </c>
      <c r="C330">
        <v>94516.60304811188</v>
      </c>
      <c r="D330">
        <v>385.46919012361229</v>
      </c>
      <c r="E330">
        <v>0</v>
      </c>
      <c r="F330">
        <v>180.00735416747781</v>
      </c>
      <c r="G330">
        <v>0</v>
      </c>
      <c r="H330">
        <v>0</v>
      </c>
    </row>
    <row r="331" spans="1:8" x14ac:dyDescent="0.2">
      <c r="A331" t="s">
        <v>796</v>
      </c>
      <c r="B331" t="s">
        <v>874</v>
      </c>
      <c r="C331">
        <v>0</v>
      </c>
      <c r="D331">
        <v>0.34451986826705178</v>
      </c>
      <c r="E331">
        <v>3.3544727045425811E-4</v>
      </c>
      <c r="F331">
        <v>0</v>
      </c>
      <c r="G331">
        <v>4.5239857454927758E-5</v>
      </c>
      <c r="H331">
        <v>0</v>
      </c>
    </row>
    <row r="332" spans="1:8" x14ac:dyDescent="0.2">
      <c r="A332" t="s">
        <v>796</v>
      </c>
      <c r="B332" t="s">
        <v>853</v>
      </c>
      <c r="C332">
        <v>27.34765452638792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 x14ac:dyDescent="0.2">
      <c r="A333" t="s">
        <v>796</v>
      </c>
      <c r="B333" t="s">
        <v>844</v>
      </c>
      <c r="C333">
        <v>9250.2920198118209</v>
      </c>
      <c r="D333">
        <v>2.285089877508208</v>
      </c>
      <c r="E333">
        <v>0</v>
      </c>
      <c r="F333">
        <v>0</v>
      </c>
      <c r="G333">
        <v>0</v>
      </c>
      <c r="H333">
        <v>0</v>
      </c>
    </row>
    <row r="334" spans="1:8" x14ac:dyDescent="0.2">
      <c r="A334" t="s">
        <v>796</v>
      </c>
      <c r="B334" t="s">
        <v>845</v>
      </c>
      <c r="C334">
        <v>3.9009932093981757E-2</v>
      </c>
      <c r="D334">
        <v>116.5041600691889</v>
      </c>
      <c r="E334">
        <v>0</v>
      </c>
      <c r="F334">
        <v>114.5407448080913</v>
      </c>
      <c r="G334">
        <v>0</v>
      </c>
      <c r="H334">
        <v>0</v>
      </c>
    </row>
    <row r="335" spans="1:8" x14ac:dyDescent="0.2">
      <c r="A335" t="s">
        <v>796</v>
      </c>
      <c r="B335" t="s">
        <v>841</v>
      </c>
      <c r="C335">
        <v>3.9280163401440853E-2</v>
      </c>
      <c r="D335">
        <v>5.6054599456736116E-3</v>
      </c>
      <c r="E335">
        <v>0</v>
      </c>
      <c r="F335">
        <v>10.878987933346711</v>
      </c>
      <c r="G335">
        <v>0</v>
      </c>
      <c r="H335">
        <v>0</v>
      </c>
    </row>
    <row r="336" spans="1:8" x14ac:dyDescent="0.2">
      <c r="A336" t="s">
        <v>796</v>
      </c>
      <c r="B336" t="s">
        <v>836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2">
      <c r="A337" t="s">
        <v>796</v>
      </c>
      <c r="B337" t="s">
        <v>893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2">
      <c r="A338" t="s">
        <v>796</v>
      </c>
      <c r="B338" t="s">
        <v>894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2">
      <c r="A339" t="s">
        <v>796</v>
      </c>
      <c r="B339" t="s">
        <v>838</v>
      </c>
      <c r="C339">
        <v>51690.905550135984</v>
      </c>
      <c r="D339">
        <v>1.1688649743550319E-2</v>
      </c>
      <c r="E339">
        <v>0</v>
      </c>
      <c r="F339">
        <v>141.52667757689801</v>
      </c>
      <c r="G339">
        <v>0</v>
      </c>
      <c r="H339">
        <v>0</v>
      </c>
    </row>
    <row r="340" spans="1:8" x14ac:dyDescent="0.2">
      <c r="A340" t="s">
        <v>796</v>
      </c>
      <c r="B340" t="s">
        <v>810</v>
      </c>
      <c r="C340">
        <v>61636.549976403046</v>
      </c>
      <c r="D340">
        <v>4.3908436389521226</v>
      </c>
      <c r="E340">
        <v>9.7603110127944027E-6</v>
      </c>
      <c r="F340">
        <v>872.0977964979777</v>
      </c>
      <c r="G340">
        <v>2.9355661901986979E-5</v>
      </c>
      <c r="H340">
        <v>0</v>
      </c>
    </row>
    <row r="341" spans="1:8" x14ac:dyDescent="0.2">
      <c r="A341" t="s">
        <v>796</v>
      </c>
      <c r="B341" t="s">
        <v>840</v>
      </c>
      <c r="C341">
        <v>1129.4617930628999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x14ac:dyDescent="0.2">
      <c r="A342" t="s">
        <v>796</v>
      </c>
      <c r="B342" t="s">
        <v>830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x14ac:dyDescent="0.2">
      <c r="A343" t="s">
        <v>796</v>
      </c>
      <c r="B343" t="s">
        <v>831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x14ac:dyDescent="0.2">
      <c r="A344" t="s">
        <v>796</v>
      </c>
      <c r="B344" t="s">
        <v>832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x14ac:dyDescent="0.2">
      <c r="A345" t="s">
        <v>796</v>
      </c>
      <c r="B345" t="s">
        <v>854</v>
      </c>
      <c r="C345">
        <v>27.544299345952489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x14ac:dyDescent="0.2">
      <c r="A346" t="s">
        <v>796</v>
      </c>
      <c r="B346" t="s">
        <v>846</v>
      </c>
      <c r="C346">
        <v>26.44918724150218</v>
      </c>
      <c r="D346">
        <v>66.408412718885415</v>
      </c>
      <c r="E346">
        <v>0</v>
      </c>
      <c r="F346">
        <v>116.9768120999202</v>
      </c>
      <c r="G346">
        <v>0</v>
      </c>
      <c r="H346">
        <v>0</v>
      </c>
    </row>
    <row r="347" spans="1:8" x14ac:dyDescent="0.2">
      <c r="A347" t="s">
        <v>796</v>
      </c>
      <c r="B347" t="s">
        <v>842</v>
      </c>
      <c r="C347">
        <v>3.1851506622771468E-2</v>
      </c>
      <c r="D347">
        <v>2.2392339264355578E-3</v>
      </c>
      <c r="E347">
        <v>0</v>
      </c>
      <c r="F347">
        <v>10.693483458860451</v>
      </c>
      <c r="G347">
        <v>0</v>
      </c>
      <c r="H347">
        <v>0</v>
      </c>
    </row>
    <row r="348" spans="1:8" x14ac:dyDescent="0.2">
      <c r="A348" t="s">
        <v>796</v>
      </c>
      <c r="B348" t="s">
        <v>811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 x14ac:dyDescent="0.2">
      <c r="A349" t="s">
        <v>796</v>
      </c>
      <c r="B349" t="s">
        <v>812</v>
      </c>
      <c r="C349">
        <v>5.2948991306068661E-3</v>
      </c>
      <c r="D349">
        <v>0.62018389830905396</v>
      </c>
      <c r="E349">
        <v>4.7155232225426407E-5</v>
      </c>
      <c r="F349">
        <v>0</v>
      </c>
      <c r="G349">
        <v>1.4919692369925209E-5</v>
      </c>
      <c r="H349">
        <v>0</v>
      </c>
    </row>
    <row r="350" spans="1:8" x14ac:dyDescent="0.2">
      <c r="A350" t="s">
        <v>799</v>
      </c>
      <c r="B350" t="s">
        <v>816</v>
      </c>
      <c r="C350">
        <v>4.0496906170348258E-4</v>
      </c>
      <c r="D350">
        <v>11.052097613291609</v>
      </c>
      <c r="E350">
        <v>0</v>
      </c>
      <c r="F350">
        <v>1.205243872523639</v>
      </c>
      <c r="G350">
        <v>6.657443131064122</v>
      </c>
      <c r="H350">
        <v>2.8211872031421201</v>
      </c>
    </row>
    <row r="351" spans="1:8" x14ac:dyDescent="0.2">
      <c r="A351" t="s">
        <v>799</v>
      </c>
      <c r="B351" t="s">
        <v>835</v>
      </c>
      <c r="C351">
        <v>32.660450089576003</v>
      </c>
      <c r="D351">
        <v>8.3318892177451733</v>
      </c>
      <c r="E351">
        <v>0</v>
      </c>
      <c r="F351">
        <v>0</v>
      </c>
      <c r="G351">
        <v>0</v>
      </c>
      <c r="H351">
        <v>0</v>
      </c>
    </row>
    <row r="352" spans="1:8" x14ac:dyDescent="0.2">
      <c r="A352" t="s">
        <v>799</v>
      </c>
      <c r="B352" t="s">
        <v>897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 x14ac:dyDescent="0.2">
      <c r="A353" t="s">
        <v>799</v>
      </c>
      <c r="B353" t="s">
        <v>898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2">
      <c r="A354" t="s">
        <v>799</v>
      </c>
      <c r="B354" t="s">
        <v>814</v>
      </c>
      <c r="C354">
        <v>79.650217178345045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2">
      <c r="A355" t="s">
        <v>799</v>
      </c>
      <c r="B355" t="s">
        <v>810</v>
      </c>
      <c r="C355">
        <v>16.651465242219931</v>
      </c>
      <c r="D355">
        <v>1.6087427983173519</v>
      </c>
      <c r="E355">
        <v>2.0987580249410109E-2</v>
      </c>
      <c r="F355">
        <v>0</v>
      </c>
      <c r="G355">
        <v>2.1531660888544022</v>
      </c>
      <c r="H355">
        <v>0</v>
      </c>
    </row>
    <row r="356" spans="1:8" x14ac:dyDescent="0.2">
      <c r="A356" t="s">
        <v>799</v>
      </c>
      <c r="B356" t="s">
        <v>824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x14ac:dyDescent="0.2">
      <c r="A357" t="s">
        <v>799</v>
      </c>
      <c r="B357" t="s">
        <v>822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2">
      <c r="A358" t="s">
        <v>799</v>
      </c>
      <c r="B358" t="s">
        <v>858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2">
      <c r="A359" t="s">
        <v>799</v>
      </c>
      <c r="B359" t="s">
        <v>819</v>
      </c>
      <c r="C359">
        <v>4.9502162785313526E-4</v>
      </c>
      <c r="D359">
        <v>3.7609099563692201</v>
      </c>
      <c r="E359">
        <v>0</v>
      </c>
      <c r="F359">
        <v>0</v>
      </c>
      <c r="G359">
        <v>0</v>
      </c>
      <c r="H359">
        <v>0</v>
      </c>
    </row>
    <row r="360" spans="1:8" x14ac:dyDescent="0.2">
      <c r="A360" t="s">
        <v>799</v>
      </c>
      <c r="B360" t="s">
        <v>811</v>
      </c>
      <c r="C360">
        <v>620.18435317217632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2">
      <c r="A361" t="s">
        <v>799</v>
      </c>
      <c r="B361" t="s">
        <v>812</v>
      </c>
      <c r="C361">
        <v>0</v>
      </c>
      <c r="D361">
        <v>4.4970180049049501E-4</v>
      </c>
      <c r="E361">
        <v>0</v>
      </c>
      <c r="F361">
        <v>0</v>
      </c>
      <c r="G361">
        <v>0</v>
      </c>
      <c r="H361">
        <v>2.5124259348150708E-3</v>
      </c>
    </row>
    <row r="362" spans="1:8" x14ac:dyDescent="0.2">
      <c r="A362" t="s">
        <v>799</v>
      </c>
      <c r="B362" t="s">
        <v>818</v>
      </c>
      <c r="C362">
        <v>4.2394144545422852E-4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x14ac:dyDescent="0.2">
      <c r="A363" t="s">
        <v>803</v>
      </c>
      <c r="B363" t="s">
        <v>816</v>
      </c>
      <c r="C363">
        <v>0</v>
      </c>
      <c r="D363">
        <v>0.42023899618192478</v>
      </c>
      <c r="E363">
        <v>0</v>
      </c>
      <c r="F363">
        <v>0</v>
      </c>
      <c r="G363">
        <v>0</v>
      </c>
      <c r="H363">
        <v>0</v>
      </c>
    </row>
    <row r="364" spans="1:8" x14ac:dyDescent="0.2">
      <c r="A364" t="s">
        <v>803</v>
      </c>
      <c r="B364" t="s">
        <v>862</v>
      </c>
      <c r="C364">
        <v>63.71461551261244</v>
      </c>
      <c r="D364">
        <v>0</v>
      </c>
      <c r="E364">
        <v>0.94659589101706409</v>
      </c>
      <c r="F364">
        <v>0</v>
      </c>
      <c r="G364">
        <v>0</v>
      </c>
      <c r="H364">
        <v>0</v>
      </c>
    </row>
    <row r="365" spans="1:8" x14ac:dyDescent="0.2">
      <c r="A365" t="s">
        <v>803</v>
      </c>
      <c r="B365" t="s">
        <v>841</v>
      </c>
      <c r="C365">
        <v>5.7942240870425856E-6</v>
      </c>
      <c r="D365">
        <v>0</v>
      </c>
      <c r="E365">
        <v>1.0072415743898401E-7</v>
      </c>
      <c r="F365">
        <v>0</v>
      </c>
      <c r="G365">
        <v>0</v>
      </c>
      <c r="H365">
        <v>0</v>
      </c>
    </row>
    <row r="366" spans="1:8" x14ac:dyDescent="0.2">
      <c r="A366" t="s">
        <v>803</v>
      </c>
      <c r="B366" t="s">
        <v>836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2">
      <c r="A367" t="s">
        <v>803</v>
      </c>
      <c r="B367" t="s">
        <v>865</v>
      </c>
      <c r="C367">
        <v>218.89440319718611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x14ac:dyDescent="0.2">
      <c r="A368" t="s">
        <v>803</v>
      </c>
      <c r="B368" t="s">
        <v>866</v>
      </c>
      <c r="C368">
        <v>1.205343157506415E-4</v>
      </c>
      <c r="D368">
        <v>1.4052017257541859E-3</v>
      </c>
      <c r="E368">
        <v>0</v>
      </c>
      <c r="F368">
        <v>0</v>
      </c>
      <c r="G368">
        <v>0</v>
      </c>
      <c r="H368">
        <v>0</v>
      </c>
    </row>
    <row r="369" spans="1:8" x14ac:dyDescent="0.2">
      <c r="A369" t="s">
        <v>803</v>
      </c>
      <c r="B369" t="s">
        <v>863</v>
      </c>
      <c r="C369">
        <v>71.848493561042446</v>
      </c>
      <c r="D369">
        <v>0</v>
      </c>
      <c r="E369">
        <v>1.0674396337374921</v>
      </c>
      <c r="F369">
        <v>0</v>
      </c>
      <c r="G369">
        <v>0</v>
      </c>
      <c r="H369">
        <v>0</v>
      </c>
    </row>
    <row r="370" spans="1:8" x14ac:dyDescent="0.2">
      <c r="A370" t="s">
        <v>803</v>
      </c>
      <c r="B370" t="s">
        <v>814</v>
      </c>
      <c r="C370">
        <v>0</v>
      </c>
      <c r="D370">
        <v>4.6914016681649049E-3</v>
      </c>
      <c r="E370">
        <v>7.0784351382567774</v>
      </c>
      <c r="F370">
        <v>0</v>
      </c>
      <c r="G370">
        <v>0</v>
      </c>
      <c r="H370">
        <v>0</v>
      </c>
    </row>
    <row r="371" spans="1:8" x14ac:dyDescent="0.2">
      <c r="A371" t="s">
        <v>803</v>
      </c>
      <c r="B371" t="s">
        <v>815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 x14ac:dyDescent="0.2">
      <c r="A372" t="s">
        <v>803</v>
      </c>
      <c r="B372" t="s">
        <v>838</v>
      </c>
      <c r="C372">
        <v>0.36261741353531901</v>
      </c>
      <c r="D372">
        <v>0</v>
      </c>
      <c r="E372">
        <v>5.3874586981418789E-3</v>
      </c>
      <c r="F372">
        <v>0</v>
      </c>
      <c r="G372">
        <v>0</v>
      </c>
      <c r="H372">
        <v>0</v>
      </c>
    </row>
    <row r="373" spans="1:8" x14ac:dyDescent="0.2">
      <c r="A373" t="s">
        <v>803</v>
      </c>
      <c r="B373" t="s">
        <v>810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2">
      <c r="A374" t="s">
        <v>803</v>
      </c>
      <c r="B374" t="s">
        <v>824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 x14ac:dyDescent="0.2">
      <c r="A375" t="s">
        <v>803</v>
      </c>
      <c r="B375" t="s">
        <v>842</v>
      </c>
      <c r="C375">
        <v>5.4858848131446717E-6</v>
      </c>
      <c r="D375">
        <v>0</v>
      </c>
      <c r="E375">
        <v>9.9479208566446031E-8</v>
      </c>
      <c r="F375">
        <v>0</v>
      </c>
      <c r="G375">
        <v>0</v>
      </c>
      <c r="H375">
        <v>0</v>
      </c>
    </row>
    <row r="376" spans="1:8" x14ac:dyDescent="0.2">
      <c r="A376" t="s">
        <v>803</v>
      </c>
      <c r="B376" t="s">
        <v>811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2">
      <c r="A377" t="s">
        <v>803</v>
      </c>
      <c r="B377" t="s">
        <v>812</v>
      </c>
      <c r="C377">
        <v>0</v>
      </c>
      <c r="D377">
        <v>3.7510463713868048E-4</v>
      </c>
      <c r="E377">
        <v>0</v>
      </c>
      <c r="F377">
        <v>0</v>
      </c>
      <c r="G377">
        <v>0</v>
      </c>
      <c r="H377">
        <v>0</v>
      </c>
    </row>
    <row r="378" spans="1:8" x14ac:dyDescent="0.2">
      <c r="A378" t="s">
        <v>805</v>
      </c>
      <c r="B378" t="s">
        <v>871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2">
      <c r="A379" t="s">
        <v>805</v>
      </c>
      <c r="B379" t="s">
        <v>872</v>
      </c>
      <c r="C379">
        <v>0</v>
      </c>
      <c r="D379">
        <v>0.71414217105894084</v>
      </c>
      <c r="E379">
        <v>0.37234112496256411</v>
      </c>
      <c r="F379">
        <v>3.0981990746714012</v>
      </c>
      <c r="G379">
        <v>4.9864546678435318E-6</v>
      </c>
      <c r="H379">
        <v>1.4370351708237189E-4</v>
      </c>
    </row>
    <row r="380" spans="1:8" x14ac:dyDescent="0.2">
      <c r="A380" t="s">
        <v>805</v>
      </c>
      <c r="B380" t="s">
        <v>896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 x14ac:dyDescent="0.2">
      <c r="A381" t="s">
        <v>805</v>
      </c>
      <c r="B381" t="s">
        <v>814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</row>
  </sheetData>
  <autoFilter ref="A1:B381" xr:uid="{00000000-0001-0000-0A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EE5D-B3FF-194E-8C3A-EEA3BA59D5FF}">
  <dimension ref="A1:AS157"/>
  <sheetViews>
    <sheetView tabSelected="1" zoomScaleNormal="40" workbookViewId="0">
      <selection activeCell="D1" sqref="D1"/>
    </sheetView>
  </sheetViews>
  <sheetFormatPr baseColWidth="10" defaultColWidth="8.83203125" defaultRowHeight="15" x14ac:dyDescent="0.2"/>
  <cols>
    <col min="1" max="1" width="25.33203125" style="4" bestFit="1" customWidth="1"/>
    <col min="2" max="2" width="12.33203125" style="4" customWidth="1"/>
    <col min="3" max="3" width="12.5" style="4" customWidth="1"/>
    <col min="4" max="4" width="20" style="4" customWidth="1"/>
    <col min="5" max="5" width="12.5" style="4" bestFit="1" customWidth="1"/>
    <col min="6" max="6" width="12" style="4" customWidth="1"/>
    <col min="7" max="7" width="11.33203125" style="4" customWidth="1"/>
    <col min="8" max="8" width="11.1640625" style="4" customWidth="1"/>
    <col min="9" max="10" width="10.83203125" style="4" customWidth="1"/>
    <col min="11" max="11" width="11.83203125" style="79" bestFit="1" customWidth="1"/>
    <col min="12" max="12" width="19.33203125" style="4" customWidth="1"/>
    <col min="13" max="13" width="12.5" style="4" customWidth="1"/>
    <col min="14" max="14" width="10.83203125" style="4" customWidth="1"/>
    <col min="15" max="15" width="11" style="4" bestFit="1" customWidth="1"/>
    <col min="16" max="16" width="12.33203125" style="4" bestFit="1" customWidth="1"/>
    <col min="17" max="18" width="11" style="4" bestFit="1" customWidth="1"/>
    <col min="19" max="19" width="10.6640625" style="4" bestFit="1" customWidth="1"/>
    <col min="20" max="20" width="19.6640625" style="4" customWidth="1"/>
    <col min="21" max="21" width="10.6640625" style="4" customWidth="1"/>
    <col min="22" max="22" width="8.1640625" style="4" customWidth="1"/>
    <col min="23" max="23" width="8.83203125" style="4"/>
    <col min="24" max="24" width="10.33203125" style="4" bestFit="1" customWidth="1"/>
    <col min="25" max="25" width="11" style="4" bestFit="1" customWidth="1"/>
    <col min="26" max="26" width="11.1640625" style="4" bestFit="1" customWidth="1"/>
    <col min="27" max="29" width="9.1640625" style="4" bestFit="1" customWidth="1"/>
    <col min="30" max="16384" width="8.83203125" style="4"/>
  </cols>
  <sheetData>
    <row r="1" spans="1:45" x14ac:dyDescent="0.2">
      <c r="A1" s="2" t="s">
        <v>912</v>
      </c>
      <c r="B1" s="2" t="s">
        <v>787</v>
      </c>
      <c r="C1" s="2" t="s">
        <v>913</v>
      </c>
      <c r="D1" s="2"/>
      <c r="E1" s="3">
        <v>2025</v>
      </c>
      <c r="F1" s="3">
        <v>2030</v>
      </c>
      <c r="G1" s="3">
        <v>2035</v>
      </c>
      <c r="H1" s="3">
        <v>2040</v>
      </c>
      <c r="I1" s="3">
        <v>2045</v>
      </c>
      <c r="J1" s="3">
        <v>2050</v>
      </c>
      <c r="K1" s="78"/>
      <c r="T1" s="5" t="s">
        <v>912</v>
      </c>
      <c r="U1" s="5" t="s">
        <v>787</v>
      </c>
      <c r="V1" s="5" t="s">
        <v>913</v>
      </c>
      <c r="W1" s="5"/>
      <c r="X1" s="5">
        <v>2025</v>
      </c>
      <c r="Y1" s="5">
        <v>2030</v>
      </c>
      <c r="Z1" s="5">
        <v>2035</v>
      </c>
      <c r="AA1" s="5">
        <v>2040</v>
      </c>
      <c r="AB1" s="5">
        <v>2045</v>
      </c>
      <c r="AC1" s="5">
        <v>2050</v>
      </c>
    </row>
    <row r="2" spans="1:45" x14ac:dyDescent="0.2">
      <c r="A2" s="6" t="s">
        <v>1</v>
      </c>
      <c r="B2" s="7" t="s">
        <v>914</v>
      </c>
      <c r="C2" s="8" t="s">
        <v>915</v>
      </c>
      <c r="D2" s="9" t="s">
        <v>916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76"/>
      <c r="L2" s="11"/>
      <c r="M2" s="11"/>
      <c r="N2" s="11"/>
      <c r="O2" s="11"/>
      <c r="P2" s="11"/>
      <c r="Q2" s="11"/>
      <c r="R2" s="11"/>
      <c r="S2" s="12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</row>
    <row r="3" spans="1:45" x14ac:dyDescent="0.2">
      <c r="A3" s="18" t="s">
        <v>1</v>
      </c>
      <c r="B3" s="7" t="s">
        <v>914</v>
      </c>
      <c r="C3" s="19" t="s">
        <v>915</v>
      </c>
      <c r="D3" s="20" t="s">
        <v>918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76"/>
      <c r="L3" s="11"/>
      <c r="M3" s="11"/>
      <c r="N3" s="11"/>
      <c r="O3" s="11"/>
      <c r="P3" s="11"/>
      <c r="Q3" s="11"/>
      <c r="R3" s="11"/>
      <c r="S3" s="12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</row>
    <row r="4" spans="1:45" ht="16" x14ac:dyDescent="0.2">
      <c r="A4" s="18" t="s">
        <v>1</v>
      </c>
      <c r="B4" s="7" t="s">
        <v>914</v>
      </c>
      <c r="C4" s="19" t="s">
        <v>915</v>
      </c>
      <c r="D4" s="20" t="s">
        <v>920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76"/>
      <c r="L4" s="11"/>
      <c r="M4" s="11"/>
      <c r="N4" s="11"/>
      <c r="O4" s="11"/>
      <c r="P4" s="11"/>
      <c r="Q4" s="11"/>
      <c r="R4" s="11"/>
      <c r="S4" s="11"/>
      <c r="T4" s="25" t="s">
        <v>921</v>
      </c>
      <c r="U4" s="26" t="s">
        <v>917</v>
      </c>
      <c r="V4" s="15" t="s">
        <v>922</v>
      </c>
      <c r="W4" s="16" t="s">
        <v>916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27">
        <v>0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16" x14ac:dyDescent="0.2">
      <c r="A5" s="18" t="s">
        <v>1</v>
      </c>
      <c r="B5" s="7" t="s">
        <v>914</v>
      </c>
      <c r="C5" s="19" t="s">
        <v>915</v>
      </c>
      <c r="D5" s="20" t="s">
        <v>923</v>
      </c>
      <c r="E5" s="10">
        <f>(Aggregated_By_Sector!C2+Aggregated_By_Sector!C10+Aggregated_By_Sector!C12)*1000</f>
        <v>12488.206379197241</v>
      </c>
      <c r="F5" s="10">
        <f>(Aggregated_By_Sector!D2+Aggregated_By_Sector!D10+Aggregated_By_Sector!D12)*1000</f>
        <v>11.173275282888453</v>
      </c>
      <c r="G5" s="10">
        <f>(Aggregated_By_Sector!E2+Aggregated_By_Sector!E10+Aggregated_By_Sector!E12)*1000</f>
        <v>0</v>
      </c>
      <c r="H5" s="10">
        <f>(Aggregated_By_Sector!F2+Aggregated_By_Sector!F10+Aggregated_By_Sector!F12)*1000</f>
        <v>0</v>
      </c>
      <c r="I5" s="10">
        <f>(Aggregated_By_Sector!G2+Aggregated_By_Sector!G10+Aggregated_By_Sector!G12)*1000</f>
        <v>0</v>
      </c>
      <c r="J5" s="10">
        <f>(Aggregated_By_Sector!H2+Aggregated_By_Sector!H10+Aggregated_By_Sector!H12)*1000</f>
        <v>2.1069439212024282E-2</v>
      </c>
      <c r="K5" s="76"/>
      <c r="L5" s="11"/>
      <c r="M5" s="11"/>
      <c r="N5" s="11"/>
      <c r="O5" s="11"/>
      <c r="P5" s="11"/>
      <c r="Q5" s="11"/>
      <c r="R5" s="11"/>
      <c r="S5" s="11"/>
      <c r="T5" s="28" t="s">
        <v>921</v>
      </c>
      <c r="U5" s="26" t="s">
        <v>917</v>
      </c>
      <c r="V5" s="15" t="s">
        <v>922</v>
      </c>
      <c r="W5" s="16" t="s">
        <v>918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29">
        <v>0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</row>
    <row r="6" spans="1:45" ht="16" x14ac:dyDescent="0.2">
      <c r="A6" s="18" t="s">
        <v>1</v>
      </c>
      <c r="B6" s="7" t="s">
        <v>914</v>
      </c>
      <c r="C6" s="19" t="s">
        <v>915</v>
      </c>
      <c r="D6" s="20" t="s">
        <v>924</v>
      </c>
      <c r="E6" s="10">
        <f>(Aggregated_By_Sector!C4)*1000</f>
        <v>4995.2825581882053</v>
      </c>
      <c r="F6" s="10">
        <f>(Aggregated_By_Sector!D4)*1000</f>
        <v>6.6844831899689652</v>
      </c>
      <c r="G6" s="10">
        <f>(Aggregated_By_Sector!E4)*1000</f>
        <v>3.1111092814054802</v>
      </c>
      <c r="H6" s="10">
        <f>(Aggregated_By_Sector!F4)*1000</f>
        <v>0</v>
      </c>
      <c r="I6" s="10">
        <f>(Aggregated_By_Sector!G4)*1000</f>
        <v>0</v>
      </c>
      <c r="J6" s="10">
        <f>(Aggregated_By_Sector!H4)*1000</f>
        <v>0</v>
      </c>
      <c r="K6" s="76"/>
      <c r="L6" s="11"/>
      <c r="M6" s="11"/>
      <c r="N6" s="11"/>
      <c r="O6" s="11"/>
      <c r="P6" s="11"/>
      <c r="Q6" s="11"/>
      <c r="R6" s="11"/>
      <c r="S6" s="11"/>
      <c r="T6" s="28" t="s">
        <v>921</v>
      </c>
      <c r="U6" s="26" t="s">
        <v>917</v>
      </c>
      <c r="V6" s="15" t="s">
        <v>922</v>
      </c>
      <c r="W6" s="16" t="s">
        <v>920</v>
      </c>
      <c r="X6" s="17">
        <v>0</v>
      </c>
      <c r="Y6" s="17">
        <v>4.0648531510000002E-2</v>
      </c>
      <c r="Z6" s="17">
        <v>5.4424899059999997E-2</v>
      </c>
      <c r="AA6" s="17">
        <v>6.1527494630000002E-4</v>
      </c>
      <c r="AB6" s="17">
        <v>1.3188794300000001E-2</v>
      </c>
      <c r="AC6" s="29">
        <v>9.339002862000001E-2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</row>
    <row r="7" spans="1:45" ht="16" x14ac:dyDescent="0.2">
      <c r="A7" s="18" t="s">
        <v>1</v>
      </c>
      <c r="B7" s="7" t="s">
        <v>914</v>
      </c>
      <c r="C7" s="19" t="s">
        <v>915</v>
      </c>
      <c r="D7" s="20" t="s">
        <v>925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76"/>
      <c r="L7" s="11"/>
      <c r="M7" s="11"/>
      <c r="N7" s="11"/>
      <c r="O7" s="11"/>
      <c r="P7" s="11"/>
      <c r="Q7" s="11"/>
      <c r="R7" s="11"/>
      <c r="S7" s="11"/>
      <c r="T7" s="28" t="s">
        <v>921</v>
      </c>
      <c r="U7" s="26" t="s">
        <v>917</v>
      </c>
      <c r="V7" s="15" t="s">
        <v>922</v>
      </c>
      <c r="W7" s="16" t="s">
        <v>923</v>
      </c>
      <c r="X7" s="17">
        <v>60360.902348255375</v>
      </c>
      <c r="Y7" s="17">
        <v>1897.2949659678179</v>
      </c>
      <c r="Z7" s="17">
        <v>1774.5666979600981</v>
      </c>
      <c r="AA7" s="17">
        <v>2.1044038319978841E-3</v>
      </c>
      <c r="AB7" s="17">
        <v>862.44162533395252</v>
      </c>
      <c r="AC7" s="17">
        <v>59.295380726152814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</row>
    <row r="8" spans="1:45" ht="16" x14ac:dyDescent="0.2">
      <c r="A8" s="18" t="s">
        <v>1</v>
      </c>
      <c r="B8" s="7" t="s">
        <v>914</v>
      </c>
      <c r="C8" s="19" t="s">
        <v>915</v>
      </c>
      <c r="D8" s="20" t="s">
        <v>926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76"/>
      <c r="L8" s="11"/>
      <c r="M8" s="11"/>
      <c r="N8" s="11"/>
      <c r="O8" s="11"/>
      <c r="P8" s="11"/>
      <c r="Q8" s="11"/>
      <c r="R8" s="11"/>
      <c r="S8" s="11"/>
      <c r="T8" s="28" t="s">
        <v>921</v>
      </c>
      <c r="U8" s="26" t="s">
        <v>917</v>
      </c>
      <c r="V8" s="15" t="s">
        <v>922</v>
      </c>
      <c r="W8" s="16" t="s">
        <v>924</v>
      </c>
      <c r="X8" s="17">
        <v>10624.420220541442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</row>
    <row r="9" spans="1:45" ht="16" x14ac:dyDescent="0.2">
      <c r="A9" s="18" t="s">
        <v>1</v>
      </c>
      <c r="B9" s="7" t="s">
        <v>914</v>
      </c>
      <c r="C9" s="19" t="s">
        <v>915</v>
      </c>
      <c r="D9" s="20" t="s">
        <v>927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76"/>
      <c r="L9" s="11"/>
      <c r="M9" s="11"/>
      <c r="N9" s="11"/>
      <c r="O9" s="11"/>
      <c r="P9" s="11"/>
      <c r="Q9" s="11"/>
      <c r="R9" s="11"/>
      <c r="S9" s="11"/>
      <c r="T9" s="28" t="s">
        <v>921</v>
      </c>
      <c r="U9" s="26" t="s">
        <v>917</v>
      </c>
      <c r="V9" s="15" t="s">
        <v>922</v>
      </c>
      <c r="W9" s="16" t="s">
        <v>925</v>
      </c>
      <c r="X9" s="17">
        <v>0</v>
      </c>
      <c r="Y9" s="17">
        <v>5.055111986E-2</v>
      </c>
      <c r="Z9" s="17">
        <v>0</v>
      </c>
      <c r="AA9" s="17">
        <v>0</v>
      </c>
      <c r="AB9" s="17">
        <v>0</v>
      </c>
      <c r="AC9" s="29">
        <v>0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</row>
    <row r="10" spans="1:45" ht="16" x14ac:dyDescent="0.2">
      <c r="A10" s="18" t="s">
        <v>1</v>
      </c>
      <c r="B10" s="7" t="s">
        <v>914</v>
      </c>
      <c r="C10" s="19" t="s">
        <v>915</v>
      </c>
      <c r="D10" s="20" t="s">
        <v>928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76"/>
      <c r="L10" s="11"/>
      <c r="M10" s="11"/>
      <c r="N10" s="11"/>
      <c r="O10" s="11"/>
      <c r="P10" s="11"/>
      <c r="Q10" s="11"/>
      <c r="R10" s="11"/>
      <c r="S10" s="11"/>
      <c r="T10" s="28" t="s">
        <v>921</v>
      </c>
      <c r="U10" s="26" t="s">
        <v>917</v>
      </c>
      <c r="V10" s="15" t="s">
        <v>922</v>
      </c>
      <c r="W10" s="16" t="s">
        <v>926</v>
      </c>
      <c r="X10" s="17">
        <v>1.096514528E-2</v>
      </c>
      <c r="Y10" s="17">
        <v>0</v>
      </c>
      <c r="Z10" s="17">
        <v>0</v>
      </c>
      <c r="AA10" s="17">
        <v>0</v>
      </c>
      <c r="AB10" s="17">
        <v>0</v>
      </c>
      <c r="AC10" s="29">
        <v>0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</row>
    <row r="11" spans="1:45" ht="16" x14ac:dyDescent="0.2">
      <c r="A11" s="18" t="s">
        <v>1</v>
      </c>
      <c r="B11" s="7" t="s">
        <v>914</v>
      </c>
      <c r="C11" s="19" t="s">
        <v>915</v>
      </c>
      <c r="D11" s="20" t="s">
        <v>929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76"/>
      <c r="L11" s="11"/>
      <c r="M11" s="11"/>
      <c r="N11" s="11"/>
      <c r="O11" s="11"/>
      <c r="P11" s="11"/>
      <c r="Q11" s="11"/>
      <c r="R11" s="11"/>
      <c r="S11" s="11"/>
      <c r="T11" s="28" t="s">
        <v>921</v>
      </c>
      <c r="U11" s="26" t="s">
        <v>917</v>
      </c>
      <c r="V11" s="15" t="s">
        <v>922</v>
      </c>
      <c r="W11" s="16" t="s">
        <v>927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29">
        <v>0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</row>
    <row r="12" spans="1:45" ht="16" x14ac:dyDescent="0.2">
      <c r="A12" s="18" t="s">
        <v>1</v>
      </c>
      <c r="B12" s="30" t="s">
        <v>914</v>
      </c>
      <c r="C12" s="31" t="s">
        <v>915</v>
      </c>
      <c r="D12" s="32" t="s">
        <v>930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76"/>
      <c r="L12" s="11"/>
      <c r="M12" s="11"/>
      <c r="N12" s="11"/>
      <c r="O12" s="11"/>
      <c r="P12" s="11"/>
      <c r="Q12" s="11"/>
      <c r="R12" s="11"/>
      <c r="S12" s="11"/>
      <c r="T12" s="28" t="s">
        <v>921</v>
      </c>
      <c r="U12" s="26" t="s">
        <v>917</v>
      </c>
      <c r="V12" s="15" t="s">
        <v>922</v>
      </c>
      <c r="W12" s="16" t="s">
        <v>928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29">
        <v>0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</row>
    <row r="13" spans="1:45" ht="16" x14ac:dyDescent="0.2">
      <c r="A13" s="6" t="s">
        <v>1</v>
      </c>
      <c r="B13" s="7" t="s">
        <v>931</v>
      </c>
      <c r="C13" s="19" t="s">
        <v>915</v>
      </c>
      <c r="D13" s="20" t="s">
        <v>916</v>
      </c>
      <c r="E13" s="10">
        <v>0</v>
      </c>
      <c r="F13" s="34">
        <v>0</v>
      </c>
      <c r="G13" s="34">
        <v>0</v>
      </c>
      <c r="H13" s="34">
        <v>0</v>
      </c>
      <c r="I13" s="34">
        <v>0</v>
      </c>
      <c r="J13" s="35">
        <v>0</v>
      </c>
      <c r="K13" s="76"/>
      <c r="L13" s="11"/>
      <c r="M13" s="11"/>
      <c r="N13" s="11"/>
      <c r="O13" s="11"/>
      <c r="P13" s="11"/>
      <c r="Q13" s="11"/>
      <c r="R13" s="11"/>
      <c r="S13" s="11"/>
      <c r="T13" s="28" t="s">
        <v>921</v>
      </c>
      <c r="U13" s="26" t="s">
        <v>917</v>
      </c>
      <c r="V13" s="15" t="s">
        <v>922</v>
      </c>
      <c r="W13" s="16" t="s">
        <v>929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29">
        <v>0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</row>
    <row r="14" spans="1:45" ht="16" x14ac:dyDescent="0.2">
      <c r="A14" s="18" t="s">
        <v>1</v>
      </c>
      <c r="B14" s="7" t="s">
        <v>931</v>
      </c>
      <c r="C14" s="19" t="s">
        <v>915</v>
      </c>
      <c r="D14" s="20" t="s">
        <v>918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36">
        <v>0</v>
      </c>
      <c r="K14" s="76"/>
      <c r="L14" s="11"/>
      <c r="M14" s="11"/>
      <c r="N14" s="11"/>
      <c r="O14" s="11"/>
      <c r="P14" s="11"/>
      <c r="Q14" s="11"/>
      <c r="R14" s="11"/>
      <c r="S14" s="11"/>
      <c r="T14" s="37" t="s">
        <v>921</v>
      </c>
      <c r="U14" s="38" t="s">
        <v>917</v>
      </c>
      <c r="V14" s="22" t="s">
        <v>922</v>
      </c>
      <c r="W14" s="23" t="s">
        <v>930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39">
        <v>0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16" x14ac:dyDescent="0.2">
      <c r="A15" s="18" t="s">
        <v>1</v>
      </c>
      <c r="B15" s="7" t="s">
        <v>931</v>
      </c>
      <c r="C15" s="19" t="s">
        <v>915</v>
      </c>
      <c r="D15" s="20" t="s">
        <v>920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36">
        <v>0</v>
      </c>
      <c r="K15" s="76"/>
      <c r="L15" s="11"/>
      <c r="M15" s="11"/>
      <c r="N15" s="11"/>
      <c r="O15" s="11"/>
      <c r="P15" s="11"/>
      <c r="Q15" s="11"/>
      <c r="R15" s="11"/>
      <c r="S15" s="11"/>
      <c r="T15" s="93" t="s">
        <v>932</v>
      </c>
      <c r="U15" s="94"/>
      <c r="V15" s="94"/>
      <c r="W15" s="94"/>
      <c r="X15" s="94"/>
      <c r="Y15" s="94"/>
      <c r="Z15" s="94"/>
      <c r="AA15" s="94"/>
      <c r="AB15" s="94"/>
      <c r="AC15" s="95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</row>
    <row r="16" spans="1:45" x14ac:dyDescent="0.2">
      <c r="A16" s="18" t="s">
        <v>1</v>
      </c>
      <c r="B16" s="7" t="s">
        <v>931</v>
      </c>
      <c r="C16" s="19" t="s">
        <v>915</v>
      </c>
      <c r="D16" s="20" t="s">
        <v>923</v>
      </c>
      <c r="E16" s="10">
        <f>(SUM(Aggregated_By_Sector!C13:C20)+SUM(Aggregated_By_Sector!C22:C32))*1000</f>
        <v>4174491.3338281359</v>
      </c>
      <c r="F16" s="10">
        <f>(SUM(Aggregated_By_Sector!D13:D20)+SUM(Aggregated_By_Sector!D22:D32))*1000</f>
        <v>49013.468899749627</v>
      </c>
      <c r="G16" s="10">
        <f>(SUM(Aggregated_By_Sector!E13:E20)+SUM(Aggregated_By_Sector!E22:E32))*1000</f>
        <v>29.701539944844001</v>
      </c>
      <c r="H16" s="10">
        <f>(SUM(Aggregated_By_Sector!F13:F20)+SUM(Aggregated_By_Sector!F22:F32))*1000</f>
        <v>371.4709786755738</v>
      </c>
      <c r="I16" s="10">
        <f>(SUM(Aggregated_By_Sector!G13:G20)+SUM(Aggregated_By_Sector!G22:G32))*1000</f>
        <v>16.05722712836689</v>
      </c>
      <c r="J16" s="10">
        <f>(SUM(Aggregated_By_Sector!H13:H20)+SUM(Aggregated_By_Sector!H22:H32))*1000</f>
        <v>24.295078277847345</v>
      </c>
      <c r="K16" s="76"/>
      <c r="L16" s="11"/>
      <c r="M16" s="11"/>
      <c r="N16" s="11"/>
      <c r="O16" s="11"/>
      <c r="P16" s="11"/>
      <c r="Q16" s="11"/>
      <c r="R16" s="11"/>
      <c r="S16" s="11"/>
      <c r="T16" s="40" t="s">
        <v>912</v>
      </c>
      <c r="U16" s="41" t="s">
        <v>787</v>
      </c>
      <c r="V16" s="41" t="s">
        <v>913</v>
      </c>
      <c r="W16" s="41"/>
      <c r="X16" s="41">
        <v>2025</v>
      </c>
      <c r="Y16" s="41">
        <v>2030</v>
      </c>
      <c r="Z16" s="41">
        <v>2035</v>
      </c>
      <c r="AA16" s="41">
        <v>2040</v>
      </c>
      <c r="AB16" s="41">
        <v>2045</v>
      </c>
      <c r="AC16" s="42">
        <v>2050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spans="1:45" x14ac:dyDescent="0.2">
      <c r="A17" s="18" t="s">
        <v>1</v>
      </c>
      <c r="B17" s="7" t="s">
        <v>931</v>
      </c>
      <c r="C17" s="19" t="s">
        <v>915</v>
      </c>
      <c r="D17" s="20" t="s">
        <v>924</v>
      </c>
      <c r="E17" s="10">
        <f>(Aggregated_By_Sector!C21)*1000</f>
        <v>8.4104367976225516E-2</v>
      </c>
      <c r="F17" s="10">
        <f>(Aggregated_By_Sector!D21)*1000</f>
        <v>7283.659419233697</v>
      </c>
      <c r="G17" s="10">
        <f>(Aggregated_By_Sector!E21)*1000</f>
        <v>1.0475848006711039</v>
      </c>
      <c r="H17" s="10">
        <f>(Aggregated_By_Sector!F21)*1000</f>
        <v>0</v>
      </c>
      <c r="I17" s="10">
        <f>(Aggregated_By_Sector!G21)*1000</f>
        <v>8.6491864316428568</v>
      </c>
      <c r="J17" s="10">
        <f>(Aggregated_By_Sector!H21)*1000</f>
        <v>0</v>
      </c>
      <c r="K17" s="76"/>
      <c r="L17" s="11"/>
      <c r="M17" s="11"/>
      <c r="N17" s="11"/>
      <c r="O17" s="11"/>
      <c r="P17" s="11"/>
      <c r="Q17" s="11"/>
      <c r="R17" s="11"/>
      <c r="S17" s="12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x14ac:dyDescent="0.2">
      <c r="A18" s="18" t="s">
        <v>1</v>
      </c>
      <c r="B18" s="7" t="s">
        <v>931</v>
      </c>
      <c r="C18" s="19" t="s">
        <v>915</v>
      </c>
      <c r="D18" s="20" t="s">
        <v>925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36">
        <v>0</v>
      </c>
      <c r="K18" s="76"/>
      <c r="L18" s="11"/>
      <c r="M18" s="11"/>
      <c r="N18" s="11"/>
      <c r="O18" s="11"/>
      <c r="P18" s="11"/>
      <c r="Q18" s="11"/>
      <c r="R18" s="11"/>
      <c r="S18" s="12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x14ac:dyDescent="0.2">
      <c r="A19" s="18" t="s">
        <v>1</v>
      </c>
      <c r="B19" s="7" t="s">
        <v>931</v>
      </c>
      <c r="C19" s="19" t="s">
        <v>915</v>
      </c>
      <c r="D19" s="20" t="s">
        <v>926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36">
        <v>0</v>
      </c>
      <c r="K19" s="76"/>
      <c r="L19" s="11"/>
      <c r="M19" s="11"/>
      <c r="N19" s="11"/>
      <c r="O19" s="11"/>
      <c r="P19" s="11"/>
      <c r="Q19" s="11"/>
      <c r="R19" s="11"/>
      <c r="S19" s="11"/>
      <c r="T19" s="48" t="s">
        <v>921</v>
      </c>
      <c r="U19" s="49" t="s">
        <v>933</v>
      </c>
      <c r="V19" s="50" t="s">
        <v>922</v>
      </c>
      <c r="W19" s="50" t="s">
        <v>916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1">
        <v>0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6" x14ac:dyDescent="0.2">
      <c r="A20" s="18" t="s">
        <v>1</v>
      </c>
      <c r="B20" s="7" t="s">
        <v>931</v>
      </c>
      <c r="C20" s="19" t="s">
        <v>915</v>
      </c>
      <c r="D20" s="20" t="s">
        <v>927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76"/>
      <c r="L20"/>
      <c r="M20" s="52">
        <v>2025</v>
      </c>
      <c r="N20" s="52">
        <v>2030</v>
      </c>
      <c r="O20" s="52">
        <v>2035</v>
      </c>
      <c r="P20" s="52">
        <v>2040</v>
      </c>
      <c r="Q20" s="52">
        <v>2045</v>
      </c>
      <c r="R20" s="52">
        <v>2050</v>
      </c>
      <c r="S20" s="11"/>
      <c r="T20" s="53" t="s">
        <v>921</v>
      </c>
      <c r="U20" s="54" t="s">
        <v>933</v>
      </c>
      <c r="V20" s="11" t="s">
        <v>922</v>
      </c>
      <c r="W20" s="11" t="s">
        <v>918</v>
      </c>
      <c r="X20" s="11">
        <v>1465.019742</v>
      </c>
      <c r="Y20" s="11">
        <v>967.71764640000004</v>
      </c>
      <c r="Z20" s="11">
        <v>869.80191849999994</v>
      </c>
      <c r="AA20" s="11">
        <v>803.23730990000001</v>
      </c>
      <c r="AB20" s="11">
        <v>788.76710159999993</v>
      </c>
      <c r="AC20" s="55">
        <v>771.83780150000007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</row>
    <row r="21" spans="1:45" x14ac:dyDescent="0.2">
      <c r="A21" s="18" t="s">
        <v>1</v>
      </c>
      <c r="B21" s="7" t="s">
        <v>931</v>
      </c>
      <c r="C21" s="19" t="s">
        <v>915</v>
      </c>
      <c r="D21" s="20" t="s">
        <v>928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76"/>
      <c r="S21" s="11"/>
      <c r="T21" s="53" t="s">
        <v>921</v>
      </c>
      <c r="U21" s="54" t="s">
        <v>933</v>
      </c>
      <c r="V21" s="11" t="s">
        <v>922</v>
      </c>
      <c r="W21" s="11" t="s">
        <v>920</v>
      </c>
      <c r="X21" s="11"/>
      <c r="Y21" s="11"/>
      <c r="Z21" s="11"/>
      <c r="AA21" s="11"/>
      <c r="AB21" s="11"/>
      <c r="AC21" s="55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</row>
    <row r="22" spans="1:45" ht="16" x14ac:dyDescent="0.2">
      <c r="A22" s="18" t="s">
        <v>1</v>
      </c>
      <c r="B22" s="7" t="s">
        <v>931</v>
      </c>
      <c r="C22" s="19" t="s">
        <v>915</v>
      </c>
      <c r="D22" s="20" t="s">
        <v>929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76"/>
      <c r="L22"/>
      <c r="M22" s="17"/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/>
      <c r="T22" s="53" t="s">
        <v>921</v>
      </c>
      <c r="U22" s="54" t="s">
        <v>933</v>
      </c>
      <c r="V22" s="11" t="s">
        <v>922</v>
      </c>
      <c r="W22" s="11" t="s">
        <v>923</v>
      </c>
      <c r="X22" s="11">
        <v>252410.08214381139</v>
      </c>
      <c r="Y22" s="11">
        <v>233942.87314031069</v>
      </c>
      <c r="Z22" s="11">
        <v>224800.57489386128</v>
      </c>
      <c r="AA22" s="11">
        <v>198902.226858982</v>
      </c>
      <c r="AB22" s="11">
        <v>177597.10526287809</v>
      </c>
      <c r="AC22" s="55">
        <v>156191.33758796091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</row>
    <row r="23" spans="1:45" ht="16" x14ac:dyDescent="0.2">
      <c r="A23" s="18" t="s">
        <v>1</v>
      </c>
      <c r="B23" s="30" t="s">
        <v>931</v>
      </c>
      <c r="C23" s="31" t="s">
        <v>915</v>
      </c>
      <c r="D23" s="32" t="s">
        <v>930</v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56">
        <v>0</v>
      </c>
      <c r="K23" s="76"/>
      <c r="L23"/>
      <c r="M23" s="17"/>
      <c r="N23" s="11"/>
      <c r="O23" s="11"/>
      <c r="P23" s="11"/>
      <c r="Q23" s="11"/>
      <c r="R23" s="11"/>
      <c r="S23" s="11"/>
      <c r="T23" s="53"/>
      <c r="U23" s="54"/>
      <c r="V23" s="11"/>
      <c r="W23" s="11"/>
      <c r="X23" s="11"/>
      <c r="Y23" s="11"/>
      <c r="Z23" s="11"/>
      <c r="AA23" s="11"/>
      <c r="AB23" s="11"/>
      <c r="AC23" s="55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</row>
    <row r="24" spans="1:45" x14ac:dyDescent="0.2">
      <c r="A24" s="6" t="s">
        <v>1</v>
      </c>
      <c r="B24" s="7" t="s">
        <v>937</v>
      </c>
      <c r="C24" s="19" t="s">
        <v>915</v>
      </c>
      <c r="D24" s="20" t="s">
        <v>916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75"/>
      <c r="L24" s="11"/>
      <c r="M24" s="11"/>
      <c r="N24" s="11"/>
      <c r="O24" s="11"/>
      <c r="P24" s="11"/>
      <c r="Q24" s="11"/>
      <c r="R24" s="11"/>
      <c r="S24" s="11"/>
      <c r="T24" s="53" t="s">
        <v>921</v>
      </c>
      <c r="U24" s="54" t="s">
        <v>933</v>
      </c>
      <c r="V24" s="11" t="s">
        <v>922</v>
      </c>
      <c r="W24" s="11" t="s">
        <v>925</v>
      </c>
      <c r="X24" s="11">
        <v>16000.000260000001</v>
      </c>
      <c r="Y24" s="11">
        <v>11844.510700000001</v>
      </c>
      <c r="Z24" s="11">
        <v>11305.710599999999</v>
      </c>
      <c r="AA24" s="11">
        <v>11306.959920000001</v>
      </c>
      <c r="AB24" s="11">
        <v>11311.851929999999</v>
      </c>
      <c r="AC24" s="55">
        <v>11304.31063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</row>
    <row r="25" spans="1:45" x14ac:dyDescent="0.2">
      <c r="A25" s="18" t="s">
        <v>1</v>
      </c>
      <c r="B25" s="7" t="s">
        <v>937</v>
      </c>
      <c r="C25" s="19" t="s">
        <v>915</v>
      </c>
      <c r="D25" s="20" t="s">
        <v>918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75"/>
      <c r="L25" s="11"/>
      <c r="M25" s="11"/>
      <c r="N25" s="11"/>
      <c r="O25" s="11"/>
      <c r="P25" s="11"/>
      <c r="Q25" s="11"/>
      <c r="R25" s="11"/>
      <c r="S25" s="11"/>
      <c r="T25" s="53" t="s">
        <v>921</v>
      </c>
      <c r="U25" s="54" t="s">
        <v>933</v>
      </c>
      <c r="V25" s="11" t="s">
        <v>922</v>
      </c>
      <c r="W25" s="11" t="s">
        <v>926</v>
      </c>
      <c r="X25" s="11">
        <v>0</v>
      </c>
      <c r="Y25" s="11">
        <v>0.19531542339999999</v>
      </c>
      <c r="Z25" s="11">
        <v>7.0579573000000007E-2</v>
      </c>
      <c r="AA25" s="11">
        <v>0.36566068909999999</v>
      </c>
      <c r="AB25" s="11">
        <v>2411.6024640000001</v>
      </c>
      <c r="AC25" s="55">
        <v>1776.896029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</row>
    <row r="26" spans="1:45" x14ac:dyDescent="0.2">
      <c r="A26" s="18" t="s">
        <v>1</v>
      </c>
      <c r="B26" s="7" t="s">
        <v>937</v>
      </c>
      <c r="C26" s="19" t="s">
        <v>915</v>
      </c>
      <c r="D26" s="20" t="s">
        <v>920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75"/>
      <c r="L26" s="11"/>
      <c r="M26" s="11"/>
      <c r="N26" s="11"/>
      <c r="O26" s="11"/>
      <c r="P26" s="11"/>
      <c r="Q26" s="11"/>
      <c r="R26" s="11"/>
      <c r="S26" s="11"/>
      <c r="T26" s="53" t="s">
        <v>921</v>
      </c>
      <c r="U26" s="54" t="s">
        <v>933</v>
      </c>
      <c r="V26" s="11" t="s">
        <v>922</v>
      </c>
      <c r="W26" s="11" t="s">
        <v>927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55">
        <v>0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</row>
    <row r="27" spans="1:45" x14ac:dyDescent="0.2">
      <c r="A27" s="18" t="s">
        <v>1</v>
      </c>
      <c r="B27" s="7" t="s">
        <v>937</v>
      </c>
      <c r="C27" s="19" t="s">
        <v>915</v>
      </c>
      <c r="D27" s="20" t="s">
        <v>923</v>
      </c>
      <c r="E27" s="10">
        <f>(SUM(Aggregated_By_Sector!C80:C92)+Aggregated_By_Sector!C78+SUM(Aggregated_By_Sector!C97:C126)+Aggregated_By_Sector!C94+Aggregated_By_Sector!C95+SUM(Aggregated_By_Sector!C262:C268)+SUM(Aggregated_By_Sector!C255:C259))*1000+((Aggregated_By_Sector!C93+Aggregated_By_Sector!C260)*1000)</f>
        <v>3720373.2129234471</v>
      </c>
      <c r="F27" s="10">
        <f>(SUM(Aggregated_By_Sector!D80:D92)+Aggregated_By_Sector!D78+SUM(Aggregated_By_Sector!D97:D126)+Aggregated_By_Sector!D94+Aggregated_By_Sector!D95+SUM(Aggregated_By_Sector!D262:D268)+SUM(Aggregated_By_Sector!D255:D259))*1000+((Aggregated_By_Sector!D93+Aggregated_By_Sector!D260)*1000)</f>
        <v>24361.678052528252</v>
      </c>
      <c r="G27" s="10">
        <f>(SUM(Aggregated_By_Sector!E80:E92)+Aggregated_By_Sector!E78+SUM(Aggregated_By_Sector!E97:E126)+Aggregated_By_Sector!E94+Aggregated_By_Sector!E95+SUM(Aggregated_By_Sector!E262:E268)+SUM(Aggregated_By_Sector!E255:E259))*1000+((Aggregated_By_Sector!E93+Aggregated_By_Sector!E260)*1000)</f>
        <v>1591.1443128202206</v>
      </c>
      <c r="H27" s="10">
        <f>(SUM(Aggregated_By_Sector!F80:F92)+Aggregated_By_Sector!F78+SUM(Aggregated_By_Sector!F97:F126)+Aggregated_By_Sector!F94+Aggregated_By_Sector!F95+SUM(Aggregated_By_Sector!F262:F268)+SUM(Aggregated_By_Sector!F255:F259))*1000+((Aggregated_By_Sector!F93+Aggregated_By_Sector!F260)*1000)</f>
        <v>1423.1239105168402</v>
      </c>
      <c r="I27" s="10">
        <f>(SUM(Aggregated_By_Sector!G80:G92)+Aggregated_By_Sector!G78+SUM(Aggregated_By_Sector!G97:G126)+Aggregated_By_Sector!G94+Aggregated_By_Sector!G95+SUM(Aggregated_By_Sector!G262:G268)+SUM(Aggregated_By_Sector!G255:G259))*1000+((Aggregated_By_Sector!G93+Aggregated_By_Sector!G260)*1000)</f>
        <v>541.165067706223</v>
      </c>
      <c r="J27" s="10">
        <f>(SUM(Aggregated_By_Sector!H80:H92)+Aggregated_By_Sector!H78+SUM(Aggregated_By_Sector!H97:H126)+Aggregated_By_Sector!H94+Aggregated_By_Sector!H95+SUM(Aggregated_By_Sector!H262:H268)+SUM(Aggregated_By_Sector!H255:H259))*1000+((Aggregated_By_Sector!H93+Aggregated_By_Sector!H260)*1000)</f>
        <v>139392.68890838968</v>
      </c>
      <c r="K27" s="75"/>
      <c r="L27" s="11"/>
      <c r="M27" s="11"/>
      <c r="N27" s="11"/>
      <c r="O27" s="11"/>
      <c r="P27" s="11"/>
      <c r="Q27" s="11"/>
      <c r="R27" s="11"/>
      <c r="S27" s="11"/>
      <c r="T27" s="53" t="s">
        <v>921</v>
      </c>
      <c r="U27" s="54" t="s">
        <v>933</v>
      </c>
      <c r="V27" s="11" t="s">
        <v>922</v>
      </c>
      <c r="W27" s="11" t="s">
        <v>928</v>
      </c>
      <c r="X27" s="11">
        <v>0</v>
      </c>
      <c r="Y27" s="11">
        <v>1.4252681973552569E-5</v>
      </c>
      <c r="Z27" s="11">
        <v>4.1136966851502381E-6</v>
      </c>
      <c r="AA27" s="11">
        <v>8.6811630012424879E-8</v>
      </c>
      <c r="AB27" s="11">
        <v>1.8384282793978965</v>
      </c>
      <c r="AC27" s="55">
        <v>2.0941155774381812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</row>
    <row r="28" spans="1:45" x14ac:dyDescent="0.2">
      <c r="A28" s="18" t="s">
        <v>1</v>
      </c>
      <c r="B28" s="7" t="s">
        <v>937</v>
      </c>
      <c r="C28" s="19" t="s">
        <v>915</v>
      </c>
      <c r="D28" s="20" t="s">
        <v>924</v>
      </c>
      <c r="E28" s="10">
        <f>(Aggregated_By_Sector!C96+Aggregated_By_Sector!C261)*1000</f>
        <v>136716.81432954376</v>
      </c>
      <c r="F28" s="10">
        <f>(Aggregated_By_Sector!D96+Aggregated_By_Sector!D261)*1000</f>
        <v>1256.2759263808832</v>
      </c>
      <c r="G28" s="10">
        <f>(Aggregated_By_Sector!E96+Aggregated_By_Sector!E261)*1000</f>
        <v>1880.6304045942668</v>
      </c>
      <c r="H28" s="10">
        <f>(Aggregated_By_Sector!F96+Aggregated_By_Sector!F261)*1000</f>
        <v>46.411126249633206</v>
      </c>
      <c r="I28" s="10">
        <f>(Aggregated_By_Sector!G96+Aggregated_By_Sector!G261)*1000</f>
        <v>5.5435188192758618E-2</v>
      </c>
      <c r="J28" s="10">
        <f>(Aggregated_By_Sector!H96+Aggregated_By_Sector!H261)*1000</f>
        <v>19689.245493357848</v>
      </c>
      <c r="K28" s="75" t="b">
        <f>(SUM(E24:E36)=(SUM(Aggregated_By_Sector!C78:C126)+SUM(Aggregated_By_Sector!C255:C268))*1000)</f>
        <v>1</v>
      </c>
      <c r="L28" s="11"/>
      <c r="M28" s="11"/>
      <c r="N28" s="11"/>
      <c r="O28" s="11"/>
      <c r="P28" s="11"/>
      <c r="Q28" s="11"/>
      <c r="R28" s="11"/>
      <c r="S28" s="11"/>
      <c r="T28" s="53" t="s">
        <v>921</v>
      </c>
      <c r="U28" s="54" t="s">
        <v>933</v>
      </c>
      <c r="V28" s="11" t="s">
        <v>922</v>
      </c>
      <c r="W28" s="11" t="s">
        <v>929</v>
      </c>
      <c r="X28" s="11">
        <v>1.4134539309999999E-2</v>
      </c>
      <c r="Y28" s="11">
        <v>9.2463592022982262</v>
      </c>
      <c r="Z28" s="11">
        <v>3.1531051217021053</v>
      </c>
      <c r="AA28" s="11">
        <v>4.1052398939874717</v>
      </c>
      <c r="AB28" s="11">
        <v>2.2750715167544215</v>
      </c>
      <c r="AC28" s="55">
        <v>1.0792211998593528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</row>
    <row r="29" spans="1:45" x14ac:dyDescent="0.2">
      <c r="A29" s="18" t="s">
        <v>1</v>
      </c>
      <c r="B29" s="7" t="s">
        <v>937</v>
      </c>
      <c r="C29" s="19" t="s">
        <v>915</v>
      </c>
      <c r="D29" s="20" t="s">
        <v>925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75"/>
      <c r="L29" s="11"/>
      <c r="M29" s="11"/>
      <c r="N29" s="11"/>
      <c r="O29" s="11"/>
      <c r="P29" s="11"/>
      <c r="Q29" s="11"/>
      <c r="R29" s="11"/>
      <c r="S29" s="11"/>
      <c r="T29" s="57" t="s">
        <v>921</v>
      </c>
      <c r="U29" s="58" t="s">
        <v>933</v>
      </c>
      <c r="V29" s="46" t="s">
        <v>922</v>
      </c>
      <c r="W29" s="46" t="s">
        <v>930</v>
      </c>
      <c r="X29" s="46"/>
      <c r="Y29" s="46"/>
      <c r="Z29" s="46">
        <v>5.5175528120761926E-7</v>
      </c>
      <c r="AA29" s="46">
        <v>1.9531128589411029E-8</v>
      </c>
      <c r="AB29" s="46">
        <v>0.34481905124372125</v>
      </c>
      <c r="AC29" s="47">
        <v>0.24224624621851759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</row>
    <row r="30" spans="1:45" x14ac:dyDescent="0.2">
      <c r="A30" s="18" t="s">
        <v>1</v>
      </c>
      <c r="B30" s="7" t="s">
        <v>937</v>
      </c>
      <c r="C30" s="19" t="s">
        <v>915</v>
      </c>
      <c r="D30" s="20" t="s">
        <v>926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75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</row>
    <row r="31" spans="1:45" x14ac:dyDescent="0.2">
      <c r="A31" s="18" t="s">
        <v>1</v>
      </c>
      <c r="B31" s="7" t="s">
        <v>937</v>
      </c>
      <c r="C31" s="19" t="s">
        <v>915</v>
      </c>
      <c r="D31" s="20" t="s">
        <v>927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75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</row>
    <row r="32" spans="1:45" x14ac:dyDescent="0.2">
      <c r="A32" s="18" t="s">
        <v>1</v>
      </c>
      <c r="B32" s="7" t="s">
        <v>937</v>
      </c>
      <c r="C32" s="19" t="s">
        <v>915</v>
      </c>
      <c r="D32" s="20" t="s">
        <v>928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75"/>
      <c r="L32" s="11"/>
      <c r="M32" s="11"/>
      <c r="N32" s="11"/>
      <c r="O32" s="11"/>
      <c r="P32" s="11"/>
      <c r="Q32" s="11"/>
      <c r="R32" s="11"/>
      <c r="S32" s="11"/>
      <c r="T32" s="11"/>
      <c r="U32" s="11">
        <v>2025</v>
      </c>
      <c r="V32" s="11">
        <v>2030</v>
      </c>
      <c r="W32" s="11">
        <v>2035</v>
      </c>
      <c r="X32" s="11">
        <v>2040</v>
      </c>
      <c r="Y32" s="11">
        <v>2045</v>
      </c>
      <c r="Z32" s="11">
        <v>2050</v>
      </c>
      <c r="AA32" s="11" t="s">
        <v>944</v>
      </c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</row>
    <row r="33" spans="1:45" x14ac:dyDescent="0.2">
      <c r="A33" s="18" t="s">
        <v>1</v>
      </c>
      <c r="B33" s="7" t="s">
        <v>937</v>
      </c>
      <c r="C33" s="19" t="s">
        <v>915</v>
      </c>
      <c r="D33" s="20" t="s">
        <v>929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75"/>
      <c r="L33" s="11"/>
      <c r="M33" s="11"/>
      <c r="N33" s="11"/>
      <c r="O33" s="11"/>
      <c r="P33" s="11"/>
      <c r="Q33" s="11"/>
      <c r="R33" s="11"/>
      <c r="S33" s="97" t="s">
        <v>1014</v>
      </c>
      <c r="T33" s="11" t="s">
        <v>1015</v>
      </c>
      <c r="U33" s="11"/>
      <c r="V33" s="11">
        <v>9.2307221702978871E-3</v>
      </c>
      <c r="W33" s="11">
        <v>9.7603110127944034E-3</v>
      </c>
      <c r="X33" s="11">
        <v>0.2184999128597164</v>
      </c>
      <c r="Y33" s="11">
        <v>2.935566190198698E-2</v>
      </c>
      <c r="Z33" s="11">
        <v>0.4462628954055014</v>
      </c>
      <c r="AA33" s="11">
        <v>0.11156572385137535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</row>
    <row r="34" spans="1:45" ht="16" x14ac:dyDescent="0.2">
      <c r="A34" s="18" t="s">
        <v>1</v>
      </c>
      <c r="B34" s="7" t="s">
        <v>937</v>
      </c>
      <c r="C34" s="19" t="s">
        <v>915</v>
      </c>
      <c r="D34" s="20" t="s">
        <v>935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75"/>
      <c r="L34" s="11"/>
      <c r="M34" s="11"/>
      <c r="N34" s="11"/>
      <c r="O34" s="11"/>
      <c r="P34" s="11"/>
      <c r="Q34" s="11"/>
      <c r="R34" s="11"/>
      <c r="S34" s="97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</row>
    <row r="35" spans="1:45" x14ac:dyDescent="0.2">
      <c r="A35" s="18" t="s">
        <v>1</v>
      </c>
      <c r="B35" s="7" t="s">
        <v>937</v>
      </c>
      <c r="C35" s="19" t="s">
        <v>915</v>
      </c>
      <c r="D35" s="20" t="s">
        <v>936</v>
      </c>
      <c r="E35" s="10">
        <f>(Aggregated_By_Sector!C79)*1000</f>
        <v>0.16899602422942109</v>
      </c>
      <c r="F35" s="10">
        <f>(Aggregated_By_Sector!D79)*1000</f>
        <v>0.8547011929373951</v>
      </c>
      <c r="G35" s="10">
        <f>(Aggregated_By_Sector!E79)*1000</f>
        <v>0.59937420183176848</v>
      </c>
      <c r="H35" s="10">
        <f>(Aggregated_By_Sector!F79)*1000</f>
        <v>0</v>
      </c>
      <c r="I35" s="10">
        <f>(Aggregated_By_Sector!G79)*1000</f>
        <v>0</v>
      </c>
      <c r="J35" s="10">
        <f>(Aggregated_By_Sector!H79)*1000</f>
        <v>0</v>
      </c>
      <c r="K35" s="75"/>
      <c r="L35" s="11"/>
      <c r="M35" s="11"/>
      <c r="N35" s="11"/>
      <c r="O35" s="11"/>
      <c r="P35" s="11"/>
      <c r="Q35" s="11"/>
      <c r="R35" s="11"/>
      <c r="S35" s="97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</row>
    <row r="36" spans="1:45" x14ac:dyDescent="0.2">
      <c r="A36" s="18" t="s">
        <v>1</v>
      </c>
      <c r="B36" s="30" t="s">
        <v>937</v>
      </c>
      <c r="C36" s="31" t="s">
        <v>915</v>
      </c>
      <c r="D36" s="32" t="s">
        <v>930</v>
      </c>
      <c r="E36" s="33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75"/>
      <c r="L36" s="11"/>
      <c r="M36" s="11"/>
      <c r="N36" s="11"/>
      <c r="O36" s="11"/>
      <c r="P36" s="11"/>
      <c r="Q36" s="11"/>
      <c r="R36" s="11"/>
      <c r="S36" s="97"/>
      <c r="T36" s="11" t="s">
        <v>1016</v>
      </c>
      <c r="U36" s="11"/>
      <c r="V36" s="11">
        <v>0</v>
      </c>
      <c r="W36" s="11">
        <v>0</v>
      </c>
      <c r="X36" s="11">
        <v>1446721.853696893</v>
      </c>
      <c r="Y36" s="11">
        <v>0</v>
      </c>
      <c r="Z36" s="11">
        <v>0</v>
      </c>
      <c r="AA36" s="11">
        <v>0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</row>
    <row r="37" spans="1:45" x14ac:dyDescent="0.2">
      <c r="A37" s="6" t="s">
        <v>1</v>
      </c>
      <c r="B37" s="7" t="s">
        <v>938</v>
      </c>
      <c r="C37" s="19" t="s">
        <v>915</v>
      </c>
      <c r="D37" s="20" t="s">
        <v>916</v>
      </c>
      <c r="E37" s="10">
        <v>0</v>
      </c>
      <c r="F37" s="59">
        <v>0</v>
      </c>
      <c r="G37" s="59">
        <v>0</v>
      </c>
      <c r="H37" s="59">
        <v>0</v>
      </c>
      <c r="I37" s="59">
        <v>0</v>
      </c>
      <c r="J37" s="60">
        <v>0</v>
      </c>
      <c r="K37" s="76"/>
      <c r="L37" s="11"/>
      <c r="M37" s="11"/>
      <c r="N37" s="11"/>
      <c r="O37" s="11"/>
      <c r="P37" s="11"/>
      <c r="Q37" s="11"/>
      <c r="R37" s="11"/>
      <c r="S37" s="97"/>
      <c r="T37" s="11" t="s">
        <v>1017</v>
      </c>
      <c r="U37" s="11"/>
      <c r="V37" s="11">
        <v>575030.44436162035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</row>
    <row r="38" spans="1:45" x14ac:dyDescent="0.2">
      <c r="A38" s="18" t="s">
        <v>1</v>
      </c>
      <c r="B38" s="7" t="s">
        <v>938</v>
      </c>
      <c r="C38" s="19" t="s">
        <v>915</v>
      </c>
      <c r="D38" s="20" t="s">
        <v>918</v>
      </c>
      <c r="E38" s="10">
        <v>0</v>
      </c>
      <c r="F38" s="34">
        <v>0</v>
      </c>
      <c r="G38" s="34">
        <v>0</v>
      </c>
      <c r="H38" s="34">
        <v>0</v>
      </c>
      <c r="I38" s="34">
        <v>0</v>
      </c>
      <c r="J38" s="35">
        <v>0</v>
      </c>
      <c r="K38" s="76"/>
      <c r="L38" s="11"/>
      <c r="M38" s="11"/>
      <c r="N38" s="11"/>
      <c r="O38" s="11"/>
      <c r="P38" s="11"/>
      <c r="Q38" s="11"/>
      <c r="R38" s="11"/>
      <c r="S38" s="97"/>
      <c r="T38" s="11" t="s">
        <v>1018</v>
      </c>
      <c r="U38" s="11"/>
      <c r="V38" s="11">
        <v>620.18389830905392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</row>
    <row r="39" spans="1:45" x14ac:dyDescent="0.2">
      <c r="A39" s="18" t="s">
        <v>1</v>
      </c>
      <c r="B39" s="7" t="s">
        <v>938</v>
      </c>
      <c r="C39" s="19" t="s">
        <v>915</v>
      </c>
      <c r="D39" s="20" t="s">
        <v>920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36">
        <v>0</v>
      </c>
      <c r="K39" s="76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</row>
    <row r="40" spans="1:45" x14ac:dyDescent="0.2">
      <c r="A40" s="18" t="s">
        <v>1</v>
      </c>
      <c r="B40" s="7" t="s">
        <v>938</v>
      </c>
      <c r="C40" s="19" t="s">
        <v>915</v>
      </c>
      <c r="D40" s="20" t="s">
        <v>923</v>
      </c>
      <c r="E40" s="10">
        <f>(Final_Investments_Multiplied!C1694+Final_Investments_Multiplied!C1696+Final_Investments_Multiplied!C1700)*1000</f>
        <v>516966.82614968781</v>
      </c>
      <c r="F40" s="10">
        <f>(Final_Investments_Multiplied!D1694+Final_Investments_Multiplied!D1696+Final_Investments_Multiplied!D1700)*1000</f>
        <v>4.0108466629386981E-3</v>
      </c>
      <c r="G40" s="10">
        <f>(Final_Investments_Multiplied!E1694+Final_Investments_Multiplied!E1696+Final_Investments_Multiplied!E1700)*1000</f>
        <v>1.0907355387619079E-3</v>
      </c>
      <c r="H40" s="10">
        <f>(Final_Investments_Multiplied!F1694+Final_Investments_Multiplied!F1696+Final_Investments_Multiplied!F1700)*1000</f>
        <v>0</v>
      </c>
      <c r="I40" s="10">
        <f>(Final_Investments_Multiplied!G1694+Final_Investments_Multiplied!G1696+Final_Investments_Multiplied!G1700)*1000</f>
        <v>0</v>
      </c>
      <c r="J40" s="10">
        <f>(Final_Investments_Multiplied!H1694+Final_Investments_Multiplied!H1696+Final_Investments_Multiplied!H1700)*1000</f>
        <v>8.8025532404803345E-4</v>
      </c>
      <c r="K40" s="76" t="b">
        <f>SUM(E37:J47)=SUM(Final_Investments_Multiplied!C1694:H1702)*1000</f>
        <v>1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</row>
    <row r="41" spans="1:45" x14ac:dyDescent="0.2">
      <c r="A41" s="18" t="s">
        <v>1</v>
      </c>
      <c r="B41" s="7" t="s">
        <v>938</v>
      </c>
      <c r="C41" s="19" t="s">
        <v>915</v>
      </c>
      <c r="D41" s="20" t="s">
        <v>924</v>
      </c>
      <c r="E41" s="10">
        <f>(Final_Investments_Multiplied!C1695+Final_Investments_Multiplied!C1697+Final_Investments_Multiplied!C1701+Final_Investments_Multiplied!C1702)*1000</f>
        <v>60360.895814284348</v>
      </c>
      <c r="F41" s="10">
        <f>(Final_Investments_Multiplied!D1695+Final_Investments_Multiplied!D1697+Final_Investments_Multiplied!D1701+Final_Investments_Multiplied!D1702)*1000</f>
        <v>2.9998483137115631E-2</v>
      </c>
      <c r="G41" s="10">
        <f>(Final_Investments_Multiplied!E1695+Final_Investments_Multiplied!E1697+Final_Investments_Multiplied!E1701+Final_Investments_Multiplied!E1702)*1000</f>
        <v>9.1400496158833226E-3</v>
      </c>
      <c r="H41" s="10">
        <f>(Final_Investments_Multiplied!F1695+Final_Investments_Multiplied!F1697+Final_Investments_Multiplied!F1701+Final_Investments_Multiplied!F1702)*1000</f>
        <v>2.1044038319978841E-3</v>
      </c>
      <c r="I41" s="10">
        <f>(Final_Investments_Multiplied!G1695+Final_Investments_Multiplied!G1697+Final_Investments_Multiplied!G1701+Final_Investments_Multiplied!G1702)*1000</f>
        <v>6.0383881047135761E-2</v>
      </c>
      <c r="J41" s="10">
        <f>(Final_Investments_Multiplied!H1695+Final_Investments_Multiplied!H1697+Final_Investments_Multiplied!H1701+Final_Investments_Multiplied!H1702)*1000</f>
        <v>2.1673680838287603E-2</v>
      </c>
      <c r="K41" s="76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</row>
    <row r="42" spans="1:45" x14ac:dyDescent="0.2">
      <c r="A42" s="18" t="s">
        <v>1</v>
      </c>
      <c r="B42" s="7" t="s">
        <v>938</v>
      </c>
      <c r="C42" s="19" t="s">
        <v>915</v>
      </c>
      <c r="D42" s="20" t="s">
        <v>925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36">
        <v>0</v>
      </c>
      <c r="K42" s="76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</row>
    <row r="43" spans="1:45" x14ac:dyDescent="0.2">
      <c r="A43" s="18" t="s">
        <v>1</v>
      </c>
      <c r="B43" s="7" t="s">
        <v>938</v>
      </c>
      <c r="C43" s="19" t="s">
        <v>915</v>
      </c>
      <c r="D43" s="20" t="s">
        <v>926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36">
        <v>0</v>
      </c>
      <c r="K43" s="76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</row>
    <row r="44" spans="1:45" x14ac:dyDescent="0.2">
      <c r="A44" s="18" t="s">
        <v>1</v>
      </c>
      <c r="B44" s="7" t="s">
        <v>938</v>
      </c>
      <c r="C44" s="19" t="s">
        <v>915</v>
      </c>
      <c r="D44" s="20" t="s">
        <v>927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36">
        <v>0</v>
      </c>
      <c r="K44" s="76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</row>
    <row r="45" spans="1:45" x14ac:dyDescent="0.2">
      <c r="A45" s="18" t="s">
        <v>1</v>
      </c>
      <c r="B45" s="7" t="s">
        <v>938</v>
      </c>
      <c r="C45" s="19" t="s">
        <v>915</v>
      </c>
      <c r="D45" s="20" t="s">
        <v>928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36">
        <v>0</v>
      </c>
      <c r="K45" s="76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</row>
    <row r="46" spans="1:45" x14ac:dyDescent="0.2">
      <c r="A46" s="18" t="s">
        <v>1</v>
      </c>
      <c r="B46" s="7" t="s">
        <v>938</v>
      </c>
      <c r="C46" s="19" t="s">
        <v>915</v>
      </c>
      <c r="D46" s="20" t="s">
        <v>929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36">
        <v>0</v>
      </c>
      <c r="K46" s="76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</row>
    <row r="47" spans="1:45" x14ac:dyDescent="0.2">
      <c r="A47" s="18" t="s">
        <v>1</v>
      </c>
      <c r="B47" s="30" t="s">
        <v>938</v>
      </c>
      <c r="C47" s="31" t="s">
        <v>915</v>
      </c>
      <c r="D47" s="32" t="s">
        <v>930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56">
        <v>0</v>
      </c>
      <c r="K47" s="76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</row>
    <row r="48" spans="1:45" x14ac:dyDescent="0.2">
      <c r="A48" s="6" t="s">
        <v>1</v>
      </c>
      <c r="B48" s="7" t="s">
        <v>939</v>
      </c>
      <c r="C48" s="19" t="s">
        <v>915</v>
      </c>
      <c r="D48" s="20" t="s">
        <v>916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35">
        <v>0</v>
      </c>
      <c r="K48" s="75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</row>
    <row r="49" spans="1:45" x14ac:dyDescent="0.2">
      <c r="A49" s="18" t="s">
        <v>1</v>
      </c>
      <c r="B49" s="7" t="s">
        <v>939</v>
      </c>
      <c r="C49" s="19" t="s">
        <v>915</v>
      </c>
      <c r="D49" s="20" t="s">
        <v>918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36">
        <v>0</v>
      </c>
      <c r="K49" s="75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</row>
    <row r="50" spans="1:45" x14ac:dyDescent="0.2">
      <c r="A50" s="18" t="s">
        <v>1</v>
      </c>
      <c r="B50" s="7" t="s">
        <v>939</v>
      </c>
      <c r="C50" s="19" t="s">
        <v>915</v>
      </c>
      <c r="D50" s="20" t="s">
        <v>920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36">
        <v>0</v>
      </c>
      <c r="K50" s="75"/>
      <c r="L50" s="11" t="s">
        <v>940</v>
      </c>
      <c r="M50" s="11">
        <v>2030</v>
      </c>
      <c r="N50" s="11">
        <v>2035</v>
      </c>
      <c r="O50" s="11">
        <v>2040</v>
      </c>
      <c r="P50" s="11">
        <v>2045</v>
      </c>
      <c r="Q50" s="11">
        <v>2050</v>
      </c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</row>
    <row r="51" spans="1:45" x14ac:dyDescent="0.2">
      <c r="A51" s="18" t="s">
        <v>1</v>
      </c>
      <c r="B51" s="7" t="s">
        <v>939</v>
      </c>
      <c r="C51" s="19" t="s">
        <v>915</v>
      </c>
      <c r="D51" s="20" t="s">
        <v>923</v>
      </c>
      <c r="E51" s="10">
        <f>(SUM(Aggregated_By_Sector!C158:C162)+SUM(Aggregated_By_Sector!C164:C169)+Aggregated_By_Sector!C156)*1000</f>
        <v>1153464.6763929666</v>
      </c>
      <c r="F51" s="10">
        <f>(SUM(Aggregated_By_Sector!D158:D162)+SUM(Aggregated_By_Sector!D164:D169)+Aggregated_By_Sector!D156)*1000</f>
        <v>1453.7595998515503</v>
      </c>
      <c r="G51" s="10">
        <f>(SUM(Aggregated_By_Sector!E158:E162)+SUM(Aggregated_By_Sector!E164:E169)+Aggregated_By_Sector!E156)*1000</f>
        <v>18410.009768200071</v>
      </c>
      <c r="H51" s="10">
        <f>(SUM(Aggregated_By_Sector!F158:F162)+SUM(Aggregated_By_Sector!F164:F169)+Aggregated_By_Sector!F156)*1000</f>
        <v>644.86459991787945</v>
      </c>
      <c r="I51" s="10">
        <f>(SUM(Aggregated_By_Sector!G158:G162)+SUM(Aggregated_By_Sector!G164:G169)+Aggregated_By_Sector!G156)*1000</f>
        <v>15198.95522245193</v>
      </c>
      <c r="J51" s="10">
        <f>(SUM(Aggregated_By_Sector!H158:H162)+SUM(Aggregated_By_Sector!H164:H169)+Aggregated_By_Sector!H156)*1000</f>
        <v>0.49196020747379754</v>
      </c>
      <c r="K51" s="75" t="b">
        <f>SUM(E48:E59)+E58=SUM(Aggregated_By_Sector!C156:C169)*1000</f>
        <v>0</v>
      </c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</row>
    <row r="52" spans="1:45" x14ac:dyDescent="0.2">
      <c r="A52" s="18" t="s">
        <v>1</v>
      </c>
      <c r="B52" s="7" t="s">
        <v>939</v>
      </c>
      <c r="C52" s="19" t="s">
        <v>915</v>
      </c>
      <c r="D52" s="20" t="s">
        <v>924</v>
      </c>
      <c r="E52" s="10">
        <f>(Aggregated_By_Sector!C163)*1000</f>
        <v>58018.315871976549</v>
      </c>
      <c r="F52" s="10">
        <f>(Aggregated_By_Sector!D163)*1000</f>
        <v>1.7288028520236299E-2</v>
      </c>
      <c r="G52" s="10">
        <f>(Aggregated_By_Sector!E163)*1000</f>
        <v>4.0903422630570473E-2</v>
      </c>
      <c r="H52" s="10">
        <f>(Aggregated_By_Sector!F163)*1000</f>
        <v>0</v>
      </c>
      <c r="I52" s="10">
        <f>(Aggregated_By_Sector!G163)*1000</f>
        <v>0</v>
      </c>
      <c r="J52" s="10">
        <f>(Aggregated_By_Sector!H163)*1000</f>
        <v>0.24598020576926169</v>
      </c>
      <c r="K52" s="75"/>
      <c r="L52" s="11"/>
      <c r="M52" s="11"/>
      <c r="T52" s="11">
        <v>0</v>
      </c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</row>
    <row r="53" spans="1:45" x14ac:dyDescent="0.2">
      <c r="A53" s="18" t="s">
        <v>1</v>
      </c>
      <c r="B53" s="7" t="s">
        <v>939</v>
      </c>
      <c r="C53" s="19" t="s">
        <v>915</v>
      </c>
      <c r="D53" s="20" t="s">
        <v>925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75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</row>
    <row r="54" spans="1:45" x14ac:dyDescent="0.2">
      <c r="A54" s="18" t="s">
        <v>1</v>
      </c>
      <c r="B54" s="7" t="s">
        <v>939</v>
      </c>
      <c r="C54" s="19" t="s">
        <v>915</v>
      </c>
      <c r="D54" s="20" t="s">
        <v>926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36">
        <v>0</v>
      </c>
      <c r="K54" s="75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</row>
    <row r="55" spans="1:45" x14ac:dyDescent="0.2">
      <c r="A55" s="18" t="s">
        <v>1</v>
      </c>
      <c r="B55" s="7" t="s">
        <v>939</v>
      </c>
      <c r="C55" s="19" t="s">
        <v>915</v>
      </c>
      <c r="D55" s="20" t="s">
        <v>927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36">
        <v>0</v>
      </c>
      <c r="K55" s="75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</row>
    <row r="56" spans="1:45" x14ac:dyDescent="0.2">
      <c r="A56" s="18" t="s">
        <v>1</v>
      </c>
      <c r="B56" s="7" t="s">
        <v>939</v>
      </c>
      <c r="C56" s="19" t="s">
        <v>915</v>
      </c>
      <c r="D56" s="20" t="s">
        <v>928</v>
      </c>
      <c r="E56" s="10">
        <v>0</v>
      </c>
      <c r="F56" s="10">
        <v>6.5802498265414046E-3</v>
      </c>
      <c r="G56" s="10">
        <v>0</v>
      </c>
      <c r="H56" s="10">
        <v>5.2756385052168866E-3</v>
      </c>
      <c r="I56" s="10">
        <v>2.438142325053463E-4</v>
      </c>
      <c r="J56" s="36">
        <v>6.3868124172495656E-4</v>
      </c>
      <c r="K56" s="75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</row>
    <row r="57" spans="1:45" x14ac:dyDescent="0.2">
      <c r="A57" s="18" t="s">
        <v>1</v>
      </c>
      <c r="B57" s="7" t="s">
        <v>939</v>
      </c>
      <c r="C57" s="19" t="s">
        <v>915</v>
      </c>
      <c r="D57" s="20" t="s">
        <v>929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36">
        <v>0</v>
      </c>
      <c r="K57" s="75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</row>
    <row r="58" spans="1:45" x14ac:dyDescent="0.2">
      <c r="A58" s="18" t="s">
        <v>1</v>
      </c>
      <c r="B58" s="7" t="s">
        <v>939</v>
      </c>
      <c r="C58" s="19" t="s">
        <v>915</v>
      </c>
      <c r="D58" s="20" t="s">
        <v>936</v>
      </c>
      <c r="E58" s="11">
        <f>Aggregated_By_Sector!C157*1000</f>
        <v>5851.1549507654754</v>
      </c>
      <c r="F58" s="11">
        <f>Aggregated_By_Sector!D157*1000</f>
        <v>0.50660026898176136</v>
      </c>
      <c r="G58" s="11">
        <f>Aggregated_By_Sector!E157*1000</f>
        <v>1.3634470855751031</v>
      </c>
      <c r="H58" s="11">
        <f>Aggregated_By_Sector!F157*1000</f>
        <v>0</v>
      </c>
      <c r="I58" s="11">
        <f>Aggregated_By_Sector!G157*1000</f>
        <v>0</v>
      </c>
      <c r="J58" s="11">
        <f>Aggregated_By_Sector!H157*1000</f>
        <v>0</v>
      </c>
      <c r="K58" s="75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</row>
    <row r="59" spans="1:45" x14ac:dyDescent="0.2">
      <c r="A59" s="18" t="s">
        <v>1</v>
      </c>
      <c r="B59" s="30" t="s">
        <v>939</v>
      </c>
      <c r="C59" s="31" t="s">
        <v>915</v>
      </c>
      <c r="D59" s="32" t="s">
        <v>930</v>
      </c>
      <c r="E59" s="33">
        <v>0</v>
      </c>
      <c r="F59" s="33">
        <v>0</v>
      </c>
      <c r="G59" s="33">
        <v>0</v>
      </c>
      <c r="H59" s="33">
        <v>0</v>
      </c>
      <c r="I59" s="33">
        <v>0</v>
      </c>
      <c r="J59" s="56">
        <v>0</v>
      </c>
      <c r="K59" s="75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</row>
    <row r="60" spans="1:45" x14ac:dyDescent="0.2">
      <c r="A60" s="6" t="s">
        <v>1</v>
      </c>
      <c r="B60" s="61" t="s">
        <v>941</v>
      </c>
      <c r="C60" s="19" t="s">
        <v>915</v>
      </c>
      <c r="D60" s="20" t="s">
        <v>916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62">
        <v>0</v>
      </c>
      <c r="K60" s="75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</row>
    <row r="61" spans="1:45" x14ac:dyDescent="0.2">
      <c r="A61" s="18" t="s">
        <v>1</v>
      </c>
      <c r="B61" s="61" t="s">
        <v>941</v>
      </c>
      <c r="C61" s="19" t="s">
        <v>915</v>
      </c>
      <c r="D61" s="20" t="s">
        <v>918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62">
        <v>0</v>
      </c>
      <c r="K61" s="75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</row>
    <row r="62" spans="1:45" x14ac:dyDescent="0.2">
      <c r="A62" s="18" t="s">
        <v>1</v>
      </c>
      <c r="B62" s="61" t="s">
        <v>941</v>
      </c>
      <c r="C62" s="19" t="s">
        <v>915</v>
      </c>
      <c r="D62" s="20" t="s">
        <v>920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62">
        <v>0</v>
      </c>
      <c r="K62" s="75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</row>
    <row r="63" spans="1:45" x14ac:dyDescent="0.2">
      <c r="A63" s="18" t="s">
        <v>1</v>
      </c>
      <c r="B63" s="61" t="s">
        <v>941</v>
      </c>
      <c r="C63" s="19" t="s">
        <v>915</v>
      </c>
      <c r="D63" s="20" t="s">
        <v>923</v>
      </c>
      <c r="E63" s="20">
        <f>((SUM(Final_Investments_Multiplied!C291:C297)-Final_Investments_Multiplied!C294)+(Final_Investments_Multiplied!C330+Final_Investments_Multiplied!C334+Final_Investments_Multiplied!C335))*1000</f>
        <v>183005.0131080829</v>
      </c>
      <c r="F63" s="20">
        <f>((SUM(Final_Investments_Multiplied!D291:D297)-Final_Investments_Multiplied!D294)+(Final_Investments_Multiplied!D330+Final_Investments_Multiplied!D334+Final_Investments_Multiplied!D335))*1000</f>
        <v>572.80244515711524</v>
      </c>
      <c r="G63" s="20">
        <f>((SUM(Final_Investments_Multiplied!E291:E297)-Final_Investments_Multiplied!E294)+(Final_Investments_Multiplied!E330+Final_Investments_Multiplied!E334+Final_Investments_Multiplied!E335))*1000</f>
        <v>0</v>
      </c>
      <c r="H63" s="20">
        <f>((SUM(Final_Investments_Multiplied!F291:F297)-Final_Investments_Multiplied!F294)+(Final_Investments_Multiplied!F330+Final_Investments_Multiplied!F334+Final_Investments_Multiplied!F335))*1000</f>
        <v>0</v>
      </c>
      <c r="I63" s="20">
        <f>((SUM(Final_Investments_Multiplied!G291:G297)-Final_Investments_Multiplied!G294)+(Final_Investments_Multiplied!G330+Final_Investments_Multiplied!G334+Final_Investments_Multiplied!G335))*1000</f>
        <v>0</v>
      </c>
      <c r="J63" s="20">
        <f>((SUM(Final_Investments_Multiplied!H291:H297)-Final_Investments_Multiplied!H294)+(Final_Investments_Multiplied!H330+Final_Investments_Multiplied!H334+Final_Investments_Multiplied!H335))*1000</f>
        <v>0</v>
      </c>
      <c r="K63" s="75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</row>
    <row r="64" spans="1:45" x14ac:dyDescent="0.2">
      <c r="A64" s="18" t="s">
        <v>1</v>
      </c>
      <c r="B64" s="61" t="s">
        <v>941</v>
      </c>
      <c r="C64" s="19" t="s">
        <v>915</v>
      </c>
      <c r="D64" s="20" t="s">
        <v>924</v>
      </c>
      <c r="E64" s="20">
        <f>(Final_Investments_Multiplied!C290+Final_Investments_Multiplied!C294)*1000</f>
        <v>1.7823680487579263</v>
      </c>
      <c r="F64" s="20">
        <f>(Final_Investments_Multiplied!D290+Final_Investments_Multiplied!D294)*1000</f>
        <v>0</v>
      </c>
      <c r="G64" s="20">
        <f>(Final_Investments_Multiplied!E290+Final_Investments_Multiplied!E294)*1000</f>
        <v>0</v>
      </c>
      <c r="H64" s="20">
        <f>(Final_Investments_Multiplied!F290+Final_Investments_Multiplied!F294)*1000</f>
        <v>0</v>
      </c>
      <c r="I64" s="20">
        <f>(Final_Investments_Multiplied!G290+Final_Investments_Multiplied!G294)*1000</f>
        <v>0</v>
      </c>
      <c r="J64" s="20">
        <f>(Final_Investments_Multiplied!H290+Final_Investments_Multiplied!H294)*1000</f>
        <v>0</v>
      </c>
      <c r="K64" s="75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</row>
    <row r="65" spans="1:45" x14ac:dyDescent="0.2">
      <c r="A65" s="18" t="s">
        <v>1</v>
      </c>
      <c r="B65" s="61" t="s">
        <v>941</v>
      </c>
      <c r="C65" s="19" t="s">
        <v>915</v>
      </c>
      <c r="D65" s="20" t="s">
        <v>925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75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</row>
    <row r="66" spans="1:45" x14ac:dyDescent="0.2">
      <c r="A66" s="18" t="s">
        <v>1</v>
      </c>
      <c r="B66" s="61" t="s">
        <v>941</v>
      </c>
      <c r="C66" s="19" t="s">
        <v>915</v>
      </c>
      <c r="D66" s="20" t="s">
        <v>926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75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</row>
    <row r="67" spans="1:45" x14ac:dyDescent="0.2">
      <c r="A67" s="18" t="s">
        <v>1</v>
      </c>
      <c r="B67" s="61" t="s">
        <v>941</v>
      </c>
      <c r="C67" s="19" t="s">
        <v>915</v>
      </c>
      <c r="D67" s="20" t="s">
        <v>927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75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</row>
    <row r="68" spans="1:45" x14ac:dyDescent="0.2">
      <c r="A68" s="18" t="s">
        <v>1</v>
      </c>
      <c r="B68" s="61" t="s">
        <v>941</v>
      </c>
      <c r="C68" s="19" t="s">
        <v>915</v>
      </c>
      <c r="D68" s="20" t="s">
        <v>928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75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</row>
    <row r="69" spans="1:45" x14ac:dyDescent="0.2">
      <c r="A69" s="18" t="s">
        <v>1</v>
      </c>
      <c r="B69" s="61" t="s">
        <v>941</v>
      </c>
      <c r="C69" s="19" t="s">
        <v>915</v>
      </c>
      <c r="D69" s="20" t="s">
        <v>929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75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</row>
    <row r="70" spans="1:45" x14ac:dyDescent="0.2">
      <c r="A70" s="18" t="s">
        <v>1</v>
      </c>
      <c r="B70" s="63" t="s">
        <v>941</v>
      </c>
      <c r="C70" s="19" t="s">
        <v>915</v>
      </c>
      <c r="D70" s="20" t="s">
        <v>930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64">
        <v>0</v>
      </c>
      <c r="K70" s="75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84">
        <v>2025</v>
      </c>
      <c r="Y70" s="84">
        <v>2030</v>
      </c>
      <c r="Z70" s="84">
        <v>2035</v>
      </c>
      <c r="AA70" s="84">
        <v>2040</v>
      </c>
      <c r="AB70" s="84">
        <v>2045</v>
      </c>
      <c r="AC70" s="85">
        <v>2050</v>
      </c>
      <c r="AD70" s="85" t="s">
        <v>1019</v>
      </c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</row>
    <row r="71" spans="1:45" customFormat="1" ht="16" x14ac:dyDescent="0.2">
      <c r="A71" s="65" t="s">
        <v>1</v>
      </c>
      <c r="B71" s="66" t="s">
        <v>920</v>
      </c>
      <c r="C71" s="67" t="s">
        <v>915</v>
      </c>
      <c r="D71" s="68" t="s">
        <v>916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77"/>
      <c r="L71" s="52">
        <v>2025</v>
      </c>
      <c r="M71" s="52">
        <v>2030</v>
      </c>
      <c r="N71" s="52">
        <v>2035</v>
      </c>
      <c r="O71" s="52">
        <v>2040</v>
      </c>
      <c r="P71" s="52">
        <v>2045</v>
      </c>
      <c r="Q71" s="52">
        <v>2050</v>
      </c>
      <c r="R71" s="11"/>
      <c r="S71" s="11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</row>
    <row r="72" spans="1:45" customFormat="1" ht="16" x14ac:dyDescent="0.2">
      <c r="A72" s="13" t="s">
        <v>1</v>
      </c>
      <c r="B72" s="66" t="s">
        <v>920</v>
      </c>
      <c r="C72" s="15" t="s">
        <v>915</v>
      </c>
      <c r="D72" s="16" t="s">
        <v>918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79"/>
      <c r="L72" s="4"/>
      <c r="M72" s="4"/>
      <c r="N72" s="4"/>
      <c r="O72" s="4"/>
      <c r="P72" s="4"/>
      <c r="Q72" s="4"/>
      <c r="R72" s="11"/>
      <c r="S72" s="11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</row>
    <row r="73" spans="1:45" customFormat="1" ht="16" x14ac:dyDescent="0.2">
      <c r="A73" s="13" t="s">
        <v>1</v>
      </c>
      <c r="B73" s="66" t="s">
        <v>920</v>
      </c>
      <c r="C73" s="15" t="s">
        <v>915</v>
      </c>
      <c r="D73" s="16" t="s">
        <v>920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75"/>
      <c r="L73" s="11"/>
      <c r="M73" s="11"/>
      <c r="N73" s="11"/>
      <c r="O73" s="11"/>
      <c r="P73" s="11"/>
      <c r="Q73" s="11"/>
      <c r="R73" s="11"/>
      <c r="S73" s="11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</row>
    <row r="74" spans="1:45" customFormat="1" ht="16" x14ac:dyDescent="0.2">
      <c r="A74" s="13" t="s">
        <v>1</v>
      </c>
      <c r="B74" s="66" t="s">
        <v>920</v>
      </c>
      <c r="C74" s="15" t="s">
        <v>915</v>
      </c>
      <c r="D74" s="16" t="s">
        <v>923</v>
      </c>
      <c r="E74" s="20">
        <f>(SUM(Aggregated_By_Sector!C293:C308)+SUM(Aggregated_By_Sector!C310:C328))*1000+(Aggregated_By_Sector!C306*1000)</f>
        <v>10698439.502074681</v>
      </c>
      <c r="F74" s="20">
        <f>(SUM(Aggregated_By_Sector!D293:D308)+SUM(Aggregated_By_Sector!D310:D328))*1000+(Aggregated_By_Sector!D306*1000)</f>
        <v>38653.627063461274</v>
      </c>
      <c r="G74" s="20">
        <f>(SUM(Aggregated_By_Sector!E293:E308)+SUM(Aggregated_By_Sector!E310:E328))*1000+(Aggregated_By_Sector!E306*1000)</f>
        <v>0.47707871575010746</v>
      </c>
      <c r="H74" s="20">
        <f>(SUM(Aggregated_By_Sector!F293:F308)+SUM(Aggregated_By_Sector!F310:F328))*1000+(Aggregated_By_Sector!F306*1000)</f>
        <v>193.21551956354074</v>
      </c>
      <c r="I74" s="20">
        <f>(SUM(Aggregated_By_Sector!G293:G308)+SUM(Aggregated_By_Sector!G310:G328))*1000+(Aggregated_By_Sector!G306*1000)</f>
        <v>2366.6684917396246</v>
      </c>
      <c r="J74" s="20">
        <f>(SUM(Aggregated_By_Sector!H293:H308)+SUM(Aggregated_By_Sector!H310:H328))*1000+(Aggregated_By_Sector!H306*1000)</f>
        <v>1256.771225160498</v>
      </c>
      <c r="K74" s="75"/>
      <c r="L74" s="11"/>
      <c r="M74" s="11"/>
      <c r="N74" s="11"/>
      <c r="O74" s="11"/>
      <c r="P74" s="11"/>
      <c r="Q74" s="11"/>
      <c r="R74" s="11"/>
      <c r="S74" s="11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</row>
    <row r="75" spans="1:45" customFormat="1" ht="16" x14ac:dyDescent="0.2">
      <c r="A75" s="13" t="s">
        <v>1</v>
      </c>
      <c r="B75" s="66" t="s">
        <v>920</v>
      </c>
      <c r="C75" s="15" t="s">
        <v>915</v>
      </c>
      <c r="D75" s="16" t="s">
        <v>924</v>
      </c>
      <c r="E75" s="20">
        <f>Aggregated_By_Sector!C309*1000</f>
        <v>48873.045257906801</v>
      </c>
      <c r="F75" s="20">
        <f>Aggregated_By_Sector!D309*1000</f>
        <v>0.24473071703772972</v>
      </c>
      <c r="G75" s="20">
        <f>Aggregated_By_Sector!E309*1000</f>
        <v>314.84755803914931</v>
      </c>
      <c r="H75" s="20">
        <f>Aggregated_By_Sector!F309*1000</f>
        <v>0</v>
      </c>
      <c r="I75" s="20">
        <f>Aggregated_By_Sector!G309*1000</f>
        <v>1183.3342438804971</v>
      </c>
      <c r="J75" s="20">
        <f>Aggregated_By_Sector!H309*1000</f>
        <v>628.38561164360704</v>
      </c>
      <c r="K75" s="75" t="b">
        <f>E74+E75+E81=SUM(Aggregated_By_Sector!C293:C328)*1000</f>
        <v>1</v>
      </c>
      <c r="L75" s="11"/>
      <c r="M75" s="11"/>
      <c r="N75" s="11"/>
      <c r="O75" s="11"/>
      <c r="P75" s="11"/>
      <c r="Q75" s="11"/>
      <c r="R75" s="11"/>
      <c r="S75" s="11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</row>
    <row r="76" spans="1:45" customFormat="1" ht="16" x14ac:dyDescent="0.2">
      <c r="A76" s="13" t="s">
        <v>1</v>
      </c>
      <c r="B76" s="66" t="s">
        <v>920</v>
      </c>
      <c r="C76" s="15" t="s">
        <v>915</v>
      </c>
      <c r="D76" s="16" t="s">
        <v>925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75"/>
      <c r="L76" s="11"/>
      <c r="M76" s="11"/>
      <c r="N76" s="11"/>
      <c r="O76" s="11"/>
      <c r="P76" s="11"/>
      <c r="Q76" s="11"/>
      <c r="R76" s="11"/>
      <c r="S76" s="11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</row>
    <row r="77" spans="1:45" customFormat="1" ht="16" x14ac:dyDescent="0.2">
      <c r="A77" s="13" t="s">
        <v>1</v>
      </c>
      <c r="B77" s="66" t="s">
        <v>920</v>
      </c>
      <c r="C77" s="15" t="s">
        <v>915</v>
      </c>
      <c r="D77" s="16" t="s">
        <v>926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75"/>
      <c r="L77" s="11"/>
      <c r="M77" s="11"/>
      <c r="N77" s="11"/>
      <c r="O77" s="11"/>
      <c r="P77" s="11"/>
      <c r="Q77" s="11"/>
      <c r="R77" s="11"/>
      <c r="S77" s="11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</row>
    <row r="78" spans="1:45" customFormat="1" ht="16" x14ac:dyDescent="0.2">
      <c r="A78" s="13" t="s">
        <v>1</v>
      </c>
      <c r="B78" s="66" t="s">
        <v>920</v>
      </c>
      <c r="C78" s="15" t="s">
        <v>915</v>
      </c>
      <c r="D78" s="16" t="s">
        <v>927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75"/>
      <c r="L78" s="11"/>
      <c r="M78" s="11"/>
      <c r="N78" s="11"/>
      <c r="O78" s="11"/>
      <c r="P78" s="11"/>
      <c r="Q78" s="11"/>
      <c r="R78" s="11"/>
      <c r="S78" s="11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</row>
    <row r="79" spans="1:45" customFormat="1" ht="16" x14ac:dyDescent="0.2">
      <c r="A79" s="13" t="s">
        <v>1</v>
      </c>
      <c r="B79" s="66" t="s">
        <v>920</v>
      </c>
      <c r="C79" s="15" t="s">
        <v>915</v>
      </c>
      <c r="D79" s="16" t="s">
        <v>928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75"/>
      <c r="L79" s="11"/>
      <c r="M79" s="11"/>
      <c r="N79" s="11"/>
      <c r="O79" s="11"/>
      <c r="P79" s="11"/>
      <c r="Q79" s="11"/>
      <c r="R79" s="11"/>
      <c r="S79" s="11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</row>
    <row r="80" spans="1:45" customFormat="1" ht="16" x14ac:dyDescent="0.2">
      <c r="A80" s="13" t="s">
        <v>1</v>
      </c>
      <c r="B80" s="66" t="s">
        <v>920</v>
      </c>
      <c r="C80" s="15" t="s">
        <v>915</v>
      </c>
      <c r="D80" s="16" t="s">
        <v>929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75"/>
      <c r="L80" s="11"/>
      <c r="M80" s="11"/>
      <c r="N80" s="11"/>
      <c r="O80" s="11"/>
      <c r="P80" s="11"/>
      <c r="Q80" s="11"/>
      <c r="R80" s="11"/>
      <c r="S80" s="11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</row>
    <row r="81" spans="1:45" customFormat="1" ht="16" x14ac:dyDescent="0.2">
      <c r="A81" s="13" t="s">
        <v>1</v>
      </c>
      <c r="B81" s="66" t="s">
        <v>920</v>
      </c>
      <c r="C81" s="15" t="s">
        <v>915</v>
      </c>
      <c r="D81" s="77" t="s">
        <v>935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s="75"/>
      <c r="L81" s="11"/>
      <c r="M81" s="11"/>
      <c r="N81" s="11"/>
      <c r="O81" s="11"/>
      <c r="P81" s="11"/>
      <c r="Q81" s="11"/>
      <c r="R81" s="11"/>
      <c r="S81" s="11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</row>
    <row r="82" spans="1:45" customFormat="1" ht="16" x14ac:dyDescent="0.2">
      <c r="A82" s="13" t="s">
        <v>1</v>
      </c>
      <c r="B82" s="69" t="s">
        <v>920</v>
      </c>
      <c r="C82" s="22" t="s">
        <v>915</v>
      </c>
      <c r="D82" s="23" t="s">
        <v>930</v>
      </c>
      <c r="E82" s="32">
        <v>0</v>
      </c>
      <c r="F82" s="32">
        <v>0</v>
      </c>
      <c r="G82" s="32">
        <v>0</v>
      </c>
      <c r="H82" s="32">
        <v>0</v>
      </c>
      <c r="I82" s="32">
        <v>0</v>
      </c>
      <c r="J82" s="32">
        <v>0</v>
      </c>
      <c r="K82" s="75"/>
      <c r="L82" s="11"/>
      <c r="M82" s="11"/>
      <c r="N82" s="11"/>
      <c r="O82" s="11"/>
      <c r="P82" s="11"/>
      <c r="Q82" s="11"/>
      <c r="R82" s="11"/>
      <c r="S82" s="11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</row>
    <row r="83" spans="1:45" customFormat="1" ht="16" x14ac:dyDescent="0.2">
      <c r="A83" s="65" t="s">
        <v>1</v>
      </c>
      <c r="B83" s="66" t="s">
        <v>926</v>
      </c>
      <c r="C83" s="15" t="s">
        <v>915</v>
      </c>
      <c r="D83" s="16" t="s">
        <v>916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62">
        <v>0</v>
      </c>
      <c r="K83" s="77"/>
      <c r="L83" s="52">
        <v>2025</v>
      </c>
      <c r="M83" s="52">
        <v>2030</v>
      </c>
      <c r="N83" s="52">
        <v>2035</v>
      </c>
      <c r="O83" s="52">
        <v>2040</v>
      </c>
      <c r="P83" s="52">
        <v>2045</v>
      </c>
      <c r="Q83" s="52">
        <v>2050</v>
      </c>
      <c r="R83" s="11"/>
      <c r="S83" s="11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</row>
    <row r="84" spans="1:45" customFormat="1" ht="16" x14ac:dyDescent="0.2">
      <c r="A84" s="13" t="s">
        <v>1</v>
      </c>
      <c r="B84" s="66" t="s">
        <v>926</v>
      </c>
      <c r="C84" s="15" t="s">
        <v>915</v>
      </c>
      <c r="D84" s="16" t="s">
        <v>918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77" t="s">
        <v>935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s="11"/>
      <c r="S84" s="11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</row>
    <row r="85" spans="1:45" customFormat="1" ht="16" x14ac:dyDescent="0.2">
      <c r="A85" s="13" t="s">
        <v>1</v>
      </c>
      <c r="B85" s="66" t="s">
        <v>926</v>
      </c>
      <c r="C85" s="15" t="s">
        <v>915</v>
      </c>
      <c r="D85" s="16" t="s">
        <v>920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75"/>
      <c r="L85" s="11"/>
      <c r="M85" s="11"/>
      <c r="N85" s="11"/>
      <c r="O85" s="11"/>
      <c r="P85" s="11"/>
      <c r="Q85" s="11"/>
      <c r="R85" s="11"/>
      <c r="S85" s="11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</row>
    <row r="86" spans="1:45" customFormat="1" ht="16" x14ac:dyDescent="0.2">
      <c r="A86" s="13" t="s">
        <v>1</v>
      </c>
      <c r="B86" s="66" t="s">
        <v>926</v>
      </c>
      <c r="C86" s="15" t="s">
        <v>915</v>
      </c>
      <c r="D86" s="16" t="s">
        <v>923</v>
      </c>
      <c r="E86" s="20">
        <f>(SUM(Aggregated_By_Sector!C33:C52)+SUM(Aggregated_By_Sector!C54:C61))*1000+(Aggregated_By_Sector!C52*1000)</f>
        <v>1347057.6494305474</v>
      </c>
      <c r="F86" s="20">
        <f>(SUM(Aggregated_By_Sector!D33:D52)+SUM(Aggregated_By_Sector!D54:D61))*1000+(Aggregated_By_Sector!D52*1000)</f>
        <v>21181.466094444208</v>
      </c>
      <c r="G86" s="20">
        <f>(SUM(Aggregated_By_Sector!E33:E52)+SUM(Aggregated_By_Sector!E54:E61))*1000+(Aggregated_By_Sector!E52*1000)</f>
        <v>0.18490396444128562</v>
      </c>
      <c r="H86" s="20">
        <f>(SUM(Aggregated_By_Sector!F33:F52)+SUM(Aggregated_By_Sector!F54:F61))*1000+(Aggregated_By_Sector!F52*1000)</f>
        <v>90518.100432354462</v>
      </c>
      <c r="I86" s="20">
        <f>(SUM(Aggregated_By_Sector!G33:G52)+SUM(Aggregated_By_Sector!G54:G61))*1000+(Aggregated_By_Sector!G52*1000)</f>
        <v>83320.106130802451</v>
      </c>
      <c r="J86" s="20">
        <f>(SUM(Aggregated_By_Sector!H33:H52)+SUM(Aggregated_By_Sector!H54:H61))*1000+(Aggregated_By_Sector!H52*1000)</f>
        <v>154660.67936487196</v>
      </c>
      <c r="K86" s="75"/>
      <c r="L86" s="11"/>
      <c r="M86" s="11"/>
      <c r="N86" s="11"/>
      <c r="O86" s="11"/>
      <c r="P86" s="11"/>
      <c r="Q86" s="11"/>
      <c r="R86" s="11"/>
      <c r="S86" s="11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</row>
    <row r="87" spans="1:45" customFormat="1" ht="16" x14ac:dyDescent="0.2">
      <c r="A87" s="13" t="s">
        <v>1</v>
      </c>
      <c r="B87" s="66" t="s">
        <v>926</v>
      </c>
      <c r="C87" s="15" t="s">
        <v>915</v>
      </c>
      <c r="D87" s="16" t="s">
        <v>924</v>
      </c>
      <c r="E87" s="20">
        <f>Aggregated_By_Sector!C53*1000</f>
        <v>3986.9001741472671</v>
      </c>
      <c r="F87" s="20">
        <f>Aggregated_By_Sector!D53*1000</f>
        <v>72.598003751936659</v>
      </c>
      <c r="G87" s="20">
        <f>Aggregated_By_Sector!E53*1000</f>
        <v>1.877842327464771E-3</v>
      </c>
      <c r="H87" s="20">
        <f>Aggregated_By_Sector!F53*1000</f>
        <v>217.45207010702481</v>
      </c>
      <c r="I87" s="20">
        <f>Aggregated_By_Sector!G53*1000</f>
        <v>481.33634701566217</v>
      </c>
      <c r="J87" s="20">
        <f>Aggregated_By_Sector!H53*1000</f>
        <v>0</v>
      </c>
      <c r="K87" s="75" t="b">
        <f>E86+E87+L84=SUM(Aggregated_By_Sector!C33:C61)*1000</f>
        <v>1</v>
      </c>
      <c r="L87" s="11"/>
      <c r="M87" s="11"/>
      <c r="N87" s="11"/>
      <c r="O87" s="11"/>
      <c r="P87" s="11"/>
      <c r="Q87" s="11"/>
      <c r="R87" s="11"/>
      <c r="S87" s="11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</row>
    <row r="88" spans="1:45" customFormat="1" ht="16" x14ac:dyDescent="0.2">
      <c r="A88" s="13" t="s">
        <v>1</v>
      </c>
      <c r="B88" s="66" t="s">
        <v>926</v>
      </c>
      <c r="C88" s="15" t="s">
        <v>915</v>
      </c>
      <c r="D88" s="16" t="s">
        <v>925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75"/>
      <c r="L88" s="11"/>
      <c r="M88" s="11"/>
      <c r="N88" s="11"/>
      <c r="O88" s="11"/>
      <c r="P88" s="11"/>
      <c r="Q88" s="11"/>
      <c r="R88" s="11"/>
      <c r="S88" s="11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</row>
    <row r="89" spans="1:45" customFormat="1" ht="16" x14ac:dyDescent="0.2">
      <c r="A89" s="13" t="s">
        <v>1</v>
      </c>
      <c r="B89" s="66" t="s">
        <v>926</v>
      </c>
      <c r="C89" s="15" t="s">
        <v>915</v>
      </c>
      <c r="D89" s="16" t="s">
        <v>926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75"/>
      <c r="L89" s="11"/>
      <c r="M89" s="11"/>
      <c r="N89" s="11"/>
      <c r="O89" s="11"/>
      <c r="P89" s="11"/>
      <c r="Q89" s="11"/>
      <c r="R89" s="11"/>
      <c r="S89" s="11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</row>
    <row r="90" spans="1:45" customFormat="1" ht="16" x14ac:dyDescent="0.2">
      <c r="A90" s="13" t="s">
        <v>1</v>
      </c>
      <c r="B90" s="66" t="s">
        <v>926</v>
      </c>
      <c r="C90" s="15" t="s">
        <v>915</v>
      </c>
      <c r="D90" s="16" t="s">
        <v>927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75"/>
      <c r="L90" s="11"/>
      <c r="M90" s="11"/>
      <c r="N90" s="11"/>
      <c r="O90" s="11"/>
      <c r="P90" s="11"/>
      <c r="Q90" s="11"/>
      <c r="R90" s="11"/>
      <c r="S90" s="11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</row>
    <row r="91" spans="1:45" customFormat="1" ht="16" x14ac:dyDescent="0.2">
      <c r="A91" s="13" t="s">
        <v>1</v>
      </c>
      <c r="B91" s="66" t="s">
        <v>926</v>
      </c>
      <c r="C91" s="15" t="s">
        <v>915</v>
      </c>
      <c r="D91" s="16" t="s">
        <v>928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75"/>
      <c r="L91" s="11"/>
      <c r="M91" s="11"/>
      <c r="N91" s="11"/>
      <c r="O91" s="11"/>
      <c r="P91" s="11"/>
      <c r="Q91" s="11"/>
      <c r="R91" s="11"/>
      <c r="S91" s="11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</row>
    <row r="92" spans="1:45" customFormat="1" ht="16" x14ac:dyDescent="0.2">
      <c r="A92" s="13" t="s">
        <v>1</v>
      </c>
      <c r="B92" s="66" t="s">
        <v>926</v>
      </c>
      <c r="C92" s="15" t="s">
        <v>915</v>
      </c>
      <c r="D92" s="16" t="s">
        <v>929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75"/>
      <c r="L92" s="11"/>
      <c r="M92" s="11"/>
      <c r="N92" s="11"/>
      <c r="O92" s="11"/>
      <c r="P92" s="11"/>
      <c r="Q92" s="11"/>
      <c r="R92" s="11"/>
      <c r="S92" s="11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</row>
    <row r="93" spans="1:45" customFormat="1" ht="16" x14ac:dyDescent="0.2">
      <c r="A93" s="13" t="s">
        <v>1</v>
      </c>
      <c r="B93" s="66" t="s">
        <v>926</v>
      </c>
      <c r="C93" s="15" t="s">
        <v>915</v>
      </c>
      <c r="D93" s="16" t="s">
        <v>935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75"/>
      <c r="L93" s="11"/>
      <c r="M93" s="11"/>
      <c r="N93" s="11"/>
      <c r="O93" s="11"/>
      <c r="P93" s="11"/>
      <c r="Q93" s="11"/>
      <c r="R93" s="11"/>
      <c r="S93" s="11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</row>
    <row r="94" spans="1:45" customFormat="1" ht="16" x14ac:dyDescent="0.2">
      <c r="A94" s="13" t="s">
        <v>1</v>
      </c>
      <c r="B94" s="69" t="s">
        <v>926</v>
      </c>
      <c r="C94" s="22" t="s">
        <v>915</v>
      </c>
      <c r="D94" s="23" t="s">
        <v>930</v>
      </c>
      <c r="E94" s="32">
        <v>0</v>
      </c>
      <c r="F94" s="32">
        <v>0</v>
      </c>
      <c r="G94" s="32">
        <v>0</v>
      </c>
      <c r="H94" s="32">
        <v>0</v>
      </c>
      <c r="I94" s="32">
        <v>0</v>
      </c>
      <c r="J94" s="32">
        <v>0</v>
      </c>
      <c r="K94" s="75"/>
      <c r="L94" s="11"/>
      <c r="M94" s="11"/>
      <c r="N94" s="11"/>
      <c r="O94" s="11"/>
      <c r="P94" s="11"/>
      <c r="Q94" s="11"/>
      <c r="R94" s="11"/>
      <c r="S94" s="11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</row>
    <row r="95" spans="1:45" customFormat="1" ht="16" x14ac:dyDescent="0.2">
      <c r="A95" s="65" t="s">
        <v>1</v>
      </c>
      <c r="B95" s="66" t="s">
        <v>927</v>
      </c>
      <c r="C95" s="15" t="s">
        <v>915</v>
      </c>
      <c r="D95" s="16" t="s">
        <v>916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77"/>
      <c r="L95" s="52">
        <v>2025</v>
      </c>
      <c r="M95" s="52">
        <v>2030</v>
      </c>
      <c r="N95" s="52">
        <v>2035</v>
      </c>
      <c r="O95" s="52">
        <v>2040</v>
      </c>
      <c r="P95" s="52">
        <v>2045</v>
      </c>
      <c r="Q95" s="52">
        <v>2050</v>
      </c>
      <c r="R95" s="11"/>
      <c r="S95" s="11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</row>
    <row r="96" spans="1:45" customFormat="1" ht="16" x14ac:dyDescent="0.2">
      <c r="A96" s="13" t="s">
        <v>1</v>
      </c>
      <c r="B96" s="66" t="s">
        <v>927</v>
      </c>
      <c r="C96" s="15" t="s">
        <v>915</v>
      </c>
      <c r="D96" s="16" t="s">
        <v>918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77" t="s">
        <v>935</v>
      </c>
      <c r="L96" s="4"/>
      <c r="M96" s="4"/>
      <c r="N96" s="4"/>
      <c r="O96" s="4"/>
      <c r="P96" s="4"/>
      <c r="Q96" s="4"/>
      <c r="R96" s="11"/>
      <c r="S96" s="11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</row>
    <row r="97" spans="1:45" customFormat="1" ht="16" x14ac:dyDescent="0.2">
      <c r="A97" s="13" t="s">
        <v>1</v>
      </c>
      <c r="B97" s="66" t="s">
        <v>927</v>
      </c>
      <c r="C97" s="15" t="s">
        <v>915</v>
      </c>
      <c r="D97" s="16" t="s">
        <v>920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75"/>
      <c r="L97" s="11"/>
      <c r="M97" s="11"/>
      <c r="N97" s="11"/>
      <c r="O97" s="11"/>
      <c r="P97" s="11"/>
      <c r="Q97" s="11"/>
      <c r="R97" s="11"/>
      <c r="S97" s="11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</row>
    <row r="98" spans="1:45" customFormat="1" ht="16" x14ac:dyDescent="0.2">
      <c r="A98" s="13" t="s">
        <v>1</v>
      </c>
      <c r="B98" s="66" t="s">
        <v>927</v>
      </c>
      <c r="C98" s="15" t="s">
        <v>915</v>
      </c>
      <c r="D98" s="16" t="s">
        <v>923</v>
      </c>
      <c r="E98" s="17">
        <f>Aggregated_By_Sector!C137*1000+(Aggregated_By_Sector!C128*1000)</f>
        <v>0</v>
      </c>
      <c r="F98" s="17">
        <f>Aggregated_By_Sector!D137*1000+(Aggregated_By_Sector!D128*1000)</f>
        <v>0.97260833774310329</v>
      </c>
      <c r="G98" s="17">
        <f>Aggregated_By_Sector!E137*1000+(Aggregated_By_Sector!E128*1000)</f>
        <v>2.7646419978846992E-4</v>
      </c>
      <c r="H98" s="17">
        <f>Aggregated_By_Sector!F137*1000+(Aggregated_By_Sector!F128*1000)</f>
        <v>0</v>
      </c>
      <c r="I98" s="17">
        <f>Aggregated_By_Sector!G137*1000+(Aggregated_By_Sector!G128*1000)</f>
        <v>256.54218574734267</v>
      </c>
      <c r="J98" s="17">
        <f>Aggregated_By_Sector!H137*1000+(Aggregated_By_Sector!H128*1000)</f>
        <v>1145.140368320431</v>
      </c>
      <c r="K98" s="75"/>
      <c r="L98" s="11"/>
      <c r="M98" s="11"/>
      <c r="N98" s="11"/>
      <c r="O98" s="11"/>
      <c r="P98" s="11"/>
      <c r="Q98" s="11"/>
      <c r="R98" s="11"/>
      <c r="S98" s="11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</row>
    <row r="99" spans="1:45" customFormat="1" ht="16" x14ac:dyDescent="0.2">
      <c r="A99" s="13" t="s">
        <v>1</v>
      </c>
      <c r="B99" s="66" t="s">
        <v>927</v>
      </c>
      <c r="C99" s="15" t="s">
        <v>915</v>
      </c>
      <c r="D99" s="16" t="s">
        <v>924</v>
      </c>
      <c r="E99" s="17">
        <f>Aggregated_By_Sector!C129*1000</f>
        <v>0</v>
      </c>
      <c r="F99" s="17">
        <f>Aggregated_By_Sector!D129*1000</f>
        <v>0.4841222793473231</v>
      </c>
      <c r="G99" s="17">
        <f>Aggregated_By_Sector!E129*1000</f>
        <v>3.3520415431146727E-2</v>
      </c>
      <c r="H99" s="17">
        <f>Aggregated_By_Sector!F129*1000</f>
        <v>0</v>
      </c>
      <c r="I99" s="17">
        <f>Aggregated_By_Sector!G129*1000</f>
        <v>10.670677716340631</v>
      </c>
      <c r="J99" s="17">
        <f>Aggregated_By_Sector!H129*1000</f>
        <v>47.82404809007992</v>
      </c>
      <c r="K99" s="75"/>
      <c r="L99" s="11"/>
      <c r="M99" s="11"/>
      <c r="N99" s="11"/>
      <c r="O99" s="11"/>
      <c r="P99" s="11"/>
      <c r="Q99" s="11"/>
      <c r="R99" s="11"/>
      <c r="S99" s="11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</row>
    <row r="100" spans="1:45" customFormat="1" ht="16" x14ac:dyDescent="0.2">
      <c r="A100" s="13" t="s">
        <v>1</v>
      </c>
      <c r="B100" s="66" t="s">
        <v>927</v>
      </c>
      <c r="C100" s="15" t="s">
        <v>915</v>
      </c>
      <c r="D100" s="16" t="s">
        <v>925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75" t="b">
        <f>E98+E99+E106=SUM(Aggregated_By_Sector!C127:C137)*1000</f>
        <v>1</v>
      </c>
      <c r="L100" s="11"/>
      <c r="M100" s="11"/>
      <c r="N100" s="11"/>
      <c r="O100" s="11"/>
      <c r="P100" s="11"/>
      <c r="Q100" s="11"/>
      <c r="R100" s="11"/>
      <c r="S100" s="11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</row>
    <row r="101" spans="1:45" customFormat="1" ht="16" x14ac:dyDescent="0.2">
      <c r="A101" s="13" t="s">
        <v>1</v>
      </c>
      <c r="B101" s="66" t="s">
        <v>927</v>
      </c>
      <c r="C101" s="15" t="s">
        <v>915</v>
      </c>
      <c r="D101" s="16" t="s">
        <v>926</v>
      </c>
      <c r="E101" s="17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75"/>
      <c r="L101" s="11"/>
      <c r="M101" s="11"/>
      <c r="N101" s="11"/>
      <c r="O101" s="11"/>
      <c r="P101" s="11"/>
      <c r="Q101" s="11"/>
      <c r="R101" s="11"/>
      <c r="S101" s="11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</row>
    <row r="102" spans="1:45" customFormat="1" ht="16" x14ac:dyDescent="0.2">
      <c r="A102" s="13" t="s">
        <v>1</v>
      </c>
      <c r="B102" s="66" t="s">
        <v>927</v>
      </c>
      <c r="C102" s="15" t="s">
        <v>915</v>
      </c>
      <c r="D102" s="16" t="s">
        <v>927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75"/>
      <c r="L102" s="11"/>
      <c r="M102" s="11"/>
      <c r="N102" s="11"/>
      <c r="O102" s="11"/>
      <c r="P102" s="11"/>
      <c r="Q102" s="11"/>
      <c r="R102" s="11"/>
      <c r="S102" s="11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</row>
    <row r="103" spans="1:45" customFormat="1" ht="16" x14ac:dyDescent="0.2">
      <c r="A103" s="13" t="s">
        <v>1</v>
      </c>
      <c r="B103" s="66" t="s">
        <v>927</v>
      </c>
      <c r="C103" s="15" t="s">
        <v>915</v>
      </c>
      <c r="D103" s="16" t="s">
        <v>928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75"/>
      <c r="L103" s="11"/>
      <c r="M103" s="11"/>
      <c r="N103" s="11"/>
      <c r="O103" s="11"/>
      <c r="P103" s="11"/>
      <c r="Q103" s="11"/>
      <c r="R103" s="11"/>
      <c r="S103" s="11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</row>
    <row r="104" spans="1:45" customFormat="1" ht="16" x14ac:dyDescent="0.2">
      <c r="A104" s="13" t="s">
        <v>1</v>
      </c>
      <c r="B104" s="66" t="s">
        <v>927</v>
      </c>
      <c r="C104" s="15" t="s">
        <v>915</v>
      </c>
      <c r="D104" s="16" t="s">
        <v>929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75"/>
      <c r="L104" s="11"/>
      <c r="M104" s="11"/>
      <c r="N104" s="11"/>
      <c r="O104" s="11"/>
      <c r="P104" s="11"/>
      <c r="Q104" s="11"/>
      <c r="R104" s="11"/>
      <c r="S104" s="11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</row>
    <row r="105" spans="1:45" customFormat="1" ht="16" x14ac:dyDescent="0.2">
      <c r="A105" s="13" t="s">
        <v>1</v>
      </c>
      <c r="B105" s="69" t="s">
        <v>927</v>
      </c>
      <c r="C105" s="22" t="s">
        <v>915</v>
      </c>
      <c r="D105" s="23" t="s">
        <v>930</v>
      </c>
      <c r="E105" s="24">
        <v>0</v>
      </c>
      <c r="F105" s="24">
        <v>0</v>
      </c>
      <c r="G105" s="24">
        <v>0</v>
      </c>
      <c r="H105" s="24">
        <v>0</v>
      </c>
      <c r="I105" s="24">
        <v>0</v>
      </c>
      <c r="J105" s="24">
        <v>0</v>
      </c>
      <c r="K105" s="75"/>
      <c r="L105" s="11"/>
      <c r="M105" s="11"/>
      <c r="N105" s="11"/>
      <c r="O105" s="11"/>
      <c r="P105" s="11"/>
      <c r="Q105" s="11"/>
      <c r="R105" s="11"/>
      <c r="S105" s="11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</row>
    <row r="106" spans="1:45" ht="16" x14ac:dyDescent="0.2">
      <c r="A106" s="13" t="s">
        <v>1</v>
      </c>
      <c r="B106" s="69" t="s">
        <v>927</v>
      </c>
      <c r="C106" s="22" t="s">
        <v>915</v>
      </c>
      <c r="D106" s="4" t="s">
        <v>935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45" ht="16" x14ac:dyDescent="0.2">
      <c r="A107" s="13" t="s">
        <v>1</v>
      </c>
      <c r="B107" s="14" t="s">
        <v>917</v>
      </c>
      <c r="C107" s="15" t="s">
        <v>915</v>
      </c>
      <c r="D107" s="16" t="s">
        <v>1026</v>
      </c>
      <c r="E107" s="17">
        <f>(Aggregated_By_Sector!C269+Aggregated_By_Sector!C271+Aggregated_By_Sector!C272+Aggregated_By_Sector!C273+Aggregated_By_Sector!C274+Aggregated_By_Sector!C275+Aggregated_By_Sector!C276+Aggregated_By_Sector!C277)*1000</f>
        <v>16902883.495106462</v>
      </c>
      <c r="F107" s="17">
        <f>(Aggregated_By_Sector!D269+Aggregated_By_Sector!D271+Aggregated_By_Sector!D272+Aggregated_By_Sector!D273+Aggregated_By_Sector!D274+Aggregated_By_Sector!D275+Aggregated_By_Sector!D276+Aggregated_By_Sector!D277)*1000</f>
        <v>16562.279572909836</v>
      </c>
      <c r="G107" s="17">
        <f>(Aggregated_By_Sector!E269+Aggregated_By_Sector!E271+Aggregated_By_Sector!E272+Aggregated_By_Sector!E273+Aggregated_By_Sector!E274+Aggregated_By_Sector!E275+Aggregated_By_Sector!E276+Aggregated_By_Sector!E277)*1000</f>
        <v>7299.8644386626429</v>
      </c>
      <c r="H107" s="17">
        <f>(Aggregated_By_Sector!F269+Aggregated_By_Sector!F271+Aggregated_By_Sector!F272+Aggregated_By_Sector!F273+Aggregated_By_Sector!F274+Aggregated_By_Sector!F275+Aggregated_By_Sector!F276+Aggregated_By_Sector!F277)*1000</f>
        <v>0</v>
      </c>
      <c r="I107" s="17">
        <f>(Aggregated_By_Sector!G269+Aggregated_By_Sector!G271+Aggregated_By_Sector!G272+Aggregated_By_Sector!G273+Aggregated_By_Sector!G274+Aggregated_By_Sector!G275+Aggregated_By_Sector!G276+Aggregated_By_Sector!G277)*1000</f>
        <v>0</v>
      </c>
      <c r="J107" s="17">
        <f>(Aggregated_By_Sector!H269+Aggregated_By_Sector!H271+Aggregated_By_Sector!H272+Aggregated_By_Sector!H273+Aggregated_By_Sector!H274+Aggregated_By_Sector!H275+Aggregated_By_Sector!H276+Aggregated_By_Sector!H277)*1000</f>
        <v>0</v>
      </c>
    </row>
    <row r="108" spans="1:45" x14ac:dyDescent="0.2">
      <c r="A108" s="43" t="s">
        <v>1</v>
      </c>
      <c r="B108" s="44" t="s">
        <v>1027</v>
      </c>
      <c r="C108" s="11" t="s">
        <v>915</v>
      </c>
      <c r="D108" s="11" t="s">
        <v>1026</v>
      </c>
      <c r="E108" s="11">
        <f>(Aggregated_By_Sector!C215+Aggregated_By_Sector!C216+Aggregated_By_Sector!C217+Aggregated_By_Sector!C218+Aggregated_By_Sector!C219+Aggregated_By_Sector!C220+Aggregated_By_Sector!C222)*1000</f>
        <v>6660299.4690632094</v>
      </c>
      <c r="F108" s="11">
        <f>(Aggregated_By_Sector!D215+Aggregated_By_Sector!D216+Aggregated_By_Sector!D217+Aggregated_By_Sector!D218+Aggregated_By_Sector!D219+Aggregated_By_Sector!D220+Aggregated_By_Sector!D222)*1000</f>
        <v>115901.0573687172</v>
      </c>
      <c r="G108" s="11">
        <f>(Aggregated_By_Sector!E215+Aggregated_By_Sector!E216+Aggregated_By_Sector!E217+Aggregated_By_Sector!E218+Aggregated_By_Sector!E219+Aggregated_By_Sector!E220+Aggregated_By_Sector!E222)*1000</f>
        <v>10046.342088490899</v>
      </c>
      <c r="H108" s="11">
        <f>(Aggregated_By_Sector!F215+Aggregated_By_Sector!F216+Aggregated_By_Sector!F217+Aggregated_By_Sector!F218+Aggregated_By_Sector!F219+Aggregated_By_Sector!F220+Aggregated_By_Sector!F222)*1000</f>
        <v>0</v>
      </c>
      <c r="I108" s="11">
        <f>(Aggregated_By_Sector!G215+Aggregated_By_Sector!G216+Aggregated_By_Sector!G217+Aggregated_By_Sector!G218+Aggregated_By_Sector!G219+Aggregated_By_Sector!G220+Aggregated_By_Sector!G222)*1000</f>
        <v>0</v>
      </c>
      <c r="J108" s="11">
        <f>(Aggregated_By_Sector!H215+Aggregated_By_Sector!H216+Aggregated_By_Sector!H217+Aggregated_By_Sector!H218+Aggregated_By_Sector!H219+Aggregated_By_Sector!H220+Aggregated_By_Sector!H222)*1000</f>
        <v>2707.223876490028</v>
      </c>
    </row>
    <row r="109" spans="1:45" ht="16" x14ac:dyDescent="0.2">
      <c r="A109" s="13" t="s">
        <v>1</v>
      </c>
      <c r="B109" s="21" t="s">
        <v>917</v>
      </c>
      <c r="C109" s="22" t="s">
        <v>915</v>
      </c>
      <c r="D109" s="23" t="s">
        <v>919</v>
      </c>
      <c r="E109" s="24">
        <f>(Aggregated_By_Sector!C270)*1000</f>
        <v>1652030.2855550661</v>
      </c>
      <c r="F109" s="24">
        <f>(Aggregated_By_Sector!D270)*1000</f>
        <v>0</v>
      </c>
      <c r="G109" s="24">
        <f>(Aggregated_By_Sector!E270)*1000</f>
        <v>0</v>
      </c>
      <c r="H109" s="24">
        <f>(Aggregated_By_Sector!F270)*1000</f>
        <v>0</v>
      </c>
      <c r="I109" s="24">
        <f>(Aggregated_By_Sector!G270)*1000</f>
        <v>0</v>
      </c>
      <c r="J109" s="24">
        <f>(Aggregated_By_Sector!H270)*1000</f>
        <v>0</v>
      </c>
      <c r="K109" s="4"/>
      <c r="L109" s="79"/>
      <c r="N109" s="71">
        <f>16-9</f>
        <v>7</v>
      </c>
      <c r="O109" s="4">
        <v>0.16169401671515815</v>
      </c>
    </row>
    <row r="110" spans="1:45" x14ac:dyDescent="0.2">
      <c r="A110" s="45" t="s">
        <v>1</v>
      </c>
      <c r="B110" s="46" t="s">
        <v>1028</v>
      </c>
      <c r="C110" s="46" t="s">
        <v>915</v>
      </c>
      <c r="D110" s="46" t="s">
        <v>1013</v>
      </c>
      <c r="E110" s="46">
        <f>Aggregated_By_Sector!C221*1000</f>
        <v>44180538.792526804</v>
      </c>
      <c r="F110" s="46">
        <f>Aggregated_By_Sector!D221*1000</f>
        <v>0</v>
      </c>
      <c r="G110" s="46">
        <f>Aggregated_By_Sector!E221*1000</f>
        <v>0</v>
      </c>
      <c r="H110" s="46">
        <f>Aggregated_By_Sector!F221*1000</f>
        <v>0</v>
      </c>
      <c r="I110" s="46">
        <f>Aggregated_By_Sector!G221*1000</f>
        <v>0</v>
      </c>
      <c r="J110" s="46">
        <f>Aggregated_By_Sector!H221*1000</f>
        <v>0</v>
      </c>
      <c r="K110" s="4"/>
      <c r="L110" s="79"/>
      <c r="N110" s="71"/>
    </row>
    <row r="111" spans="1:45" ht="16" x14ac:dyDescent="0.2">
      <c r="B111" s="96" t="s">
        <v>943</v>
      </c>
      <c r="C111" s="96"/>
      <c r="E111" s="3">
        <v>2025</v>
      </c>
      <c r="F111" s="3">
        <v>2030</v>
      </c>
      <c r="G111" s="3">
        <v>2035</v>
      </c>
      <c r="H111" s="3">
        <v>2040</v>
      </c>
      <c r="I111" s="3">
        <v>2045</v>
      </c>
      <c r="J111" s="3">
        <v>2050</v>
      </c>
      <c r="K111" s="4" t="s">
        <v>944</v>
      </c>
      <c r="L111" s="82">
        <v>2025</v>
      </c>
      <c r="M111" s="4">
        <v>2030</v>
      </c>
      <c r="N111" s="4">
        <v>2035</v>
      </c>
      <c r="O111" s="4">
        <v>2040</v>
      </c>
      <c r="P111" s="4">
        <v>2045</v>
      </c>
      <c r="Q111" s="4">
        <v>2050</v>
      </c>
    </row>
    <row r="112" spans="1:45" ht="16" x14ac:dyDescent="0.2">
      <c r="A112" s="4" t="s">
        <v>943</v>
      </c>
      <c r="B112" s="9" t="s">
        <v>945</v>
      </c>
      <c r="C112" s="22" t="s">
        <v>915</v>
      </c>
      <c r="D112" s="9" t="s">
        <v>946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K112" s="4">
        <f>J112/4</f>
        <v>0</v>
      </c>
      <c r="L112" s="82">
        <f t="shared" ref="L112:L123" si="0">E112/SUM(E$112:E$123)</f>
        <v>0</v>
      </c>
      <c r="M112" s="4">
        <f t="shared" ref="M112:M123" si="1">F112/SUM(F$112:F$123)</f>
        <v>0</v>
      </c>
      <c r="N112" s="70">
        <f t="shared" ref="N112:N123" si="2">G112/SUM(G$112:G$123)</f>
        <v>0</v>
      </c>
      <c r="O112" s="70">
        <f t="shared" ref="O112:O123" si="3">H112/SUM(H$112:H$123)</f>
        <v>0</v>
      </c>
      <c r="P112" s="70">
        <f t="shared" ref="P112:P123" si="4">I112/SUM(I$112:I$123)</f>
        <v>0</v>
      </c>
      <c r="Q112" s="70">
        <f t="shared" ref="Q112:Q123" si="5">J112/SUM(J$112:J$123)</f>
        <v>0</v>
      </c>
    </row>
    <row r="113" spans="1:17" ht="16" x14ac:dyDescent="0.2">
      <c r="A113" s="4" t="s">
        <v>943</v>
      </c>
      <c r="B113" s="20" t="s">
        <v>947</v>
      </c>
      <c r="C113" s="22" t="s">
        <v>915</v>
      </c>
      <c r="D113" s="20" t="s">
        <v>948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/>
      <c r="L113" s="82">
        <f t="shared" si="0"/>
        <v>0</v>
      </c>
      <c r="M113" s="4">
        <f t="shared" si="1"/>
        <v>0</v>
      </c>
      <c r="N113" s="70">
        <f t="shared" si="2"/>
        <v>0</v>
      </c>
      <c r="O113" s="70">
        <f t="shared" si="3"/>
        <v>0</v>
      </c>
      <c r="P113" s="70">
        <f t="shared" si="4"/>
        <v>0</v>
      </c>
      <c r="Q113" s="70">
        <f t="shared" si="5"/>
        <v>0</v>
      </c>
    </row>
    <row r="114" spans="1:17" ht="16" x14ac:dyDescent="0.2">
      <c r="A114" s="4" t="s">
        <v>943</v>
      </c>
      <c r="B114" s="20" t="s">
        <v>949</v>
      </c>
      <c r="C114" s="22" t="s">
        <v>915</v>
      </c>
      <c r="D114" s="72" t="s">
        <v>950</v>
      </c>
      <c r="E114" s="72">
        <f>(Final_Investments_Multiplied!C232+Final_Investments_Multiplied!C1445+Final_Investments_Multiplied!C1590+Final_Investments_Multiplied!C163+SUM(Final_Investments_Multiplied!C1149:C1153))*1000</f>
        <v>20141937.466456492</v>
      </c>
      <c r="F114" s="72">
        <f>(Final_Investments_Multiplied!D232+Final_Investments_Multiplied!D1445+Final_Investments_Multiplied!D1590+Final_Investments_Multiplied!D163+SUM(Final_Investments_Multiplied!D1149:D1153))*1000</f>
        <v>1940.5172417050992</v>
      </c>
      <c r="G114" s="72">
        <f>(Final_Investments_Multiplied!E232+Final_Investments_Multiplied!E1445+Final_Investments_Multiplied!E1590+Final_Investments_Multiplied!E163+SUM(Final_Investments_Multiplied!E1149:E1153))*1000</f>
        <v>0</v>
      </c>
      <c r="H114" s="72">
        <f>(Final_Investments_Multiplied!F232+Final_Investments_Multiplied!F1445+Final_Investments_Multiplied!F1590+Final_Investments_Multiplied!F163+SUM(Final_Investments_Multiplied!F1149:F1153))*1000</f>
        <v>0</v>
      </c>
      <c r="I114" s="72">
        <f>(Final_Investments_Multiplied!G232+Final_Investments_Multiplied!G1445+Final_Investments_Multiplied!G1590+Final_Investments_Multiplied!G163+SUM(Final_Investments_Multiplied!G1149:G1153))*1000</f>
        <v>0</v>
      </c>
      <c r="J114" s="72">
        <f>(Final_Investments_Multiplied!H232+Final_Investments_Multiplied!H1445+Final_Investments_Multiplied!H1590+Final_Investments_Multiplied!H163+SUM(Final_Investments_Multiplied!H1149:H1153))*1000</f>
        <v>0</v>
      </c>
      <c r="K114" s="4">
        <f>J114/4</f>
        <v>0</v>
      </c>
      <c r="L114" s="83">
        <f t="shared" si="0"/>
        <v>0.44601344722000841</v>
      </c>
      <c r="M114" s="70">
        <f t="shared" si="1"/>
        <v>0.35027603273283381</v>
      </c>
      <c r="N114" s="70">
        <f t="shared" si="2"/>
        <v>0</v>
      </c>
      <c r="O114" s="70">
        <f t="shared" si="3"/>
        <v>0</v>
      </c>
      <c r="P114" s="70">
        <f t="shared" si="4"/>
        <v>0</v>
      </c>
      <c r="Q114" s="70">
        <f t="shared" si="5"/>
        <v>0</v>
      </c>
    </row>
    <row r="115" spans="1:17" ht="16" x14ac:dyDescent="0.2">
      <c r="A115" s="4" t="s">
        <v>943</v>
      </c>
      <c r="B115" s="72" t="s">
        <v>951</v>
      </c>
      <c r="C115" s="22" t="s">
        <v>915</v>
      </c>
      <c r="D115" s="72" t="s">
        <v>952</v>
      </c>
      <c r="E115" s="72">
        <f>Aggregated_By_Sector!C150*1000</f>
        <v>2940871.564806825</v>
      </c>
      <c r="F115" s="72">
        <f>Aggregated_By_Sector!D150*1000</f>
        <v>0</v>
      </c>
      <c r="G115" s="72">
        <f>Aggregated_By_Sector!E150*1000</f>
        <v>0</v>
      </c>
      <c r="H115" s="72">
        <f>Aggregated_By_Sector!F150*1000</f>
        <v>0</v>
      </c>
      <c r="I115" s="72">
        <f>Aggregated_By_Sector!G150*1000</f>
        <v>0</v>
      </c>
      <c r="J115" s="72">
        <f>Aggregated_By_Sector!H150*1000</f>
        <v>0</v>
      </c>
      <c r="K115" s="4">
        <f t="shared" ref="K115:K123" si="6">J115/4</f>
        <v>0</v>
      </c>
      <c r="L115" s="83">
        <f t="shared" si="0"/>
        <v>6.5121255918661636E-2</v>
      </c>
      <c r="M115" s="70">
        <f t="shared" si="1"/>
        <v>0</v>
      </c>
      <c r="N115" s="70">
        <f t="shared" si="2"/>
        <v>0</v>
      </c>
      <c r="O115" s="70">
        <f t="shared" si="3"/>
        <v>0</v>
      </c>
      <c r="P115" s="70">
        <f t="shared" si="4"/>
        <v>0</v>
      </c>
      <c r="Q115" s="70">
        <f t="shared" si="5"/>
        <v>0</v>
      </c>
    </row>
    <row r="116" spans="1:17" ht="16" x14ac:dyDescent="0.2">
      <c r="A116" s="4" t="s">
        <v>943</v>
      </c>
      <c r="B116" s="72" t="s">
        <v>953</v>
      </c>
      <c r="C116" s="22" t="s">
        <v>915</v>
      </c>
      <c r="D116" s="72" t="s">
        <v>954</v>
      </c>
      <c r="E116" s="72">
        <f>(SUM(Final_Investments_Multiplied!C762:C768))*1000</f>
        <v>135925.10477026811</v>
      </c>
      <c r="F116" s="72">
        <f>(SUM(Final_Investments_Multiplied!D762:D768))*1000</f>
        <v>0</v>
      </c>
      <c r="G116" s="72">
        <f>(SUM(Final_Investments_Multiplied!E762:E768))*1000</f>
        <v>0</v>
      </c>
      <c r="H116" s="72">
        <f>(SUM(Final_Investments_Multiplied!F762:F768))*1000</f>
        <v>0</v>
      </c>
      <c r="I116" s="72">
        <f>(SUM(Final_Investments_Multiplied!G762:G768))*1000</f>
        <v>0</v>
      </c>
      <c r="J116" s="72">
        <f>(SUM(Final_Investments_Multiplied!H762:H768))*1000</f>
        <v>0</v>
      </c>
      <c r="K116" s="4">
        <f t="shared" si="6"/>
        <v>0</v>
      </c>
      <c r="L116" s="83">
        <f t="shared" si="0"/>
        <v>3.0098606275235128E-3</v>
      </c>
      <c r="M116" s="70">
        <f t="shared" si="1"/>
        <v>0</v>
      </c>
      <c r="N116" s="70">
        <f t="shared" si="2"/>
        <v>0</v>
      </c>
      <c r="O116" s="70">
        <f t="shared" si="3"/>
        <v>0</v>
      </c>
      <c r="P116" s="70">
        <f t="shared" si="4"/>
        <v>0</v>
      </c>
      <c r="Q116" s="70">
        <f t="shared" si="5"/>
        <v>0</v>
      </c>
    </row>
    <row r="117" spans="1:17" ht="16" x14ac:dyDescent="0.2">
      <c r="A117" s="4" t="s">
        <v>943</v>
      </c>
      <c r="B117" s="72" t="s">
        <v>955</v>
      </c>
      <c r="C117" s="22" t="s">
        <v>915</v>
      </c>
      <c r="D117" s="72" t="s">
        <v>956</v>
      </c>
      <c r="E117" s="72">
        <f>Final_Investments_Multiplied!C731*1000</f>
        <v>0.32394501761566141</v>
      </c>
      <c r="F117" s="72">
        <f>Final_Investments_Multiplied!D731*1000</f>
        <v>0</v>
      </c>
      <c r="G117" s="72">
        <f>Final_Investments_Multiplied!E731*1000</f>
        <v>0</v>
      </c>
      <c r="H117" s="72">
        <f>Final_Investments_Multiplied!F731*1000</f>
        <v>0</v>
      </c>
      <c r="I117" s="72">
        <f>Final_Investments_Multiplied!G731*1000</f>
        <v>0</v>
      </c>
      <c r="J117" s="72">
        <v>0</v>
      </c>
      <c r="K117" s="4">
        <f t="shared" si="6"/>
        <v>0</v>
      </c>
      <c r="L117" s="83">
        <f t="shared" si="0"/>
        <v>7.1732838142867139E-9</v>
      </c>
      <c r="M117" s="70">
        <f t="shared" si="1"/>
        <v>0</v>
      </c>
      <c r="N117" s="70">
        <f t="shared" si="2"/>
        <v>0</v>
      </c>
      <c r="O117" s="70">
        <f t="shared" si="3"/>
        <v>0</v>
      </c>
      <c r="P117" s="70">
        <f t="shared" si="4"/>
        <v>0</v>
      </c>
      <c r="Q117" s="70">
        <f t="shared" si="5"/>
        <v>0</v>
      </c>
    </row>
    <row r="118" spans="1:17" ht="16" x14ac:dyDescent="0.2">
      <c r="A118" s="4" t="s">
        <v>943</v>
      </c>
      <c r="B118" s="72" t="s">
        <v>820</v>
      </c>
      <c r="C118" s="22" t="s">
        <v>915</v>
      </c>
      <c r="D118" s="72" t="s">
        <v>957</v>
      </c>
      <c r="E118" s="72">
        <f>(Final_Investments_Multiplied!C47+Final_Investments_Multiplied!C142)*1000</f>
        <v>12579306.464535421</v>
      </c>
      <c r="F118" s="72">
        <f>(Final_Investments_Multiplied!D47+Final_Investments_Multiplied!D142)*1000</f>
        <v>0</v>
      </c>
      <c r="G118" s="72">
        <f>(Final_Investments_Multiplied!E47+Final_Investments_Multiplied!E142)*1000</f>
        <v>0</v>
      </c>
      <c r="H118" s="72">
        <f>(Final_Investments_Multiplied!F47+Final_Investments_Multiplied!F142)*1000</f>
        <v>0</v>
      </c>
      <c r="I118" s="72">
        <f>(Final_Investments_Multiplied!G47+Final_Investments_Multiplied!G142)*1000</f>
        <v>0</v>
      </c>
      <c r="J118" s="72">
        <f>(Final_Investments_Multiplied!H47+Final_Investments_Multiplied!H142)*1000</f>
        <v>0</v>
      </c>
      <c r="K118" s="4">
        <f t="shared" si="6"/>
        <v>0</v>
      </c>
      <c r="L118" s="83">
        <f t="shared" si="0"/>
        <v>0.27855015681723411</v>
      </c>
      <c r="M118" s="73">
        <f t="shared" si="1"/>
        <v>0</v>
      </c>
      <c r="N118" s="73">
        <f t="shared" si="2"/>
        <v>0</v>
      </c>
      <c r="O118" s="73">
        <f t="shared" si="3"/>
        <v>0</v>
      </c>
      <c r="P118" s="73">
        <f t="shared" si="4"/>
        <v>0</v>
      </c>
      <c r="Q118" s="73">
        <f t="shared" si="5"/>
        <v>0</v>
      </c>
    </row>
    <row r="119" spans="1:17" ht="16" x14ac:dyDescent="0.2">
      <c r="A119" s="4" t="s">
        <v>943</v>
      </c>
      <c r="B119" s="72" t="s">
        <v>934</v>
      </c>
      <c r="C119" s="22" t="s">
        <v>915</v>
      </c>
      <c r="D119" s="72" t="s">
        <v>958</v>
      </c>
      <c r="E119" s="72">
        <f>(Final_Investments_Multiplied!C565+Final_Investments_Multiplied!C567+Final_Investments_Multiplied!C569+Final_Investments_Multiplied!C571+Final_Investments_Multiplied!C816+Final_Investments_Multiplied!C1332+Final_Investments_Multiplied!C1353)*1000</f>
        <v>7704007.3011570182</v>
      </c>
      <c r="F119" s="72">
        <f>(Final_Investments_Multiplied!D565+Final_Investments_Multiplied!D567+Final_Investments_Multiplied!D569+Final_Investments_Multiplied!D571+Final_Investments_Multiplied!D816+Final_Investments_Multiplied!D1332+Final_Investments_Multiplied!D1353)*1000</f>
        <v>3127.1534315269264</v>
      </c>
      <c r="G119" s="72">
        <f>(Final_Investments_Multiplied!E565+Final_Investments_Multiplied!E567+Final_Investments_Multiplied!E569+Final_Investments_Multiplied!E571+Final_Investments_Multiplied!E816+Final_Investments_Multiplied!E1332+Final_Investments_Multiplied!E1353)*1000</f>
        <v>3921.9607061284137</v>
      </c>
      <c r="H119" s="72">
        <f>(Final_Investments_Multiplied!F565+Final_Investments_Multiplied!F567+Final_Investments_Multiplied!F569+Final_Investments_Multiplied!F571+Final_Investments_Multiplied!F816+Final_Investments_Multiplied!F1332+Final_Investments_Multiplied!F1353)*1000</f>
        <v>40793.855080746209</v>
      </c>
      <c r="I119" s="72">
        <f>(Final_Investments_Multiplied!G565+Final_Investments_Multiplied!G567+Final_Investments_Multiplied!G569+Final_Investments_Multiplied!G571+Final_Investments_Multiplied!G816+Final_Investments_Multiplied!G1332+Final_Investments_Multiplied!G1353)*1000</f>
        <v>4867.0484574637376</v>
      </c>
      <c r="J119" s="72">
        <f>(((Final_Investments_Multiplied!H565+Final_Investments_Multiplied!H567+Final_Investments_Multiplied!H569+Final_Investments_Multiplied!H571+Final_Investments_Multiplied!H816+Final_Investments_Multiplied!H1332+Final_Investments_Multiplied!H1353)/5)*4)*1000</f>
        <v>3798.2132842082392</v>
      </c>
      <c r="K119" s="4">
        <f t="shared" si="6"/>
        <v>949.5533210520598</v>
      </c>
      <c r="L119" s="83">
        <f t="shared" si="0"/>
        <v>0.17059385967807078</v>
      </c>
      <c r="M119" s="73">
        <f t="shared" si="1"/>
        <v>0.56447161313528915</v>
      </c>
      <c r="N119" s="73">
        <f t="shared" si="2"/>
        <v>0.65988509505800863</v>
      </c>
      <c r="O119" s="73">
        <f t="shared" si="3"/>
        <v>1</v>
      </c>
      <c r="P119" s="73">
        <f t="shared" si="4"/>
        <v>1</v>
      </c>
      <c r="Q119" s="73">
        <f t="shared" si="5"/>
        <v>1</v>
      </c>
    </row>
    <row r="120" spans="1:17" ht="16" x14ac:dyDescent="0.2">
      <c r="A120" s="4" t="s">
        <v>943</v>
      </c>
      <c r="B120" s="72" t="s">
        <v>936</v>
      </c>
      <c r="C120" s="22" t="s">
        <v>915</v>
      </c>
      <c r="D120" s="72" t="s">
        <v>919</v>
      </c>
      <c r="E120" s="72">
        <f>(Final_Investments_Multiplied!C169+Final_Investments_Multiplied!C775+Final_Investments_Multiplied!C817+Final_Investments_Multiplied!C1341+Final_Investments_Multiplied!C1456+Final_Investments_Multiplied!C1502)*1000</f>
        <v>1657881.8265765565</v>
      </c>
      <c r="F120" s="72">
        <f>(Final_Investments_Multiplied!D169+Final_Investments_Multiplied!D775+Final_Investments_Multiplied!D817+Final_Investments_Multiplied!D1341+Final_Investments_Multiplied!D1456+Final_Investments_Multiplied!D1502)*1000</f>
        <v>472.15946187074582</v>
      </c>
      <c r="G120" s="72">
        <f>(Final_Investments_Multiplied!E169+Final_Investments_Multiplied!E775+Final_Investments_Multiplied!E817+Final_Investments_Multiplied!E1341+Final_Investments_Multiplied!E1456+Final_Investments_Multiplied!E1502)*1000</f>
        <v>1.9628212874068718</v>
      </c>
      <c r="H120" s="72">
        <f>(Final_Investments_Multiplied!F169+Final_Investments_Multiplied!F775+Final_Investments_Multiplied!F817+Final_Investments_Multiplied!F1341+Final_Investments_Multiplied!F1456+Final_Investments_Multiplied!F1502)*1000</f>
        <v>0</v>
      </c>
      <c r="I120" s="72">
        <f>(Final_Investments_Multiplied!G169+Final_Investments_Multiplied!G775+Final_Investments_Multiplied!G817+Final_Investments_Multiplied!G1341+Final_Investments_Multiplied!G1456+Final_Investments_Multiplied!G1502)*1000</f>
        <v>0</v>
      </c>
      <c r="J120" s="72">
        <f>(Final_Investments_Multiplied!H169+Final_Investments_Multiplied!H775+Final_Investments_Multiplied!H817+Final_Investments_Multiplied!H1341+Final_Investments_Multiplied!H1456+Final_Investments_Multiplied!H1502)*1000</f>
        <v>0</v>
      </c>
      <c r="K120" s="4">
        <f t="shared" si="6"/>
        <v>0</v>
      </c>
      <c r="L120" s="83">
        <f t="shared" si="0"/>
        <v>3.6711343672188507E-2</v>
      </c>
      <c r="M120" s="70">
        <f t="shared" si="1"/>
        <v>8.5227865832324473E-2</v>
      </c>
      <c r="N120" s="70">
        <f t="shared" si="2"/>
        <v>3.3025229186984043E-4</v>
      </c>
      <c r="O120" s="70">
        <f t="shared" si="3"/>
        <v>0</v>
      </c>
      <c r="P120" s="70">
        <f t="shared" si="4"/>
        <v>0</v>
      </c>
      <c r="Q120" s="70">
        <f t="shared" si="5"/>
        <v>0</v>
      </c>
    </row>
    <row r="121" spans="1:17" ht="16" x14ac:dyDescent="0.2">
      <c r="A121" s="4" t="s">
        <v>943</v>
      </c>
      <c r="B121" s="20" t="s">
        <v>959</v>
      </c>
      <c r="C121" s="22" t="s">
        <v>915</v>
      </c>
      <c r="D121" s="20" t="s">
        <v>960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f t="shared" si="6"/>
        <v>0</v>
      </c>
      <c r="L121" s="83">
        <f t="shared" si="0"/>
        <v>0</v>
      </c>
      <c r="M121" s="70">
        <f t="shared" si="1"/>
        <v>0</v>
      </c>
      <c r="N121" s="70">
        <f t="shared" si="2"/>
        <v>0</v>
      </c>
      <c r="O121" s="70">
        <f t="shared" si="3"/>
        <v>0</v>
      </c>
      <c r="P121" s="70">
        <f t="shared" si="4"/>
        <v>0</v>
      </c>
      <c r="Q121" s="70">
        <f t="shared" si="5"/>
        <v>0</v>
      </c>
    </row>
    <row r="122" spans="1:17" ht="16" x14ac:dyDescent="0.2">
      <c r="A122" s="4" t="s">
        <v>943</v>
      </c>
      <c r="B122" s="72" t="s">
        <v>961</v>
      </c>
      <c r="C122" s="22" t="s">
        <v>915</v>
      </c>
      <c r="D122" s="72" t="s">
        <v>962</v>
      </c>
      <c r="E122" s="72">
        <f>(Final_Investments_Multiplied!C619+Final_Investments_Multiplied!C670)*1000</f>
        <v>2.4782075653733973</v>
      </c>
      <c r="F122" s="72">
        <f>(Final_Investments_Multiplied!D619+Final_Investments_Multiplied!D670)*1000</f>
        <v>0.13566434200779029</v>
      </c>
      <c r="G122" s="72">
        <f>(Final_Investments_Multiplied!E619+Final_Investments_Multiplied!E670)*1000</f>
        <v>5.2731498712044106E-2</v>
      </c>
      <c r="H122" s="72">
        <f>(Final_Investments_Multiplied!F619+Final_Investments_Multiplied!F670)*1000</f>
        <v>0</v>
      </c>
      <c r="I122" s="72">
        <f>(Final_Investments_Multiplied!G619+Final_Investments_Multiplied!G670)*1000</f>
        <v>0</v>
      </c>
      <c r="J122" s="72">
        <f>(Final_Investments_Multiplied!H619+Final_Investments_Multiplied!H670)*1000</f>
        <v>0</v>
      </c>
      <c r="K122" s="4">
        <f t="shared" si="6"/>
        <v>0</v>
      </c>
      <c r="L122" s="83">
        <f t="shared" si="0"/>
        <v>5.4876245197346828E-8</v>
      </c>
      <c r="M122" s="70">
        <f t="shared" si="1"/>
        <v>2.4488299552568846E-5</v>
      </c>
      <c r="N122" s="70">
        <f t="shared" si="2"/>
        <v>8.8722791092158292E-6</v>
      </c>
      <c r="O122" s="70">
        <f t="shared" si="3"/>
        <v>0</v>
      </c>
      <c r="P122" s="70">
        <f t="shared" si="4"/>
        <v>0</v>
      </c>
      <c r="Q122" s="70">
        <f t="shared" si="5"/>
        <v>0</v>
      </c>
    </row>
    <row r="123" spans="1:17" ht="16" x14ac:dyDescent="0.2">
      <c r="A123" s="4" t="s">
        <v>943</v>
      </c>
      <c r="B123" s="74" t="s">
        <v>963</v>
      </c>
      <c r="C123" s="22" t="s">
        <v>915</v>
      </c>
      <c r="D123" s="74" t="s">
        <v>964</v>
      </c>
      <c r="E123" s="72">
        <f>SUM(Final_Investments_Multiplied!C920:C927)*1000</f>
        <v>0.63299703101388261</v>
      </c>
      <c r="F123" s="72">
        <f>SUM(Final_Investments_Multiplied!D920:D927)*1000</f>
        <v>0</v>
      </c>
      <c r="G123" s="72">
        <f>SUM(Final_Investments_Multiplied!E920:E927)*1000</f>
        <v>2019.4231836560639</v>
      </c>
      <c r="H123" s="72">
        <f>SUM(Final_Investments_Multiplied!F920:F927)*1000</f>
        <v>0</v>
      </c>
      <c r="I123" s="72">
        <f>SUM(Final_Investments_Multiplied!G920:G927)*1000</f>
        <v>0</v>
      </c>
      <c r="J123" s="72">
        <f>SUM(Final_Investments_Multiplied!H920:H927)*1000</f>
        <v>0</v>
      </c>
      <c r="K123" s="4">
        <f t="shared" si="6"/>
        <v>0</v>
      </c>
      <c r="L123" s="83">
        <f t="shared" si="0"/>
        <v>1.401678405330691E-8</v>
      </c>
      <c r="M123" s="70">
        <f t="shared" si="1"/>
        <v>0</v>
      </c>
      <c r="N123" s="70">
        <f t="shared" si="2"/>
        <v>0.33977578037101225</v>
      </c>
      <c r="O123" s="70">
        <f t="shared" si="3"/>
        <v>0</v>
      </c>
      <c r="P123" s="70">
        <f t="shared" si="4"/>
        <v>0</v>
      </c>
      <c r="Q123" s="70">
        <f t="shared" si="5"/>
        <v>0</v>
      </c>
    </row>
    <row r="124" spans="1:17" ht="16" x14ac:dyDescent="0.2">
      <c r="A124" s="65" t="s">
        <v>1</v>
      </c>
      <c r="B124" s="66" t="s">
        <v>928</v>
      </c>
      <c r="C124" s="67" t="s">
        <v>915</v>
      </c>
      <c r="D124" s="68" t="s">
        <v>916</v>
      </c>
      <c r="E124" s="86">
        <v>0</v>
      </c>
      <c r="F124" s="86">
        <v>0</v>
      </c>
      <c r="G124" s="86">
        <v>0</v>
      </c>
      <c r="H124" s="86">
        <v>0</v>
      </c>
      <c r="I124" s="86">
        <v>0</v>
      </c>
      <c r="J124" s="86">
        <v>0</v>
      </c>
      <c r="K124" s="86">
        <v>0</v>
      </c>
      <c r="L124"/>
      <c r="M124"/>
      <c r="N124"/>
      <c r="O124"/>
      <c r="P124"/>
    </row>
    <row r="125" spans="1:17" ht="16" x14ac:dyDescent="0.2">
      <c r="A125" s="13" t="s">
        <v>1</v>
      </c>
      <c r="B125" s="66" t="s">
        <v>928</v>
      </c>
      <c r="C125" s="15" t="s">
        <v>915</v>
      </c>
      <c r="D125" s="16" t="s">
        <v>918</v>
      </c>
      <c r="E125" s="86">
        <v>0</v>
      </c>
      <c r="F125" s="86">
        <v>0</v>
      </c>
      <c r="G125" s="86">
        <v>0</v>
      </c>
      <c r="H125" s="86">
        <v>0</v>
      </c>
      <c r="I125" s="86">
        <v>0</v>
      </c>
      <c r="J125" s="86">
        <v>0</v>
      </c>
      <c r="K125" s="86">
        <v>0</v>
      </c>
      <c r="L125"/>
      <c r="M125"/>
      <c r="N125"/>
      <c r="O125"/>
      <c r="P125"/>
    </row>
    <row r="126" spans="1:17" ht="16" x14ac:dyDescent="0.2">
      <c r="A126" s="13" t="s">
        <v>1</v>
      </c>
      <c r="B126" s="66" t="s">
        <v>928</v>
      </c>
      <c r="C126" s="15" t="s">
        <v>915</v>
      </c>
      <c r="D126" s="16" t="s">
        <v>920</v>
      </c>
      <c r="E126" s="86">
        <v>0</v>
      </c>
      <c r="F126" s="86">
        <v>0</v>
      </c>
      <c r="G126" s="86">
        <v>0</v>
      </c>
      <c r="H126" s="86">
        <v>0</v>
      </c>
      <c r="I126" s="86">
        <v>0</v>
      </c>
      <c r="J126" s="86">
        <v>0</v>
      </c>
      <c r="K126" s="86">
        <v>0</v>
      </c>
      <c r="L126"/>
      <c r="M126"/>
      <c r="N126"/>
      <c r="O126"/>
      <c r="P126"/>
    </row>
    <row r="127" spans="1:17" ht="16" x14ac:dyDescent="0.2">
      <c r="A127" s="13" t="s">
        <v>1</v>
      </c>
      <c r="B127" s="66" t="s">
        <v>928</v>
      </c>
      <c r="C127" s="15" t="s">
        <v>915</v>
      </c>
      <c r="D127" s="16" t="s">
        <v>923</v>
      </c>
      <c r="E127" s="86">
        <v>0</v>
      </c>
      <c r="F127" s="86">
        <v>0</v>
      </c>
      <c r="G127" s="86">
        <v>0</v>
      </c>
      <c r="H127" s="86">
        <v>0</v>
      </c>
      <c r="I127" s="86">
        <v>0</v>
      </c>
      <c r="J127" s="86">
        <v>0</v>
      </c>
      <c r="K127" s="86">
        <v>0</v>
      </c>
      <c r="L127"/>
      <c r="M127"/>
      <c r="N127"/>
      <c r="O127"/>
      <c r="P127"/>
    </row>
    <row r="128" spans="1:17" ht="16" x14ac:dyDescent="0.2">
      <c r="A128" s="13" t="s">
        <v>1</v>
      </c>
      <c r="B128" s="66" t="s">
        <v>928</v>
      </c>
      <c r="C128" s="15" t="s">
        <v>915</v>
      </c>
      <c r="D128" s="16" t="s">
        <v>924</v>
      </c>
      <c r="E128" s="86">
        <f>(Final_Investments_Multiplied!C1333+Final_Investments_Multiplied!C1335+Final_Investments_Multiplied!C1337+Final_Investments_Multiplied!C1354)*1000</f>
        <v>0</v>
      </c>
      <c r="F128" s="86">
        <f>(Final_Investments_Multiplied!D1333+Final_Investments_Multiplied!D1335+Final_Investments_Multiplied!D1337+Final_Investments_Multiplied!D1354)*1000</f>
        <v>0.41643535515514224</v>
      </c>
      <c r="G128" s="86">
        <f>(Final_Investments_Multiplied!E1333+Final_Investments_Multiplied!E1335+Final_Investments_Multiplied!E1337+Final_Investments_Multiplied!E1354)*1000</f>
        <v>0</v>
      </c>
      <c r="H128" s="86">
        <f>(Final_Investments_Multiplied!F1333+Final_Investments_Multiplied!F1335+Final_Investments_Multiplied!F1337+Final_Investments_Multiplied!F1354)*1000</f>
        <v>0</v>
      </c>
      <c r="I128" s="86">
        <f>(Final_Investments_Multiplied!G1333+Final_Investments_Multiplied!G1335+Final_Investments_Multiplied!G1337+Final_Investments_Multiplied!G1354)*1000</f>
        <v>32229.704044720991</v>
      </c>
      <c r="J128" s="86">
        <f>(((Final_Investments_Multiplied!H1333+Final_Investments_Multiplied!H1335+Final_Investments_Multiplied!H1337+Final_Investments_Multiplied!H1354)*1000)/5)*4</f>
        <v>7.0039458799433477E-2</v>
      </c>
      <c r="K128" s="86">
        <f>J128/4</f>
        <v>1.7509864699858369E-2</v>
      </c>
      <c r="L128"/>
      <c r="M128"/>
      <c r="N128"/>
      <c r="O128"/>
      <c r="P128"/>
    </row>
    <row r="129" spans="1:16" ht="16" x14ac:dyDescent="0.2">
      <c r="A129" s="13" t="s">
        <v>1</v>
      </c>
      <c r="B129" s="66" t="s">
        <v>928</v>
      </c>
      <c r="C129" s="15" t="s">
        <v>915</v>
      </c>
      <c r="D129" s="16" t="s">
        <v>925</v>
      </c>
      <c r="E129" s="86">
        <v>0</v>
      </c>
      <c r="F129" s="86">
        <v>0</v>
      </c>
      <c r="G129" s="86">
        <v>0</v>
      </c>
      <c r="H129" s="86">
        <v>0</v>
      </c>
      <c r="I129" s="86">
        <v>0</v>
      </c>
      <c r="J129" s="86">
        <v>0</v>
      </c>
      <c r="K129" s="86">
        <v>0</v>
      </c>
      <c r="L129"/>
      <c r="M129"/>
      <c r="N129"/>
      <c r="O129"/>
      <c r="P129"/>
    </row>
    <row r="130" spans="1:16" ht="16" x14ac:dyDescent="0.2">
      <c r="A130" s="13" t="s">
        <v>1</v>
      </c>
      <c r="B130" s="66" t="s">
        <v>928</v>
      </c>
      <c r="C130" s="15" t="s">
        <v>915</v>
      </c>
      <c r="D130" s="16" t="s">
        <v>926</v>
      </c>
      <c r="E130" s="86">
        <v>0</v>
      </c>
      <c r="F130" s="86">
        <v>0</v>
      </c>
      <c r="G130" s="86">
        <v>0</v>
      </c>
      <c r="H130" s="86">
        <v>0</v>
      </c>
      <c r="I130" s="86">
        <v>0</v>
      </c>
      <c r="J130" s="86">
        <v>0</v>
      </c>
      <c r="K130" s="86">
        <v>0</v>
      </c>
      <c r="L130"/>
      <c r="M130"/>
      <c r="N130"/>
      <c r="O130"/>
      <c r="P130"/>
    </row>
    <row r="131" spans="1:16" ht="16" x14ac:dyDescent="0.2">
      <c r="A131" s="13" t="s">
        <v>1</v>
      </c>
      <c r="B131" s="66" t="s">
        <v>928</v>
      </c>
      <c r="C131" s="15" t="s">
        <v>915</v>
      </c>
      <c r="D131" s="16" t="s">
        <v>927</v>
      </c>
      <c r="E131" s="86">
        <v>0</v>
      </c>
      <c r="F131" s="86">
        <v>0</v>
      </c>
      <c r="G131" s="86">
        <v>0</v>
      </c>
      <c r="H131" s="86">
        <v>0</v>
      </c>
      <c r="I131" s="86">
        <v>0</v>
      </c>
      <c r="J131" s="86">
        <v>0</v>
      </c>
      <c r="K131" s="86">
        <v>0</v>
      </c>
      <c r="L131"/>
      <c r="M131"/>
      <c r="N131"/>
      <c r="O131"/>
      <c r="P131"/>
    </row>
    <row r="132" spans="1:16" ht="16" x14ac:dyDescent="0.2">
      <c r="A132" s="13" t="s">
        <v>1</v>
      </c>
      <c r="B132" s="66" t="s">
        <v>928</v>
      </c>
      <c r="C132" s="15" t="s">
        <v>915</v>
      </c>
      <c r="D132" s="16" t="s">
        <v>928</v>
      </c>
      <c r="E132" s="86">
        <v>0</v>
      </c>
      <c r="F132" s="86">
        <v>0</v>
      </c>
      <c r="G132" s="86">
        <v>0</v>
      </c>
      <c r="H132" s="86">
        <v>0</v>
      </c>
      <c r="I132" s="86">
        <v>0</v>
      </c>
      <c r="J132" s="86">
        <v>0</v>
      </c>
      <c r="K132" s="86">
        <v>0</v>
      </c>
      <c r="L132"/>
      <c r="M132"/>
      <c r="N132"/>
      <c r="O132"/>
      <c r="P132"/>
    </row>
    <row r="133" spans="1:16" ht="16" x14ac:dyDescent="0.2">
      <c r="A133" s="13" t="s">
        <v>1</v>
      </c>
      <c r="B133" s="66" t="s">
        <v>928</v>
      </c>
      <c r="C133" s="15" t="s">
        <v>915</v>
      </c>
      <c r="D133" s="16" t="s">
        <v>929</v>
      </c>
      <c r="E133" s="86">
        <v>0</v>
      </c>
      <c r="F133" s="86">
        <v>0</v>
      </c>
      <c r="G133" s="86">
        <v>0</v>
      </c>
      <c r="H133" s="86">
        <v>0</v>
      </c>
      <c r="I133" s="86">
        <v>0</v>
      </c>
      <c r="J133" s="86">
        <v>0</v>
      </c>
      <c r="K133" s="86">
        <v>0</v>
      </c>
      <c r="L133"/>
      <c r="M133"/>
      <c r="N133"/>
      <c r="O133"/>
      <c r="P133"/>
    </row>
    <row r="134" spans="1:16" ht="16" x14ac:dyDescent="0.2">
      <c r="A134" s="13"/>
      <c r="B134" s="66"/>
      <c r="C134" s="15"/>
      <c r="D134" s="16"/>
      <c r="E134" s="86"/>
      <c r="F134" s="86"/>
      <c r="G134" s="86"/>
      <c r="H134" s="86"/>
      <c r="I134" s="86"/>
      <c r="J134" s="86"/>
      <c r="K134" s="86"/>
      <c r="L134"/>
      <c r="M134"/>
      <c r="N134"/>
      <c r="O134"/>
      <c r="P134"/>
    </row>
    <row r="135" spans="1:16" ht="16" x14ac:dyDescent="0.2">
      <c r="A135" s="13" t="s">
        <v>1</v>
      </c>
      <c r="B135" s="66" t="s">
        <v>928</v>
      </c>
      <c r="C135" s="22" t="s">
        <v>915</v>
      </c>
      <c r="D135" s="23" t="s">
        <v>930</v>
      </c>
      <c r="E135" s="87">
        <v>0</v>
      </c>
      <c r="F135" s="87">
        <v>0</v>
      </c>
      <c r="G135" s="87">
        <v>0</v>
      </c>
      <c r="H135" s="87">
        <v>0</v>
      </c>
      <c r="I135" s="87">
        <v>0</v>
      </c>
      <c r="J135" s="87">
        <v>0</v>
      </c>
      <c r="K135" s="87">
        <v>0</v>
      </c>
      <c r="L135"/>
      <c r="M135"/>
      <c r="N135"/>
      <c r="O135"/>
      <c r="P135"/>
    </row>
    <row r="136" spans="1:16" ht="16" x14ac:dyDescent="0.2">
      <c r="A136" s="65" t="s">
        <v>1</v>
      </c>
      <c r="B136" s="66" t="s">
        <v>929</v>
      </c>
      <c r="C136" s="67" t="s">
        <v>915</v>
      </c>
      <c r="D136" s="68" t="s">
        <v>916</v>
      </c>
      <c r="E136" s="86">
        <v>0</v>
      </c>
      <c r="F136" s="86">
        <v>0</v>
      </c>
      <c r="G136" s="86">
        <v>0</v>
      </c>
      <c r="H136" s="86">
        <v>0</v>
      </c>
      <c r="I136" s="86">
        <v>0</v>
      </c>
      <c r="J136" s="86">
        <v>0</v>
      </c>
      <c r="K136" s="86"/>
      <c r="L136"/>
      <c r="M136"/>
      <c r="N136"/>
      <c r="O136"/>
      <c r="P136"/>
    </row>
    <row r="137" spans="1:16" ht="16" x14ac:dyDescent="0.2">
      <c r="A137" s="13" t="s">
        <v>1</v>
      </c>
      <c r="B137" s="66" t="s">
        <v>929</v>
      </c>
      <c r="C137" s="15" t="s">
        <v>915</v>
      </c>
      <c r="D137" s="16" t="s">
        <v>918</v>
      </c>
      <c r="E137" s="86">
        <v>0</v>
      </c>
      <c r="F137" s="86">
        <v>0</v>
      </c>
      <c r="G137" s="86">
        <v>0</v>
      </c>
      <c r="H137" s="86">
        <v>0</v>
      </c>
      <c r="I137" s="86">
        <v>0</v>
      </c>
      <c r="J137" s="86">
        <v>0</v>
      </c>
      <c r="K137" s="86"/>
    </row>
    <row r="138" spans="1:16" ht="16" x14ac:dyDescent="0.2">
      <c r="A138" s="13" t="s">
        <v>1</v>
      </c>
      <c r="B138" s="66" t="s">
        <v>929</v>
      </c>
      <c r="C138" s="15" t="s">
        <v>915</v>
      </c>
      <c r="D138" s="16" t="s">
        <v>920</v>
      </c>
      <c r="E138" s="86">
        <v>0</v>
      </c>
      <c r="F138" s="86">
        <v>0</v>
      </c>
      <c r="G138" s="86">
        <v>0</v>
      </c>
      <c r="H138" s="86">
        <v>0</v>
      </c>
      <c r="I138" s="86">
        <v>0</v>
      </c>
      <c r="J138" s="86">
        <v>0</v>
      </c>
      <c r="K138" s="86"/>
    </row>
    <row r="139" spans="1:16" ht="16" x14ac:dyDescent="0.2">
      <c r="A139" s="13" t="s">
        <v>1</v>
      </c>
      <c r="B139" s="66" t="s">
        <v>929</v>
      </c>
      <c r="C139" s="15" t="s">
        <v>915</v>
      </c>
      <c r="D139" s="16" t="s">
        <v>923</v>
      </c>
      <c r="E139" s="86">
        <f>(Final_Investments_Multiplied!C13+Final_Investments_Multiplied!C48+Final_Investments_Multiplied!C655+Final_Investments_Multiplied!C1007+Final_Investments_Multiplied!C1011+Final_Investments_Multiplied!C1015+Final_Investments_Multiplied!C1017+Final_Investments_Multiplied!C1023)*1000</f>
        <v>1524128.3003184146</v>
      </c>
      <c r="F139" s="86">
        <f>(Final_Investments_Multiplied!D13+Final_Investments_Multiplied!D48+Final_Investments_Multiplied!D655+Final_Investments_Multiplied!D1007+Final_Investments_Multiplied!D1011+Final_Investments_Multiplied!D1015+Final_Investments_Multiplied!D1017+Final_Investments_Multiplied!D1023)*1000</f>
        <v>53758.023874258462</v>
      </c>
      <c r="G139" s="86">
        <f>(Final_Investments_Multiplied!E13+Final_Investments_Multiplied!E48+Final_Investments_Multiplied!E655+Final_Investments_Multiplied!E1007+Final_Investments_Multiplied!E1011+Final_Investments_Multiplied!E1015+Final_Investments_Multiplied!E1017+Final_Investments_Multiplied!E1023)*1000</f>
        <v>14634.192227971929</v>
      </c>
      <c r="H139" s="86">
        <f>(Final_Investments_Multiplied!F13+Final_Investments_Multiplied!F48+Final_Investments_Multiplied!F655+Final_Investments_Multiplied!F1007+Final_Investments_Multiplied!F1011+Final_Investments_Multiplied!F1015+Final_Investments_Multiplied!F1017+Final_Investments_Multiplied!F1023)*1000</f>
        <v>13819.751558486409</v>
      </c>
      <c r="I139" s="86">
        <f>(Final_Investments_Multiplied!G13+Final_Investments_Multiplied!G48+Final_Investments_Multiplied!G655+Final_Investments_Multiplied!G1007+Final_Investments_Multiplied!G1011+Final_Investments_Multiplied!G1015+Final_Investments_Multiplied!G1017+Final_Investments_Multiplied!G1023)*1000</f>
        <v>0</v>
      </c>
      <c r="J139" s="86">
        <f>(Final_Investments_Multiplied!H13+Final_Investments_Multiplied!H48+Final_Investments_Multiplied!H655+Final_Investments_Multiplied!H1007+Final_Investments_Multiplied!H1011+Final_Investments_Multiplied!H1015+Final_Investments_Multiplied!H1017+Final_Investments_Multiplied!H1023)*1000</f>
        <v>0</v>
      </c>
      <c r="K139" s="86"/>
    </row>
    <row r="140" spans="1:16" ht="16" x14ac:dyDescent="0.2">
      <c r="A140" s="13" t="s">
        <v>1</v>
      </c>
      <c r="B140" s="66" t="s">
        <v>929</v>
      </c>
      <c r="C140" s="15" t="s">
        <v>915</v>
      </c>
      <c r="D140" s="16" t="s">
        <v>924</v>
      </c>
      <c r="E140" s="86">
        <f>(Final_Investments_Multiplied!C15)*1000</f>
        <v>0</v>
      </c>
      <c r="F140" s="86">
        <f>(Final_Investments_Multiplied!D15)*1000</f>
        <v>2.0211074127136248E-2</v>
      </c>
      <c r="G140" s="86">
        <f>(Final_Investments_Multiplied!E15)*1000</f>
        <v>609.79531059237297</v>
      </c>
      <c r="H140" s="86">
        <f>(Final_Investments_Multiplied!F15)*1000</f>
        <v>640.54695881013436</v>
      </c>
      <c r="I140" s="86">
        <f>(Final_Investments_Multiplied!G15)*1000</f>
        <v>0</v>
      </c>
      <c r="J140" s="86">
        <f>(Final_Investments_Multiplied!H15)*1000</f>
        <v>0</v>
      </c>
      <c r="K140" s="86"/>
    </row>
    <row r="141" spans="1:16" ht="16" x14ac:dyDescent="0.2">
      <c r="A141" s="13" t="s">
        <v>1</v>
      </c>
      <c r="B141" s="66" t="s">
        <v>929</v>
      </c>
      <c r="C141" s="15" t="s">
        <v>915</v>
      </c>
      <c r="D141" s="16" t="s">
        <v>925</v>
      </c>
      <c r="E141" s="86">
        <v>0</v>
      </c>
      <c r="F141" s="86">
        <v>0</v>
      </c>
      <c r="G141" s="86">
        <v>0</v>
      </c>
      <c r="H141" s="86">
        <v>0</v>
      </c>
      <c r="I141" s="86">
        <v>0</v>
      </c>
      <c r="J141" s="86">
        <v>0</v>
      </c>
      <c r="K141" s="86"/>
    </row>
    <row r="142" spans="1:16" ht="16" x14ac:dyDescent="0.2">
      <c r="A142" s="13" t="s">
        <v>1</v>
      </c>
      <c r="B142" s="66" t="s">
        <v>929</v>
      </c>
      <c r="C142" s="15" t="s">
        <v>915</v>
      </c>
      <c r="D142" s="16" t="s">
        <v>926</v>
      </c>
      <c r="E142" s="86">
        <v>0</v>
      </c>
      <c r="F142" s="86">
        <v>0</v>
      </c>
      <c r="G142" s="86">
        <v>0</v>
      </c>
      <c r="H142" s="86">
        <v>0</v>
      </c>
      <c r="I142" s="86">
        <v>0</v>
      </c>
      <c r="J142" s="86">
        <v>0</v>
      </c>
      <c r="K142" s="86"/>
    </row>
    <row r="143" spans="1:16" ht="16" x14ac:dyDescent="0.2">
      <c r="A143" s="13" t="s">
        <v>1</v>
      </c>
      <c r="B143" s="66" t="s">
        <v>929</v>
      </c>
      <c r="C143" s="15" t="s">
        <v>915</v>
      </c>
      <c r="D143" s="16" t="s">
        <v>927</v>
      </c>
      <c r="E143" s="86">
        <v>0</v>
      </c>
      <c r="F143" s="86">
        <v>0</v>
      </c>
      <c r="G143" s="86">
        <v>0</v>
      </c>
      <c r="H143" s="86">
        <v>0</v>
      </c>
      <c r="I143" s="86">
        <v>0</v>
      </c>
      <c r="J143" s="86">
        <v>0</v>
      </c>
      <c r="K143" s="86"/>
    </row>
    <row r="144" spans="1:16" ht="16" x14ac:dyDescent="0.2">
      <c r="A144" s="13" t="s">
        <v>1</v>
      </c>
      <c r="B144" s="66" t="s">
        <v>929</v>
      </c>
      <c r="C144" s="15" t="s">
        <v>915</v>
      </c>
      <c r="D144" s="16" t="s">
        <v>928</v>
      </c>
      <c r="E144" s="86">
        <v>0</v>
      </c>
      <c r="F144" s="86">
        <v>0</v>
      </c>
      <c r="G144" s="86">
        <v>0</v>
      </c>
      <c r="H144" s="86">
        <v>0</v>
      </c>
      <c r="I144" s="86">
        <v>0</v>
      </c>
      <c r="J144" s="86">
        <v>0</v>
      </c>
      <c r="K144" s="86"/>
    </row>
    <row r="145" spans="1:11" ht="16" x14ac:dyDescent="0.2">
      <c r="A145" s="13" t="s">
        <v>1</v>
      </c>
      <c r="B145" s="66" t="s">
        <v>929</v>
      </c>
      <c r="C145" s="15" t="s">
        <v>915</v>
      </c>
      <c r="D145" s="16" t="s">
        <v>929</v>
      </c>
      <c r="E145" s="86">
        <v>0</v>
      </c>
      <c r="F145" s="86">
        <v>0</v>
      </c>
      <c r="G145" s="86">
        <v>0</v>
      </c>
      <c r="H145" s="86">
        <v>0</v>
      </c>
      <c r="I145" s="86">
        <v>0</v>
      </c>
      <c r="J145" s="86">
        <v>0</v>
      </c>
      <c r="K145" s="86"/>
    </row>
    <row r="146" spans="1:11" ht="16" x14ac:dyDescent="0.2">
      <c r="A146" s="13" t="s">
        <v>1</v>
      </c>
      <c r="B146" s="66" t="s">
        <v>929</v>
      </c>
      <c r="C146" s="22" t="s">
        <v>915</v>
      </c>
      <c r="D146" s="23" t="s">
        <v>930</v>
      </c>
      <c r="E146" s="87">
        <v>0</v>
      </c>
      <c r="F146" s="87">
        <v>0</v>
      </c>
      <c r="G146" s="87">
        <v>0</v>
      </c>
      <c r="H146" s="87">
        <v>0</v>
      </c>
      <c r="I146" s="87">
        <v>0</v>
      </c>
      <c r="J146" s="87">
        <v>0</v>
      </c>
      <c r="K146" s="87"/>
    </row>
    <row r="147" spans="1:11" ht="16" x14ac:dyDescent="0.2">
      <c r="A147" s="65" t="s">
        <v>1</v>
      </c>
      <c r="B147" s="66" t="s">
        <v>930</v>
      </c>
      <c r="C147" s="67" t="s">
        <v>915</v>
      </c>
      <c r="D147" s="68" t="s">
        <v>916</v>
      </c>
      <c r="E147" s="86">
        <v>0</v>
      </c>
      <c r="F147" s="86">
        <v>0</v>
      </c>
      <c r="G147" s="86">
        <v>0</v>
      </c>
      <c r="H147" s="86">
        <v>0</v>
      </c>
      <c r="I147" s="86">
        <v>0</v>
      </c>
      <c r="J147" s="86">
        <v>0</v>
      </c>
      <c r="K147" s="88"/>
    </row>
    <row r="148" spans="1:11" ht="16" x14ac:dyDescent="0.2">
      <c r="A148" s="13" t="s">
        <v>1</v>
      </c>
      <c r="B148" s="66" t="s">
        <v>930</v>
      </c>
      <c r="C148" s="15" t="s">
        <v>915</v>
      </c>
      <c r="D148" s="16" t="s">
        <v>918</v>
      </c>
      <c r="E148" s="86">
        <v>0</v>
      </c>
      <c r="F148" s="86">
        <v>0</v>
      </c>
      <c r="G148" s="86">
        <v>0</v>
      </c>
      <c r="H148" s="86">
        <v>0</v>
      </c>
      <c r="I148" s="86">
        <v>0</v>
      </c>
      <c r="J148" s="86">
        <v>0</v>
      </c>
      <c r="K148" s="86"/>
    </row>
    <row r="149" spans="1:11" ht="16" x14ac:dyDescent="0.2">
      <c r="A149" s="13" t="s">
        <v>1</v>
      </c>
      <c r="B149" s="66" t="s">
        <v>930</v>
      </c>
      <c r="C149" s="15" t="s">
        <v>915</v>
      </c>
      <c r="D149" s="16" t="s">
        <v>920</v>
      </c>
      <c r="E149" s="86">
        <v>0</v>
      </c>
      <c r="F149" s="86">
        <v>0</v>
      </c>
      <c r="G149" s="86">
        <v>0</v>
      </c>
      <c r="H149" s="86">
        <v>0</v>
      </c>
      <c r="I149" s="86">
        <v>0</v>
      </c>
      <c r="J149" s="86">
        <v>0</v>
      </c>
      <c r="K149" s="86"/>
    </row>
    <row r="150" spans="1:11" ht="16" x14ac:dyDescent="0.2">
      <c r="A150" s="13" t="s">
        <v>1</v>
      </c>
      <c r="B150" s="66" t="s">
        <v>930</v>
      </c>
      <c r="C150" s="15" t="s">
        <v>915</v>
      </c>
      <c r="D150" s="16" t="s">
        <v>923</v>
      </c>
      <c r="E150" s="86">
        <v>0</v>
      </c>
      <c r="F150" s="86">
        <v>0</v>
      </c>
      <c r="G150" s="86">
        <v>0</v>
      </c>
      <c r="H150" s="86">
        <v>0</v>
      </c>
      <c r="I150" s="86">
        <v>0</v>
      </c>
      <c r="J150" s="86">
        <v>0</v>
      </c>
      <c r="K150" s="86"/>
    </row>
    <row r="151" spans="1:11" ht="16" x14ac:dyDescent="0.2">
      <c r="A151" s="13" t="s">
        <v>1</v>
      </c>
      <c r="B151" s="66" t="s">
        <v>930</v>
      </c>
      <c r="C151" s="15" t="s">
        <v>915</v>
      </c>
      <c r="D151" s="16" t="s">
        <v>924</v>
      </c>
      <c r="E151" s="86">
        <f>Final_Investments_Multiplied!C319*1000</f>
        <v>0.41506406223050363</v>
      </c>
      <c r="F151" s="86">
        <f>Final_Investments_Multiplied!D319*1000</f>
        <v>120.3734509037459</v>
      </c>
      <c r="G151" s="86">
        <f>Final_Investments_Multiplied!E319*1000</f>
        <v>0</v>
      </c>
      <c r="H151" s="86">
        <f>Final_Investments_Multiplied!F319*1000</f>
        <v>0</v>
      </c>
      <c r="I151" s="86">
        <f>Final_Investments_Multiplied!G319*1000</f>
        <v>1832.7807777293419</v>
      </c>
      <c r="J151" s="86">
        <f>Final_Investments_Multiplied!H319*1000</f>
        <v>1823.306115789647</v>
      </c>
      <c r="K151" s="86"/>
    </row>
    <row r="152" spans="1:11" ht="16" x14ac:dyDescent="0.2">
      <c r="A152" s="13" t="s">
        <v>1</v>
      </c>
      <c r="B152" s="66" t="s">
        <v>930</v>
      </c>
      <c r="C152" s="15" t="s">
        <v>915</v>
      </c>
      <c r="D152" s="16" t="s">
        <v>925</v>
      </c>
      <c r="E152" s="86">
        <v>0</v>
      </c>
      <c r="F152" s="86">
        <v>0</v>
      </c>
      <c r="G152" s="86">
        <v>0</v>
      </c>
      <c r="H152" s="86">
        <v>0</v>
      </c>
      <c r="I152" s="86">
        <v>0</v>
      </c>
      <c r="J152" s="86">
        <v>0</v>
      </c>
      <c r="K152" s="86"/>
    </row>
    <row r="153" spans="1:11" ht="16" x14ac:dyDescent="0.2">
      <c r="A153" s="13" t="s">
        <v>1</v>
      </c>
      <c r="B153" s="66" t="s">
        <v>930</v>
      </c>
      <c r="C153" s="15" t="s">
        <v>915</v>
      </c>
      <c r="D153" s="16" t="s">
        <v>926</v>
      </c>
      <c r="E153" s="86">
        <v>0</v>
      </c>
      <c r="F153" s="86">
        <v>0</v>
      </c>
      <c r="G153" s="86">
        <v>0</v>
      </c>
      <c r="H153" s="86">
        <v>0</v>
      </c>
      <c r="I153" s="86">
        <v>0</v>
      </c>
      <c r="J153" s="86">
        <v>0</v>
      </c>
      <c r="K153" s="86"/>
    </row>
    <row r="154" spans="1:11" ht="16" x14ac:dyDescent="0.2">
      <c r="A154" s="13" t="s">
        <v>1</v>
      </c>
      <c r="B154" s="66" t="s">
        <v>930</v>
      </c>
      <c r="C154" s="15" t="s">
        <v>915</v>
      </c>
      <c r="D154" s="16" t="s">
        <v>927</v>
      </c>
      <c r="E154" s="86">
        <v>0</v>
      </c>
      <c r="F154" s="86">
        <v>0</v>
      </c>
      <c r="G154" s="86">
        <v>0</v>
      </c>
      <c r="H154" s="86">
        <v>0</v>
      </c>
      <c r="I154" s="86">
        <v>0</v>
      </c>
      <c r="J154" s="86">
        <v>0</v>
      </c>
      <c r="K154" s="86"/>
    </row>
    <row r="155" spans="1:11" ht="16" x14ac:dyDescent="0.2">
      <c r="A155" s="13" t="s">
        <v>1</v>
      </c>
      <c r="B155" s="66" t="s">
        <v>930</v>
      </c>
      <c r="C155" s="15" t="s">
        <v>915</v>
      </c>
      <c r="D155" s="16" t="s">
        <v>928</v>
      </c>
      <c r="E155" s="86">
        <f>(Final_Investments_Multiplied!C320+Final_Investments_Multiplied!C321+Final_Investments_Multiplied!C322)*1000</f>
        <v>7.5029968431312195</v>
      </c>
      <c r="F155" s="86">
        <f>(Final_Investments_Multiplied!D320+Final_Investments_Multiplied!D321+Final_Investments_Multiplied!D322)*1000</f>
        <v>46.716736426238846</v>
      </c>
      <c r="G155" s="86">
        <f>(Final_Investments_Multiplied!E320+Final_Investments_Multiplied!E321+Final_Investments_Multiplied!E322)*1000</f>
        <v>0</v>
      </c>
      <c r="H155" s="86">
        <f>(Final_Investments_Multiplied!F320+Final_Investments_Multiplied!F321+Final_Investments_Multiplied!F322)*1000</f>
        <v>0</v>
      </c>
      <c r="I155" s="86">
        <f>(Final_Investments_Multiplied!G320+Final_Investments_Multiplied!G321+Final_Investments_Multiplied!G322)*1000</f>
        <v>635.28179572446845</v>
      </c>
      <c r="J155" s="86">
        <f>(Final_Investments_Multiplied!H320+Final_Investments_Multiplied!H321+Final_Investments_Multiplied!H322)*1000</f>
        <v>4.6628297473744065E-7</v>
      </c>
      <c r="K155" s="86"/>
    </row>
    <row r="156" spans="1:11" ht="16" x14ac:dyDescent="0.2">
      <c r="A156" s="13" t="s">
        <v>1</v>
      </c>
      <c r="B156" s="66" t="s">
        <v>930</v>
      </c>
      <c r="C156" s="15" t="s">
        <v>915</v>
      </c>
      <c r="D156" s="16" t="s">
        <v>929</v>
      </c>
      <c r="E156" s="86">
        <v>0</v>
      </c>
      <c r="F156" s="86">
        <v>0</v>
      </c>
      <c r="G156" s="86">
        <v>0</v>
      </c>
      <c r="H156" s="86">
        <v>0</v>
      </c>
      <c r="I156" s="86">
        <v>0</v>
      </c>
      <c r="J156" s="86">
        <v>0</v>
      </c>
      <c r="K156" s="86"/>
    </row>
    <row r="157" spans="1:11" ht="16" x14ac:dyDescent="0.2">
      <c r="A157" s="13" t="s">
        <v>1</v>
      </c>
      <c r="B157" s="66" t="s">
        <v>930</v>
      </c>
      <c r="C157" s="22" t="s">
        <v>915</v>
      </c>
      <c r="D157" s="23" t="s">
        <v>930</v>
      </c>
      <c r="E157" s="87">
        <v>0</v>
      </c>
      <c r="F157" s="87">
        <v>0</v>
      </c>
      <c r="G157" s="87">
        <v>0</v>
      </c>
      <c r="H157" s="87">
        <v>0</v>
      </c>
      <c r="I157" s="87">
        <v>0</v>
      </c>
      <c r="J157" s="87">
        <v>0</v>
      </c>
      <c r="K157" s="87"/>
    </row>
  </sheetData>
  <mergeCells count="3">
    <mergeCell ref="T15:AC15"/>
    <mergeCell ref="B111:C111"/>
    <mergeCell ref="S33:S38"/>
  </mergeCells>
  <phoneticPr fontId="1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DBB5A-89A8-D747-9384-1927957F3843}">
  <dimension ref="B3:G38"/>
  <sheetViews>
    <sheetView zoomScale="150" zoomScaleNormal="85" workbookViewId="0">
      <selection activeCell="F16" sqref="F16:G18"/>
    </sheetView>
  </sheetViews>
  <sheetFormatPr baseColWidth="10" defaultColWidth="8.83203125" defaultRowHeight="15" x14ac:dyDescent="0.2"/>
  <cols>
    <col min="1" max="2" width="8.83203125" style="4"/>
    <col min="3" max="3" width="33.1640625" style="4" customWidth="1"/>
    <col min="4" max="6" width="8.83203125" style="4"/>
    <col min="7" max="7" width="22.1640625" style="4" customWidth="1"/>
    <col min="8" max="16384" width="8.83203125" style="4"/>
  </cols>
  <sheetData>
    <row r="3" spans="2:7" x14ac:dyDescent="0.2">
      <c r="B3" s="9" t="s">
        <v>946</v>
      </c>
      <c r="C3" s="9" t="s">
        <v>945</v>
      </c>
      <c r="F3" s="9" t="s">
        <v>916</v>
      </c>
      <c r="G3" s="9" t="s">
        <v>965</v>
      </c>
    </row>
    <row r="4" spans="2:7" x14ac:dyDescent="0.2">
      <c r="B4" s="20" t="s">
        <v>948</v>
      </c>
      <c r="C4" s="20" t="s">
        <v>947</v>
      </c>
      <c r="F4" s="20" t="s">
        <v>918</v>
      </c>
      <c r="G4" s="20" t="s">
        <v>966</v>
      </c>
    </row>
    <row r="5" spans="2:7" x14ac:dyDescent="0.2">
      <c r="B5" s="20" t="s">
        <v>950</v>
      </c>
      <c r="C5" s="20" t="s">
        <v>949</v>
      </c>
      <c r="F5" s="20" t="s">
        <v>920</v>
      </c>
      <c r="G5" s="20" t="s">
        <v>967</v>
      </c>
    </row>
    <row r="6" spans="2:7" x14ac:dyDescent="0.2">
      <c r="B6" s="20" t="s">
        <v>952</v>
      </c>
      <c r="C6" s="20" t="s">
        <v>951</v>
      </c>
      <c r="F6" s="20" t="s">
        <v>923</v>
      </c>
      <c r="G6" s="20" t="s">
        <v>968</v>
      </c>
    </row>
    <row r="7" spans="2:7" x14ac:dyDescent="0.2">
      <c r="B7" s="20" t="s">
        <v>954</v>
      </c>
      <c r="C7" s="20" t="s">
        <v>953</v>
      </c>
      <c r="F7" s="20" t="s">
        <v>924</v>
      </c>
      <c r="G7" s="20" t="s">
        <v>969</v>
      </c>
    </row>
    <row r="8" spans="2:7" x14ac:dyDescent="0.2">
      <c r="B8" s="20" t="s">
        <v>956</v>
      </c>
      <c r="C8" s="20" t="s">
        <v>955</v>
      </c>
      <c r="F8" s="20" t="s">
        <v>925</v>
      </c>
      <c r="G8" s="20" t="s">
        <v>970</v>
      </c>
    </row>
    <row r="9" spans="2:7" x14ac:dyDescent="0.2">
      <c r="B9" s="20" t="s">
        <v>957</v>
      </c>
      <c r="C9" s="20" t="s">
        <v>820</v>
      </c>
      <c r="F9" s="20" t="s">
        <v>926</v>
      </c>
      <c r="G9" s="20" t="s">
        <v>971</v>
      </c>
    </row>
    <row r="10" spans="2:7" x14ac:dyDescent="0.2">
      <c r="B10" s="20" t="s">
        <v>958</v>
      </c>
      <c r="C10" s="20" t="s">
        <v>934</v>
      </c>
      <c r="F10" s="20" t="s">
        <v>927</v>
      </c>
      <c r="G10" s="20" t="s">
        <v>972</v>
      </c>
    </row>
    <row r="11" spans="2:7" x14ac:dyDescent="0.2">
      <c r="B11" s="20" t="s">
        <v>919</v>
      </c>
      <c r="C11" s="20" t="s">
        <v>936</v>
      </c>
      <c r="F11" s="20" t="s">
        <v>928</v>
      </c>
      <c r="G11" s="20" t="s">
        <v>973</v>
      </c>
    </row>
    <row r="12" spans="2:7" x14ac:dyDescent="0.2">
      <c r="B12" s="20" t="s">
        <v>960</v>
      </c>
      <c r="C12" s="20" t="s">
        <v>959</v>
      </c>
      <c r="F12" s="20" t="s">
        <v>929</v>
      </c>
      <c r="G12" s="20" t="s">
        <v>974</v>
      </c>
    </row>
    <row r="13" spans="2:7" x14ac:dyDescent="0.2">
      <c r="B13" s="20" t="s">
        <v>962</v>
      </c>
      <c r="C13" s="20" t="s">
        <v>961</v>
      </c>
      <c r="F13" s="32" t="s">
        <v>930</v>
      </c>
      <c r="G13" s="32" t="s">
        <v>975</v>
      </c>
    </row>
    <row r="14" spans="2:7" x14ac:dyDescent="0.2">
      <c r="B14" s="32" t="s">
        <v>964</v>
      </c>
      <c r="C14" s="32" t="s">
        <v>963</v>
      </c>
    </row>
    <row r="16" spans="2:7" x14ac:dyDescent="0.2">
      <c r="F16" s="92" t="s">
        <v>1020</v>
      </c>
      <c r="G16" s="92" t="s">
        <v>1021</v>
      </c>
    </row>
    <row r="17" spans="2:7" x14ac:dyDescent="0.2">
      <c r="B17" s="9" t="s">
        <v>914</v>
      </c>
      <c r="C17" s="9" t="s">
        <v>942</v>
      </c>
      <c r="F17" s="92" t="s">
        <v>1022</v>
      </c>
      <c r="G17" s="92" t="s">
        <v>1023</v>
      </c>
    </row>
    <row r="18" spans="2:7" x14ac:dyDescent="0.2">
      <c r="B18" s="20" t="s">
        <v>931</v>
      </c>
      <c r="C18" s="20" t="s">
        <v>976</v>
      </c>
      <c r="F18" s="92" t="s">
        <v>1024</v>
      </c>
      <c r="G18" s="92" t="s">
        <v>1025</v>
      </c>
    </row>
    <row r="19" spans="2:7" x14ac:dyDescent="0.2">
      <c r="B19" s="20" t="s">
        <v>977</v>
      </c>
      <c r="C19" s="20" t="s">
        <v>978</v>
      </c>
    </row>
    <row r="20" spans="2:7" x14ac:dyDescent="0.2">
      <c r="B20" s="20" t="s">
        <v>937</v>
      </c>
      <c r="C20" s="20" t="s">
        <v>979</v>
      </c>
    </row>
    <row r="21" spans="2:7" x14ac:dyDescent="0.2">
      <c r="B21" s="20" t="s">
        <v>980</v>
      </c>
      <c r="C21" s="20" t="s">
        <v>981</v>
      </c>
    </row>
    <row r="22" spans="2:7" x14ac:dyDescent="0.2">
      <c r="B22" s="20" t="s">
        <v>982</v>
      </c>
      <c r="C22" s="20" t="s">
        <v>983</v>
      </c>
    </row>
    <row r="23" spans="2:7" x14ac:dyDescent="0.2">
      <c r="B23" s="9" t="s">
        <v>984</v>
      </c>
      <c r="C23" s="9" t="s">
        <v>985</v>
      </c>
    </row>
    <row r="24" spans="2:7" x14ac:dyDescent="0.2">
      <c r="B24" s="20" t="s">
        <v>938</v>
      </c>
      <c r="C24" s="20" t="s">
        <v>986</v>
      </c>
    </row>
    <row r="25" spans="2:7" x14ac:dyDescent="0.2">
      <c r="B25" s="20" t="s">
        <v>987</v>
      </c>
      <c r="C25" s="20" t="s">
        <v>988</v>
      </c>
    </row>
    <row r="26" spans="2:7" x14ac:dyDescent="0.2">
      <c r="B26" s="20" t="s">
        <v>989</v>
      </c>
      <c r="C26" s="20" t="s">
        <v>990</v>
      </c>
    </row>
    <row r="27" spans="2:7" x14ac:dyDescent="0.2">
      <c r="B27" s="20" t="s">
        <v>991</v>
      </c>
      <c r="C27" s="20" t="s">
        <v>992</v>
      </c>
    </row>
    <row r="28" spans="2:7" x14ac:dyDescent="0.2">
      <c r="B28" s="20" t="s">
        <v>939</v>
      </c>
      <c r="C28" s="20" t="s">
        <v>993</v>
      </c>
    </row>
    <row r="29" spans="2:7" x14ac:dyDescent="0.2">
      <c r="B29" s="9" t="s">
        <v>994</v>
      </c>
      <c r="C29" s="9" t="s">
        <v>995</v>
      </c>
    </row>
    <row r="30" spans="2:7" x14ac:dyDescent="0.2">
      <c r="B30" s="20" t="s">
        <v>996</v>
      </c>
      <c r="C30" s="20" t="s">
        <v>997</v>
      </c>
    </row>
    <row r="31" spans="2:7" x14ac:dyDescent="0.2">
      <c r="B31" s="20" t="s">
        <v>998</v>
      </c>
      <c r="C31" s="20" t="s">
        <v>999</v>
      </c>
    </row>
    <row r="32" spans="2:7" x14ac:dyDescent="0.2">
      <c r="B32" s="20" t="s">
        <v>1000</v>
      </c>
      <c r="C32" s="20" t="s">
        <v>1001</v>
      </c>
    </row>
    <row r="33" spans="2:3" x14ac:dyDescent="0.2">
      <c r="B33" s="20" t="s">
        <v>1002</v>
      </c>
      <c r="C33" s="20" t="s">
        <v>1003</v>
      </c>
    </row>
    <row r="34" spans="2:3" x14ac:dyDescent="0.2">
      <c r="B34" s="20" t="s">
        <v>1004</v>
      </c>
      <c r="C34" s="20" t="s">
        <v>1005</v>
      </c>
    </row>
    <row r="35" spans="2:3" x14ac:dyDescent="0.2">
      <c r="B35" s="9" t="s">
        <v>1006</v>
      </c>
      <c r="C35" s="9" t="s">
        <v>1007</v>
      </c>
    </row>
    <row r="36" spans="2:3" x14ac:dyDescent="0.2">
      <c r="B36" s="20" t="s">
        <v>1008</v>
      </c>
      <c r="C36" s="20" t="s">
        <v>1009</v>
      </c>
    </row>
    <row r="37" spans="2:3" x14ac:dyDescent="0.2">
      <c r="B37" s="20" t="s">
        <v>1010</v>
      </c>
      <c r="C37" s="20" t="s">
        <v>1011</v>
      </c>
    </row>
    <row r="38" spans="2:3" x14ac:dyDescent="0.2">
      <c r="B38" s="20" t="s">
        <v>941</v>
      </c>
      <c r="C38" s="20" t="s">
        <v>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Final_Investments_Multiplied</vt:lpstr>
      <vt:lpstr>Aggregated_By_Sector</vt:lpstr>
      <vt:lpstr>IND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Elberry</dc:creator>
  <cp:lastModifiedBy>Ahmed Elberry</cp:lastModifiedBy>
  <dcterms:created xsi:type="dcterms:W3CDTF">2024-03-01T13:50:14Z</dcterms:created>
  <dcterms:modified xsi:type="dcterms:W3CDTF">2026-06-10T09:06:48Z</dcterms:modified>
</cp:coreProperties>
</file>